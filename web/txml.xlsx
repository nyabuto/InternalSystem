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projects\InternalSystem\web\"/>
    </mc:Choice>
  </mc:AlternateContent>
  <workbookProtection workbookAlgorithmName="SHA-512" workbookHashValue="VcmrSgqj/elC0Wi0xjFV7R9f0VNDWm8iD1FaXGIf+rxA8sQPugYLj+llaxFo7rl+AluVYL4w46r54Omj9y8u6A==" workbookSaltValue="TRGP4LdLe+O9vnobN2oJDw==" workbookSpinCount="100000" lockStructure="1"/>
  <bookViews>
    <workbookView xWindow="-105" yWindow="-105" windowWidth="19425" windowHeight="10425" activeTab="1"/>
  </bookViews>
  <sheets>
    <sheet name="Instructions" sheetId="4" r:id="rId1"/>
    <sheet name="Feb" sheetId="1" r:id="rId2"/>
  </sheets>
  <definedNames>
    <definedName name="_xlnm._FilterDatabase" localSheetId="0" hidden="1">Instructions!$B$2:$F$42</definedName>
    <definedName name="_xlnm.Print_Area" localSheetId="1">Feb!$A$1:$AJ$50</definedName>
    <definedName name="_xlnm.Print_Area" localSheetId="0">Instructions!$B$1:$F$42</definedName>
    <definedName name="_xlnm.Print_Titles" localSheetId="1">Feb!$1:$6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1" i="1" l="1"/>
  <c r="AA21" i="1"/>
  <c r="Z21" i="1"/>
  <c r="AJ25" i="1"/>
  <c r="AJ22" i="1"/>
  <c r="AI21" i="1"/>
  <c r="E21" i="1"/>
  <c r="F21" i="1"/>
  <c r="G21" i="1"/>
  <c r="H21" i="1"/>
  <c r="I21" i="1"/>
  <c r="J21" i="1"/>
  <c r="K21" i="1"/>
  <c r="L21" i="1"/>
  <c r="M21" i="1"/>
  <c r="AK21" i="1" s="1"/>
  <c r="N21" i="1"/>
  <c r="O21" i="1"/>
  <c r="P21" i="1"/>
  <c r="Q21" i="1"/>
  <c r="R21" i="1"/>
  <c r="S21" i="1"/>
  <c r="T21" i="1"/>
  <c r="U21" i="1"/>
  <c r="V21" i="1"/>
  <c r="W21" i="1"/>
  <c r="X21" i="1"/>
  <c r="Y21" i="1"/>
  <c r="AC21" i="1"/>
  <c r="AD21" i="1"/>
  <c r="AE21" i="1"/>
  <c r="AF21" i="1"/>
  <c r="AG21" i="1"/>
  <c r="AH21" i="1"/>
  <c r="D21" i="1"/>
  <c r="AA25" i="1"/>
  <c r="Z25" i="1"/>
  <c r="AJ21" i="1" l="1"/>
  <c r="AA23" i="1"/>
  <c r="Z23" i="1"/>
  <c r="Z24" i="1"/>
  <c r="AJ24" i="1" s="1"/>
  <c r="AA24" i="1"/>
  <c r="Z22" i="1"/>
  <c r="AJ23" i="1"/>
  <c r="AA22" i="1"/>
  <c r="AC42" i="1" l="1"/>
  <c r="AD42" i="1"/>
  <c r="AE42" i="1"/>
  <c r="AF42" i="1"/>
  <c r="AG42" i="1"/>
  <c r="AH42" i="1"/>
  <c r="AI42" i="1"/>
  <c r="AB42" i="1"/>
  <c r="AA49" i="1"/>
  <c r="Z49" i="1"/>
  <c r="AA48" i="1"/>
  <c r="Z48" i="1"/>
  <c r="AA47" i="1"/>
  <c r="Z47" i="1"/>
  <c r="AA46" i="1"/>
  <c r="Z46" i="1"/>
  <c r="AA45" i="1"/>
  <c r="Z45" i="1"/>
  <c r="AA44" i="1"/>
  <c r="Z44" i="1"/>
  <c r="AA43" i="1"/>
  <c r="Z43" i="1"/>
  <c r="AA41" i="1"/>
  <c r="Z41" i="1"/>
  <c r="AA40" i="1"/>
  <c r="Z40" i="1"/>
  <c r="AA39" i="1"/>
  <c r="Z39" i="1"/>
  <c r="AA38" i="1"/>
  <c r="Z38" i="1"/>
  <c r="AA37" i="1"/>
  <c r="Z37" i="1"/>
  <c r="AA36" i="1"/>
  <c r="Z36" i="1"/>
  <c r="Z28" i="1"/>
  <c r="AA28" i="1"/>
  <c r="Z33" i="1"/>
  <c r="AA33" i="1"/>
  <c r="AA27" i="1"/>
  <c r="Z27" i="1"/>
  <c r="Z11" i="1"/>
  <c r="AA11" i="1"/>
  <c r="Z12" i="1"/>
  <c r="AA12" i="1"/>
  <c r="Z13" i="1"/>
  <c r="AA13" i="1"/>
  <c r="Z14" i="1"/>
  <c r="AA14" i="1"/>
  <c r="Z15" i="1"/>
  <c r="AA15" i="1"/>
  <c r="Z16" i="1"/>
  <c r="AA16" i="1"/>
  <c r="Z17" i="1"/>
  <c r="AA17" i="1"/>
  <c r="Z18" i="1"/>
  <c r="AA18" i="1"/>
  <c r="Z19" i="1"/>
  <c r="AA19" i="1"/>
  <c r="Z20" i="1"/>
  <c r="AA20" i="1"/>
  <c r="AA10" i="1"/>
  <c r="Z10" i="1"/>
  <c r="AB29" i="1"/>
  <c r="Z29" i="1" s="1"/>
  <c r="AC29" i="1"/>
  <c r="AD29" i="1"/>
  <c r="AE29" i="1"/>
  <c r="AF29" i="1"/>
  <c r="AG29" i="1"/>
  <c r="AH29" i="1"/>
  <c r="AI29" i="1"/>
  <c r="AB30" i="1"/>
  <c r="AC30" i="1"/>
  <c r="AD30" i="1"/>
  <c r="AE30" i="1"/>
  <c r="AF30" i="1"/>
  <c r="AG30" i="1"/>
  <c r="AH30" i="1"/>
  <c r="AI30" i="1"/>
  <c r="AB31" i="1"/>
  <c r="AC31" i="1"/>
  <c r="AD31" i="1"/>
  <c r="AE31" i="1"/>
  <c r="AF31" i="1"/>
  <c r="AG31" i="1"/>
  <c r="AH31" i="1"/>
  <c r="AI31" i="1"/>
  <c r="AE32" i="1"/>
  <c r="AE34" i="1" s="1"/>
  <c r="AI32" i="1"/>
  <c r="AI34" i="1" s="1"/>
  <c r="AA31" i="1" l="1"/>
  <c r="AA30" i="1"/>
  <c r="Z31" i="1"/>
  <c r="AK10" i="1"/>
  <c r="AG32" i="1"/>
  <c r="AG34" i="1" s="1"/>
  <c r="AC32" i="1"/>
  <c r="AF32" i="1"/>
  <c r="AF34" i="1" s="1"/>
  <c r="AB32" i="1"/>
  <c r="Z30" i="1"/>
  <c r="AA29" i="1"/>
  <c r="AH32" i="1"/>
  <c r="AH34" i="1" s="1"/>
  <c r="AD32" i="1"/>
  <c r="AD34" i="1" s="1"/>
  <c r="D31" i="1"/>
  <c r="D30" i="1"/>
  <c r="E31" i="1"/>
  <c r="F31" i="1"/>
  <c r="G31" i="1"/>
  <c r="H31" i="1"/>
  <c r="I31" i="1"/>
  <c r="J31" i="1"/>
  <c r="K31" i="1"/>
  <c r="L31" i="1"/>
  <c r="M31" i="1"/>
  <c r="N31" i="1"/>
  <c r="O31" i="1"/>
  <c r="P31" i="1"/>
  <c r="Q31" i="1"/>
  <c r="R31" i="1"/>
  <c r="S31" i="1"/>
  <c r="T31" i="1"/>
  <c r="U31" i="1"/>
  <c r="V31" i="1"/>
  <c r="W31" i="1"/>
  <c r="X31" i="1"/>
  <c r="Y31" i="1"/>
  <c r="E30" i="1"/>
  <c r="F30" i="1"/>
  <c r="G30" i="1"/>
  <c r="H30" i="1"/>
  <c r="I30" i="1"/>
  <c r="J30" i="1"/>
  <c r="K30" i="1"/>
  <c r="L30" i="1"/>
  <c r="M30" i="1"/>
  <c r="N30" i="1"/>
  <c r="O30" i="1"/>
  <c r="P30" i="1"/>
  <c r="Q30" i="1"/>
  <c r="R30" i="1"/>
  <c r="S30" i="1"/>
  <c r="T30" i="1"/>
  <c r="U30" i="1"/>
  <c r="V30" i="1"/>
  <c r="W30" i="1"/>
  <c r="X30" i="1"/>
  <c r="Y30" i="1"/>
  <c r="AJ20" i="1"/>
  <c r="AJ19" i="1"/>
  <c r="AC34" i="1" l="1"/>
  <c r="AA34" i="1" s="1"/>
  <c r="AA32" i="1"/>
  <c r="AB34" i="1"/>
  <c r="Z34" i="1" s="1"/>
  <c r="Z32" i="1"/>
  <c r="AJ30" i="1"/>
  <c r="AJ31" i="1"/>
  <c r="AJ39" i="1"/>
  <c r="AJ18" i="1" l="1"/>
  <c r="AJ17" i="1"/>
  <c r="AJ16" i="1"/>
  <c r="E29" i="1" l="1"/>
  <c r="E32" i="1" s="1"/>
  <c r="F29" i="1"/>
  <c r="G29" i="1"/>
  <c r="H29" i="1"/>
  <c r="I29" i="1"/>
  <c r="J29" i="1"/>
  <c r="K29" i="1"/>
  <c r="K32" i="1" s="1"/>
  <c r="L29" i="1"/>
  <c r="M29" i="1"/>
  <c r="N29" i="1"/>
  <c r="O29" i="1"/>
  <c r="P29" i="1"/>
  <c r="Q29" i="1"/>
  <c r="R29" i="1"/>
  <c r="S29" i="1"/>
  <c r="T29" i="1"/>
  <c r="U29" i="1"/>
  <c r="V29" i="1"/>
  <c r="W29" i="1"/>
  <c r="X29" i="1"/>
  <c r="Y29" i="1"/>
  <c r="D29" i="1"/>
  <c r="D32" i="1" s="1"/>
  <c r="X32" i="1" l="1"/>
  <c r="X34" i="1" s="1"/>
  <c r="P32" i="1"/>
  <c r="P34" i="1" s="1"/>
  <c r="H32" i="1"/>
  <c r="H34" i="1" s="1"/>
  <c r="W32" i="1"/>
  <c r="W34" i="1" s="1"/>
  <c r="S32" i="1"/>
  <c r="S34" i="1" s="1"/>
  <c r="O32" i="1"/>
  <c r="O34" i="1" s="1"/>
  <c r="G32" i="1"/>
  <c r="G34" i="1" s="1"/>
  <c r="Y32" i="1"/>
  <c r="Y34" i="1" s="1"/>
  <c r="U32" i="1"/>
  <c r="U34" i="1" s="1"/>
  <c r="Q32" i="1"/>
  <c r="Q34" i="1" s="1"/>
  <c r="M32" i="1"/>
  <c r="M34" i="1" s="1"/>
  <c r="I32" i="1"/>
  <c r="I34" i="1" s="1"/>
  <c r="T32" i="1"/>
  <c r="T34" i="1" s="1"/>
  <c r="L32" i="1"/>
  <c r="L34" i="1" s="1"/>
  <c r="V32" i="1"/>
  <c r="V34" i="1" s="1"/>
  <c r="R32" i="1"/>
  <c r="R34" i="1" s="1"/>
  <c r="N32" i="1"/>
  <c r="N34" i="1" s="1"/>
  <c r="J32" i="1"/>
  <c r="J34" i="1" s="1"/>
  <c r="F32" i="1"/>
  <c r="F34" i="1" s="1"/>
  <c r="K34" i="1"/>
  <c r="D34" i="1"/>
  <c r="AJ29" i="1"/>
  <c r="E34" i="1"/>
  <c r="AK36" i="1"/>
  <c r="AJ32" i="1" l="1"/>
  <c r="AJ27" i="1"/>
  <c r="AJ33" i="1"/>
  <c r="AJ28" i="1"/>
  <c r="AJ34" i="1" l="1"/>
  <c r="AK32" i="1" s="1"/>
  <c r="AL10" i="1" s="1"/>
  <c r="AJ37" i="1"/>
  <c r="AJ38" i="1"/>
  <c r="AJ40" i="1"/>
  <c r="AJ41" i="1"/>
  <c r="D42" i="1" l="1"/>
  <c r="E42" i="1"/>
  <c r="F42" i="1"/>
  <c r="G42" i="1"/>
  <c r="H42" i="1"/>
  <c r="I42" i="1"/>
  <c r="J42" i="1"/>
  <c r="K42" i="1"/>
  <c r="L42" i="1"/>
  <c r="M42" i="1"/>
  <c r="N42" i="1"/>
  <c r="O42" i="1"/>
  <c r="P42" i="1"/>
  <c r="Q42" i="1"/>
  <c r="R42" i="1"/>
  <c r="S42" i="1"/>
  <c r="T42" i="1"/>
  <c r="U42" i="1"/>
  <c r="V42" i="1"/>
  <c r="W42" i="1"/>
  <c r="X42" i="1"/>
  <c r="Y42" i="1"/>
  <c r="Z42" i="1"/>
  <c r="AA42" i="1"/>
  <c r="AN10" i="1" l="1"/>
  <c r="AJ10" i="1" l="1"/>
  <c r="AJ11" i="1"/>
  <c r="AJ12" i="1"/>
  <c r="AJ13" i="1"/>
  <c r="AJ14" i="1"/>
  <c r="AJ15" i="1"/>
  <c r="AJ36" i="1"/>
  <c r="AM32" i="1" l="1"/>
  <c r="AM34" i="1"/>
  <c r="AJ42" i="1"/>
  <c r="AJ43" i="1"/>
  <c r="AJ44" i="1"/>
  <c r="AJ45" i="1"/>
  <c r="AJ46" i="1"/>
  <c r="AJ47" i="1"/>
  <c r="AJ48" i="1"/>
  <c r="AJ49" i="1"/>
  <c r="A76" i="1" l="1"/>
  <c r="A54" i="1" l="1"/>
  <c r="AL6" i="1" s="1"/>
  <c r="AN6" i="1"/>
  <c r="M54" i="1" l="1"/>
</calcChain>
</file>

<file path=xl/sharedStrings.xml><?xml version="1.0" encoding="utf-8"?>
<sst xmlns="http://schemas.openxmlformats.org/spreadsheetml/2006/main" count="342" uniqueCount="195">
  <si>
    <t>&lt; 1</t>
  </si>
  <si>
    <t>1-4</t>
  </si>
  <si>
    <t>5-9</t>
  </si>
  <si>
    <t>10-14</t>
  </si>
  <si>
    <t>15-19</t>
  </si>
  <si>
    <t>20-24</t>
  </si>
  <si>
    <t>25-29</t>
  </si>
  <si>
    <t>30-34</t>
  </si>
  <si>
    <t>35-39</t>
  </si>
  <si>
    <t>50+</t>
  </si>
  <si>
    <t>M</t>
  </si>
  <si>
    <t>F</t>
  </si>
  <si>
    <t>Sub Total</t>
  </si>
  <si>
    <t>40-44</t>
  </si>
  <si>
    <t>45-49</t>
  </si>
  <si>
    <t>Outcomes for LTFU</t>
  </si>
  <si>
    <t>Data Element Description</t>
  </si>
  <si>
    <t>Indicator</t>
  </si>
  <si>
    <t>Data Element</t>
  </si>
  <si>
    <t>A count of patients confirmed as dead by direct observation or by unambiguous report of family or close contact (neighbors, co-workers, etc.); it should not be presumed.</t>
  </si>
  <si>
    <t>Any patient who died from a non-infectious, non-malignant cause that was related to HIV, such as acute HIV infection syndrome, (persistent) generalized lymphadenopathy, hematological and immunological abnormalities, etc.</t>
  </si>
  <si>
    <t>Any patient who died from natural causes (including certain cancers and infections, etc.) that were not directly related to HIV disease.</t>
  </si>
  <si>
    <t>Any patient who died from non-natural causes (e.g., trauma, accident, suicide, war, etc.)</t>
  </si>
  <si>
    <t>Patients in whom cause of death was truly not known</t>
  </si>
  <si>
    <t>A count of patients with known or presumed cancer at the time of death</t>
  </si>
  <si>
    <t>A count of patients  who died from any infectious cause other than TB; this includes infections not otherwise specified</t>
  </si>
  <si>
    <t>A count of patients with known or presumed TB (pulmonary and/or extra-pulmonary) at the time of death without another identified cause of death</t>
  </si>
  <si>
    <t>FINER AGE AND SEX DISAGGREGATION REPORTING FORM (FORM1A)</t>
  </si>
  <si>
    <t>8.0 ACCOUNTING FOR ART PATIENTS WITH NO CLINICAL CONTACT</t>
  </si>
  <si>
    <t>Data source</t>
  </si>
  <si>
    <t>MFL Code</t>
  </si>
  <si>
    <t>codes</t>
  </si>
  <si>
    <t>This is a count of  all PLHIV who are active on ART at the reporting period</t>
  </si>
  <si>
    <t>F08-01</t>
  </si>
  <si>
    <t>Defaulter tracing register  colm "u"</t>
  </si>
  <si>
    <t>F08-03</t>
  </si>
  <si>
    <t>F08-05</t>
  </si>
  <si>
    <t>F08-06</t>
  </si>
  <si>
    <t>F08-07</t>
  </si>
  <si>
    <t>F08-08</t>
  </si>
  <si>
    <t>F08-09</t>
  </si>
  <si>
    <t>F08-10</t>
  </si>
  <si>
    <t>F08-11</t>
  </si>
  <si>
    <t>Defaulter tracing register  colm "w"</t>
  </si>
  <si>
    <t xml:space="preserve">Defaulter tracing register  colm "u" and "aa". Cause of death recorded under remarks. 
Triangulate with transitioned patient status form </t>
  </si>
  <si>
    <t>HIV disease resulting in TB</t>
  </si>
  <si>
    <t>Other HIV disease, resulting in other diseases or conditions leading to death</t>
  </si>
  <si>
    <t>Non-natural causes</t>
  </si>
  <si>
    <t>Unknown Cause</t>
  </si>
  <si>
    <t>Code</t>
  </si>
  <si>
    <t xml:space="preserve">Died (confirmed) </t>
  </si>
  <si>
    <t xml:space="preserve">HIV disease resulting in cancer      </t>
  </si>
  <si>
    <t>Sub-Indicator</t>
  </si>
  <si>
    <t>Errors</t>
  </si>
  <si>
    <t>Sub County</t>
  </si>
  <si>
    <t>Health Facility</t>
  </si>
  <si>
    <t>Month</t>
  </si>
  <si>
    <t>Year</t>
  </si>
  <si>
    <t>WARNINGS &amp; ERRORS</t>
  </si>
  <si>
    <t>Errors per Section</t>
  </si>
  <si>
    <t>Early Warning Service Quality</t>
  </si>
  <si>
    <t>County</t>
  </si>
  <si>
    <t>People who inject drugs (PWID)</t>
  </si>
  <si>
    <t>Men who have sex with men (MSM)</t>
  </si>
  <si>
    <t>Transgender people (TG)</t>
  </si>
  <si>
    <t>Female sex workers (FSW)</t>
  </si>
  <si>
    <t>People in prison and other closed settings</t>
  </si>
  <si>
    <t>General Population</t>
  </si>
  <si>
    <t>F08-001</t>
  </si>
  <si>
    <t>F08-002</t>
  </si>
  <si>
    <t>F08-003</t>
  </si>
  <si>
    <t>F08-004</t>
  </si>
  <si>
    <t>F08-005</t>
  </si>
  <si>
    <t>F08-006</t>
  </si>
  <si>
    <t xml:space="preserve">Transferred Out                              </t>
  </si>
  <si>
    <t>A count of Patients confirmed to be successfully transferred to another
health facility during the reporting period, this includes both “silent transfers” and
“down-referrals.” A ‘down-referral’ refers to those instances where a patient is
initiated at one facility (counted as TX_NEW and possibly TX_CURR at the initiating
facility) and then transferred to a lower level facility for ongoing ART. “Silent
transfer” refers to those clients that are lost to treatment at one facility, but have reentered treatment at another facility without notifying the original departing facility</t>
  </si>
  <si>
    <t>Refused (Stopped) Treatment</t>
  </si>
  <si>
    <t>F08-012</t>
  </si>
  <si>
    <t>F08-013</t>
  </si>
  <si>
    <t>F08-014</t>
  </si>
  <si>
    <t>F08-015</t>
  </si>
  <si>
    <t>Patient was contacted and confirmed to have stopped ART during this reporting period. Reasons that the patient stopped ART should be investigated and well documented in the narratives for this indicator (e.g., stigma and discrimination, faith healing, etc.)</t>
  </si>
  <si>
    <t xml:space="preserve">This is a count of all clients with less than three months since the ART start date who turned Lost to follow-up during the reporting period. </t>
  </si>
  <si>
    <t>This is a count of all clients with more than three months since the ART start date who turned Lost to follow-up during the reporting period.</t>
  </si>
  <si>
    <t>Defaulter tracing register (with outcomes in either column U, V, W or X) and ART Cohort Register column B/EMR</t>
  </si>
  <si>
    <t>defaulter tracing register column "T"</t>
  </si>
  <si>
    <t>Total LTFU Oucomes</t>
  </si>
  <si>
    <t>Likii Dispensary</t>
  </si>
  <si>
    <t>15035</t>
  </si>
  <si>
    <t>Laikipia East</t>
  </si>
  <si>
    <t>Laikipia</t>
  </si>
  <si>
    <t>02</t>
  </si>
  <si>
    <t>Prepared By:</t>
  </si>
  <si>
    <t>HIV disease resulting in other infectious and parasitic disease</t>
  </si>
  <si>
    <t>Other natural causes</t>
  </si>
  <si>
    <t>Died (confirmed)</t>
  </si>
  <si>
    <t>Transferred Out</t>
  </si>
  <si>
    <t>HIV disease resulting in cancer</t>
  </si>
  <si>
    <t>Facility Details</t>
  </si>
  <si>
    <t>ART</t>
  </si>
  <si>
    <t>HTS</t>
  </si>
  <si>
    <t>PMTCT</t>
  </si>
  <si>
    <t>Warnings Summaries</t>
  </si>
  <si>
    <t xml:space="preserve">Type any Justifications on the section below to explain reason for the warnings on the left </t>
  </si>
  <si>
    <t>Data Gaps Warnings</t>
  </si>
  <si>
    <t>INSTRUCTIONS FOR FILLING THE FINER AGE &amp; SEX DISGGREGATION TX_ML</t>
  </si>
  <si>
    <t xml:space="preserve">This is a count of individuals starting HAART treatment disaggregated by the age and sex within the last three months </t>
  </si>
  <si>
    <t>Reporting Guide Summaries</t>
  </si>
  <si>
    <t xml:space="preserve">[a] Previous Quarters Current on ART           </t>
  </si>
  <si>
    <t>This is a count of  all PLHIV who are active on ART three months ago from the reporting period</t>
  </si>
  <si>
    <t>Interruption in treatment After being on Treatment for more than  3 months</t>
  </si>
  <si>
    <t>Interruption in treatment After being on Treatment for less than  or equal to 3 months</t>
  </si>
  <si>
    <t>TX_RTT [ART patients who previeously experienced an interruption in treatment (IIT) and  returning to care during the quarter]</t>
  </si>
  <si>
    <t>Outcomes of TX_ML</t>
  </si>
  <si>
    <t>Total Outcomes For TX_ML Outcomes</t>
  </si>
  <si>
    <t>Number of ART patients from the general population with no clinical contact (or ARV drug pick-up) for greater than 28 days since their last expected contact who restarted ARVs within the reporting period</t>
  </si>
  <si>
    <t>Defaulter tracing register colm "y"</t>
  </si>
  <si>
    <t>Number of ART patients from the People who inject drugs (PWID) with no clinical contact (or ARV drug pick-up) for greater than 28 days since their last expected contact who restarted ARVs within the reporting period</t>
  </si>
  <si>
    <t>Number of ART patients from the Men who have sex with men (MSM) with no clinical contact (or ARV drug pick-up) for greater than 28 days since their last expected contact who restarted ARVs within the reporting period</t>
  </si>
  <si>
    <t>Number of ART patients from the Transgender people (TG) with no clinical contact (or ARV drug pick-up) for greater than 28 days since their last expected contact who restarted ARVs within the reporting period</t>
  </si>
  <si>
    <t>Number of ART patients from the Female sex workers (FSW) with no clinical contact (or ARV drug pick-up) for greater than 28 days since their last expected contact who restarted ARVs within the reporting period</t>
  </si>
  <si>
    <t>Number of ART patients from the People in prison and other closed settings with no clinical contact (or ARV drug pick-up) for greater than 28 days since their last expected contact who restarted ARVs within the reporting period</t>
  </si>
  <si>
    <t>Note: Please DON'T cut paste any cell, this will interfere with the formulas.</t>
  </si>
  <si>
    <r>
      <t xml:space="preserve">Incase you copy data, please </t>
    </r>
    <r>
      <rPr>
        <b/>
        <sz val="16"/>
        <color theme="1"/>
        <rFont val="Calibri"/>
        <family val="2"/>
        <scheme val="minor"/>
      </rPr>
      <t>paste as value</t>
    </r>
    <r>
      <rPr>
        <b/>
        <sz val="16"/>
        <color rgb="FFFF0000"/>
        <rFont val="Calibri"/>
        <family val="2"/>
        <scheme val="minor"/>
      </rPr>
      <t xml:space="preserve"> to avoid unexpected Red alerts</t>
    </r>
  </si>
  <si>
    <t>F08-007</t>
  </si>
  <si>
    <t>F08-008</t>
  </si>
  <si>
    <t>F08-009</t>
  </si>
  <si>
    <t>Treatment interruption of &lt;3 months before returning to treatment</t>
  </si>
  <si>
    <t>Treatment interruption of 3-5 months before returning to treatment</t>
  </si>
  <si>
    <t>Treatment interruption of 6+ months before returning to treatment</t>
  </si>
  <si>
    <t>TX_RTT
[Disaggregate by Duration of treatment
interruption before returning
to treatment]</t>
  </si>
  <si>
    <t>TX_RTT 
[Disaggregate by Population type]</t>
  </si>
  <si>
    <t>This disaggregate is used to track how long
patients who were returned to treatment experienced an interruption in ART by  6+ months intervals. Duration of interruption in treatment
should be measured by the time period between the missed appointment that
triggered IIT and the appointment where the patient was restarted on treatment</t>
  </si>
  <si>
    <t>This disaggregate is used to track how long
patients who were returned to treatment experienced an interruption in ART by 3-5 months intervals. Duration of interruption in treatment
should be measured by the time period between the missed appointment that
triggered IIT and the appointment where the patient was restarted on treatment</t>
  </si>
  <si>
    <t>This disaggregate is used to track how long
patients who were returned to treatment experienced an interruption in ART by &lt;3
months intervals. Duration of interruption in treatment
should be measured by the time period between the missed appointment that
triggered IIT and the appointment where the patient was restarted on treatment</t>
  </si>
  <si>
    <t>F08-0131</t>
  </si>
  <si>
    <t>Interruption in treatment After being on Treatment for  3-5 months</t>
  </si>
  <si>
    <t>Interruption in treatment After being on Treatment for 6+ months</t>
  </si>
  <si>
    <t>Interruption in treatment After being on Treatment for less than 3 months</t>
  </si>
  <si>
    <t>Cause of  death (COD)</t>
  </si>
  <si>
    <t>F08-010</t>
  </si>
  <si>
    <t>F08-011</t>
  </si>
  <si>
    <t>Restarts</t>
  </si>
  <si>
    <t>TX_RTT, Restarts and Transfer In</t>
  </si>
  <si>
    <t>[e] Previous quarter's stopped on treatment restarted on ART within the quarter</t>
  </si>
  <si>
    <t>Generation of Potential TX_CURR</t>
  </si>
  <si>
    <r>
      <t xml:space="preserve">[f] Expected Current ON ART  </t>
    </r>
    <r>
      <rPr>
        <b/>
        <sz val="16"/>
        <color rgb="FF0070C0"/>
        <rFont val="Calibri"/>
        <family val="2"/>
        <scheme val="minor"/>
      </rPr>
      <t>[ a+b+c+d+e]</t>
    </r>
  </si>
  <si>
    <r>
      <t>[h] Patients to account for under TX_ML</t>
    </r>
    <r>
      <rPr>
        <b/>
        <sz val="16"/>
        <color theme="4"/>
        <rFont val="Calibri"/>
        <family val="2"/>
        <scheme val="minor"/>
      </rPr>
      <t xml:space="preserve"> [ f-g]</t>
    </r>
  </si>
  <si>
    <t>F18-001</t>
  </si>
  <si>
    <t>F18-002</t>
  </si>
  <si>
    <t>F18-003</t>
  </si>
  <si>
    <t>F18-004</t>
  </si>
  <si>
    <t>F18-005</t>
  </si>
  <si>
    <t>F18-006</t>
  </si>
  <si>
    <t>F18-007</t>
  </si>
  <si>
    <t>F18-008</t>
  </si>
  <si>
    <r>
      <t xml:space="preserve">Cause of  death (COD) </t>
    </r>
    <r>
      <rPr>
        <b/>
        <i/>
        <sz val="18"/>
        <color theme="1"/>
        <rFont val="Calibri"/>
        <family val="2"/>
        <scheme val="minor"/>
      </rPr>
      <t>Optional</t>
    </r>
  </si>
  <si>
    <r>
      <t xml:space="preserve">[g] Current on ART </t>
    </r>
    <r>
      <rPr>
        <sz val="16"/>
        <color theme="4"/>
        <rFont val="Calibri"/>
        <family val="2"/>
        <scheme val="minor"/>
      </rPr>
      <t xml:space="preserve"> [</t>
    </r>
    <r>
      <rPr>
        <b/>
        <sz val="16"/>
        <color theme="4"/>
        <rFont val="Calibri"/>
        <family val="2"/>
        <scheme val="minor"/>
      </rPr>
      <t>Pulled from from1a for the last month of the current quarter]</t>
    </r>
  </si>
  <si>
    <r>
      <t>[b] Starting ART for the Quarter</t>
    </r>
    <r>
      <rPr>
        <b/>
        <sz val="16"/>
        <color theme="8"/>
        <rFont val="Calibri"/>
        <family val="2"/>
        <scheme val="minor"/>
      </rPr>
      <t xml:space="preserve"> </t>
    </r>
    <r>
      <rPr>
        <b/>
        <sz val="16"/>
        <color theme="4"/>
        <rFont val="Calibri"/>
        <family val="2"/>
        <scheme val="minor"/>
      </rPr>
      <t>[pulled from Form1as submitted within the quarter]</t>
    </r>
  </si>
  <si>
    <r>
      <t>[c] IIT Patients Returning to Care for the Quarter</t>
    </r>
    <r>
      <rPr>
        <b/>
        <sz val="16"/>
        <color rgb="FF0070C0"/>
        <rFont val="Calibri"/>
        <family val="2"/>
        <scheme val="minor"/>
      </rPr>
      <t xml:space="preserve"> </t>
    </r>
    <r>
      <rPr>
        <b/>
        <sz val="16"/>
        <color theme="4"/>
        <rFont val="Calibri"/>
        <family val="2"/>
        <scheme val="minor"/>
      </rPr>
      <t>[ SUM F08-001 to F08-006]</t>
    </r>
  </si>
  <si>
    <t>Transfer Ins (TX_TI)</t>
  </si>
  <si>
    <t>Clients who in the previous quarter(s) stopped treatment on clinical grounds (upon advise by clinician) and later restarted on ART treatment within the current quarter</t>
  </si>
  <si>
    <t>Previous quarter(s) stopped treatment on clinical grounds (upon advise by clinician) restarted on ART within the current quarter</t>
  </si>
  <si>
    <r>
      <t>Transfer Ins</t>
    </r>
    <r>
      <rPr>
        <sz val="18"/>
        <color rgb="FFFF0000"/>
        <rFont val="Calibri"/>
        <family val="2"/>
        <scheme val="minor"/>
      </rPr>
      <t xml:space="preserve"> (TX_TI)</t>
    </r>
  </si>
  <si>
    <r>
      <t>Transfer in</t>
    </r>
    <r>
      <rPr>
        <sz val="18"/>
        <color rgb="FFFF0000"/>
        <rFont val="Calibri"/>
        <family val="2"/>
        <scheme val="minor"/>
      </rPr>
      <t xml:space="preserve"> Clients</t>
    </r>
    <r>
      <rPr>
        <sz val="18"/>
        <color theme="1"/>
        <rFont val="Calibri"/>
        <family val="2"/>
        <scheme val="minor"/>
      </rPr>
      <t xml:space="preserve"> reported within the quarter</t>
    </r>
  </si>
  <si>
    <r>
      <t>[b] Starting ART for the Quarter</t>
    </r>
    <r>
      <rPr>
        <sz val="18"/>
        <color theme="8"/>
        <rFont val="Calibri"/>
        <family val="2"/>
        <scheme val="minor"/>
      </rPr>
      <t xml:space="preserve"> [pulled from Form1as submitted within the quarter]</t>
    </r>
  </si>
  <si>
    <r>
      <t>[c] IIT Patients Returning to Care for the Quarter</t>
    </r>
    <r>
      <rPr>
        <sz val="18"/>
        <color rgb="FF0070C0"/>
        <rFont val="Calibri"/>
        <family val="2"/>
        <scheme val="minor"/>
      </rPr>
      <t xml:space="preserve"> </t>
    </r>
    <r>
      <rPr>
        <sz val="18"/>
        <color theme="8"/>
        <rFont val="Calibri"/>
        <family val="2"/>
        <scheme val="minor"/>
      </rPr>
      <t>[ SUM F08-001 to F08-006]</t>
    </r>
  </si>
  <si>
    <r>
      <rPr>
        <sz val="18"/>
        <color rgb="FFC00000"/>
        <rFont val="Calibri"/>
        <family val="2"/>
        <scheme val="minor"/>
      </rPr>
      <t xml:space="preserve">[d] Patients who transferred in within the quarter </t>
    </r>
    <r>
      <rPr>
        <sz val="18"/>
        <color theme="8"/>
        <rFont val="Calibri"/>
        <family val="2"/>
        <scheme val="minor"/>
      </rPr>
      <t>[pulled from element  F08-010 above]</t>
    </r>
  </si>
  <si>
    <r>
      <t xml:space="preserve">[f] Expected Current ON ART  </t>
    </r>
    <r>
      <rPr>
        <sz val="18"/>
        <color rgb="FF0070C0"/>
        <rFont val="Calibri"/>
        <family val="2"/>
        <scheme val="minor"/>
      </rPr>
      <t>[ a+b+c+d+e]</t>
    </r>
  </si>
  <si>
    <r>
      <t>[g] Current on ART  (</t>
    </r>
    <r>
      <rPr>
        <sz val="18"/>
        <color theme="8"/>
        <rFont val="Calibri"/>
        <family val="2"/>
        <scheme val="minor"/>
      </rPr>
      <t>Pulled from from1a for the last month of the current quarter]</t>
    </r>
  </si>
  <si>
    <r>
      <t>[h] Patients to account for under TX_ML</t>
    </r>
    <r>
      <rPr>
        <sz val="18"/>
        <color theme="4"/>
        <rFont val="Calibri"/>
        <family val="2"/>
        <scheme val="minor"/>
      </rPr>
      <t xml:space="preserve"> [ f-g]</t>
    </r>
  </si>
  <si>
    <r>
      <t>[e] Previous quarter's stopped on treatment restarted on ART within the quarter</t>
    </r>
    <r>
      <rPr>
        <b/>
        <sz val="16"/>
        <color theme="1"/>
        <rFont val="Calibri"/>
        <family val="2"/>
        <scheme val="minor"/>
      </rPr>
      <t xml:space="preserve"> </t>
    </r>
    <r>
      <rPr>
        <b/>
        <sz val="16"/>
        <color theme="4"/>
        <rFont val="Calibri"/>
        <family val="2"/>
        <scheme val="minor"/>
      </rPr>
      <t>[F08-011</t>
    </r>
    <r>
      <rPr>
        <b/>
        <sz val="16"/>
        <color theme="1"/>
        <rFont val="Calibri"/>
        <family val="2"/>
        <scheme val="minor"/>
      </rPr>
      <t>]</t>
    </r>
  </si>
  <si>
    <t>Reporting Guide Summaries
 [This  section is autopopulated to help in generation of Potential TX_CURR and possible number of patients to account for under TX_ML]</t>
  </si>
  <si>
    <r>
      <t xml:space="preserve">[d] Patients who transferred in within the quarter </t>
    </r>
    <r>
      <rPr>
        <b/>
        <sz val="16"/>
        <color theme="1"/>
        <rFont val="Calibri"/>
        <family val="2"/>
        <scheme val="minor"/>
      </rPr>
      <t>[</t>
    </r>
    <r>
      <rPr>
        <b/>
        <sz val="16"/>
        <color theme="4"/>
        <rFont val="Calibri"/>
        <family val="2"/>
        <scheme val="minor"/>
      </rPr>
      <t>pulled from element  F08-010 above</t>
    </r>
    <r>
      <rPr>
        <b/>
        <sz val="16"/>
        <color theme="1"/>
        <rFont val="Calibri"/>
        <family val="2"/>
        <scheme val="minor"/>
      </rPr>
      <t>]</t>
    </r>
  </si>
  <si>
    <t>1.0 TX_RTT, Restarts and Transfer In</t>
  </si>
  <si>
    <t>2.0 Generation of Potential TX_CURR</t>
  </si>
  <si>
    <t>3.0 ACCOUNTING FOR ART PATIENTS WHO EXPERIENCED INTERUPTION IN TREATMENT (IIT)</t>
  </si>
  <si>
    <t>50-54</t>
  </si>
  <si>
    <t>55-59</t>
  </si>
  <si>
    <t>60-64</t>
  </si>
  <si>
    <t>65+</t>
  </si>
  <si>
    <r>
      <t>Transfer in Clients</t>
    </r>
    <r>
      <rPr>
        <sz val="15"/>
        <color rgb="FFFF0000"/>
        <rFont val="Calibri"/>
        <family val="2"/>
        <scheme val="minor"/>
      </rPr>
      <t xml:space="preserve"> </t>
    </r>
    <r>
      <rPr>
        <sz val="15"/>
        <color theme="1"/>
        <rFont val="Calibri"/>
        <family val="2"/>
        <scheme val="minor"/>
      </rPr>
      <t>reported within the quarter</t>
    </r>
  </si>
  <si>
    <t>Total Patients Starting ART and CD4 Count Done</t>
  </si>
  <si>
    <t>CD4 &lt; 200</t>
  </si>
  <si>
    <t>CD4 &gt;=200</t>
  </si>
  <si>
    <t>Unknown CD4</t>
  </si>
  <si>
    <t>F08-016</t>
  </si>
  <si>
    <t>F08-017</t>
  </si>
  <si>
    <t>F08-018</t>
  </si>
  <si>
    <t>F08-019</t>
  </si>
  <si>
    <t>TX_ML  Data 2.2.0</t>
  </si>
  <si>
    <t>Not Eligible for CD4</t>
  </si>
  <si>
    <t>F08-020</t>
  </si>
  <si>
    <t>CD4 status for TX_RTT</t>
  </si>
  <si>
    <t>Total Patients Restarting ART and CD4 Count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</si>
</sst>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font>
      <sz val="11"/>
      <color theme="1"/>
      <name val="Calibri"/>
      <family val="2"/>
      <scheme val="minor"/>
    </font>
    <font>
      <sz val="10"/>
      <name val="Arial"/>
      <family val="2"/>
    </font>
    <font>
      <sz val="11"/>
      <color rgb="FF9C5700"/>
      <name val="Calibri"/>
      <family val="2"/>
      <scheme val="minor"/>
    </font>
    <font>
      <sz val="8"/>
      <name val="Calibri"/>
      <family val="2"/>
      <scheme val="minor"/>
    </font>
    <font>
      <sz val="18"/>
      <color theme="1"/>
      <name val="Browallia New"/>
      <family val="2"/>
      <charset val="222"/>
    </font>
    <font>
      <sz val="18"/>
      <color theme="0"/>
      <name val="Browallia New"/>
      <family val="2"/>
      <charset val="222"/>
    </font>
    <font>
      <b/>
      <sz val="16"/>
      <color theme="1"/>
      <name val="Calibri"/>
      <family val="2"/>
      <scheme val="minor"/>
    </font>
    <font>
      <b/>
      <sz val="16"/>
      <color rgb="FFFF0000"/>
      <name val="Calibri"/>
      <family val="2"/>
      <scheme val="minor"/>
    </font>
    <font>
      <sz val="16"/>
      <color theme="0"/>
      <name val="Calibri"/>
      <family val="2"/>
      <scheme val="minor"/>
    </font>
    <font>
      <b/>
      <sz val="16"/>
      <color theme="0"/>
      <name val="Calibri"/>
      <family val="2"/>
      <scheme val="minor"/>
    </font>
    <font>
      <b/>
      <sz val="16"/>
      <name val="Calibri"/>
      <family val="2"/>
      <scheme val="minor"/>
    </font>
    <font>
      <sz val="16"/>
      <color theme="1"/>
      <name val="Calibri"/>
      <family val="2"/>
      <scheme val="minor"/>
    </font>
    <font>
      <b/>
      <sz val="16"/>
      <color rgb="FF0070C0"/>
      <name val="Calibri"/>
      <family val="2"/>
      <scheme val="minor"/>
    </font>
    <font>
      <b/>
      <sz val="16"/>
      <color theme="4"/>
      <name val="Calibri"/>
      <family val="2"/>
      <scheme val="minor"/>
    </font>
    <font>
      <b/>
      <i/>
      <sz val="16"/>
      <color theme="2" tint="-0.499984740745262"/>
      <name val="Calibri"/>
      <family val="2"/>
      <scheme val="minor"/>
    </font>
    <font>
      <sz val="16"/>
      <color theme="2" tint="-0.499984740745262"/>
      <name val="Calibri"/>
      <family val="2"/>
      <scheme val="minor"/>
    </font>
    <font>
      <sz val="18"/>
      <color theme="1"/>
      <name val="Calibri"/>
      <family val="2"/>
      <scheme val="minor"/>
    </font>
    <font>
      <sz val="16"/>
      <color theme="4"/>
      <name val="Calibri"/>
      <family val="2"/>
      <scheme val="minor"/>
    </font>
    <font>
      <b/>
      <sz val="16"/>
      <color theme="8"/>
      <name val="Calibri"/>
      <family val="2"/>
      <scheme val="minor"/>
    </font>
    <font>
      <b/>
      <sz val="18"/>
      <color rgb="FFFF0000"/>
      <name val="Calibri"/>
      <family val="2"/>
      <scheme val="minor"/>
    </font>
    <font>
      <b/>
      <sz val="20"/>
      <color rgb="FFFF0000"/>
      <name val="Calibri"/>
      <family val="2"/>
      <scheme val="minor"/>
    </font>
    <font>
      <b/>
      <sz val="18"/>
      <color theme="1"/>
      <name val="Calibri"/>
      <family val="2"/>
      <scheme val="minor"/>
    </font>
    <font>
      <sz val="18"/>
      <color theme="1"/>
      <name val="Browallia New"/>
      <family val="2"/>
    </font>
    <font>
      <b/>
      <sz val="18"/>
      <color theme="1"/>
      <name val="Browallia New"/>
      <family val="2"/>
    </font>
    <font>
      <b/>
      <sz val="18"/>
      <color theme="4" tint="-0.499984740745262"/>
      <name val="Calibri"/>
      <family val="2"/>
      <scheme val="minor"/>
    </font>
    <font>
      <b/>
      <sz val="18"/>
      <color theme="0" tint="-4.9989318521683403E-2"/>
      <name val="Calibri"/>
      <family val="2"/>
      <scheme val="minor"/>
    </font>
    <font>
      <b/>
      <i/>
      <sz val="18"/>
      <color theme="1"/>
      <name val="Calibri"/>
      <family val="2"/>
      <scheme val="minor"/>
    </font>
    <font>
      <sz val="18"/>
      <color rgb="FFC00000"/>
      <name val="Calibri"/>
      <family val="2"/>
      <scheme val="minor"/>
    </font>
    <font>
      <sz val="18"/>
      <color rgb="FFFF0000"/>
      <name val="Calibri"/>
      <family val="2"/>
      <scheme val="minor"/>
    </font>
    <font>
      <sz val="18"/>
      <color theme="8"/>
      <name val="Calibri"/>
      <family val="2"/>
      <scheme val="minor"/>
    </font>
    <font>
      <sz val="18"/>
      <color rgb="FF0070C0"/>
      <name val="Calibri"/>
      <family val="2"/>
      <scheme val="minor"/>
    </font>
    <font>
      <sz val="18"/>
      <color theme="4"/>
      <name val="Calibri"/>
      <family val="2"/>
      <scheme val="minor"/>
    </font>
    <font>
      <sz val="15"/>
      <color theme="1"/>
      <name val="Calibri"/>
      <family val="2"/>
      <scheme val="minor"/>
    </font>
    <font>
      <b/>
      <sz val="15"/>
      <color theme="1"/>
      <name val="Calibri"/>
      <family val="2"/>
      <scheme val="minor"/>
    </font>
    <font>
      <b/>
      <sz val="15"/>
      <name val="Calibri"/>
      <family val="2"/>
      <scheme val="minor"/>
    </font>
    <font>
      <sz val="15"/>
      <color rgb="FFFF0000"/>
      <name val="Calibri"/>
      <family val="2"/>
      <scheme val="minor"/>
    </font>
    <font>
      <b/>
      <sz val="15"/>
      <color rgb="FFFF0000"/>
      <name val="Calibri"/>
      <family val="2"/>
      <scheme val="minor"/>
    </font>
    <font>
      <sz val="15"/>
      <color theme="9" tint="0.59999389629810485"/>
      <name val="Calibri"/>
      <family val="2"/>
      <scheme val="minor"/>
    </font>
    <font>
      <sz val="15"/>
      <color theme="0"/>
      <name val="Calibri"/>
      <family val="2"/>
      <scheme val="minor"/>
    </font>
    <font>
      <b/>
      <sz val="15"/>
      <color theme="9" tint="0.39997558519241921"/>
      <name val="Calibri"/>
      <family val="2"/>
      <scheme val="minor"/>
    </font>
    <font>
      <sz val="20"/>
      <color theme="1"/>
      <name val="Calibri"/>
      <family val="2"/>
      <scheme val="minor"/>
    </font>
    <font>
      <sz val="14"/>
      <color theme="1"/>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EB9C"/>
      </patternFill>
    </fill>
    <fill>
      <patternFill patternType="solid">
        <fgColor theme="0" tint="-4.9989318521683403E-2"/>
        <bgColor indexed="64"/>
      </patternFill>
    </fill>
    <fill>
      <patternFill patternType="solid">
        <fgColor rgb="FFFFFF00"/>
        <bgColor indexed="64"/>
      </patternFill>
    </fill>
  </fills>
  <borders count="14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medium">
        <color theme="9"/>
      </left>
      <right style="medium">
        <color theme="9"/>
      </right>
      <top style="medium">
        <color theme="9"/>
      </top>
      <bottom style="medium">
        <color theme="9"/>
      </bottom>
      <diagonal/>
    </border>
    <border>
      <left style="thin">
        <color theme="2" tint="-0.249977111117893"/>
      </left>
      <right style="thin">
        <color theme="2" tint="-0.249977111117893"/>
      </right>
      <top style="medium">
        <color theme="9"/>
      </top>
      <bottom style="thin">
        <color theme="2" tint="-0.249977111117893"/>
      </bottom>
      <diagonal/>
    </border>
    <border>
      <left style="thin">
        <color theme="2" tint="-0.249977111117893"/>
      </left>
      <right style="thin">
        <color theme="2" tint="-0.249977111117893"/>
      </right>
      <top style="thin">
        <color theme="2" tint="-0.249977111117893"/>
      </top>
      <bottom style="medium">
        <color theme="9"/>
      </bottom>
      <diagonal/>
    </border>
    <border>
      <left style="thin">
        <color theme="2" tint="-0.249977111117893"/>
      </left>
      <right style="thin">
        <color theme="2" tint="-0.249977111117893"/>
      </right>
      <top style="medium">
        <color theme="9"/>
      </top>
      <bottom style="medium">
        <color theme="9"/>
      </bottom>
      <diagonal/>
    </border>
    <border>
      <left style="thin">
        <color theme="2" tint="-0.249977111117893"/>
      </left>
      <right/>
      <top/>
      <bottom style="thin">
        <color theme="2" tint="-0.249977111117893"/>
      </bottom>
      <diagonal/>
    </border>
    <border>
      <left/>
      <right/>
      <top style="thin">
        <color theme="2" tint="-0.249977111117893"/>
      </top>
      <bottom style="thin">
        <color theme="2" tint="-0.249977111117893"/>
      </bottom>
      <diagonal/>
    </border>
    <border>
      <left style="medium">
        <color theme="9"/>
      </left>
      <right style="medium">
        <color theme="9"/>
      </right>
      <top style="medium">
        <color theme="9"/>
      </top>
      <bottom style="thin">
        <color theme="2" tint="-0.249977111117893"/>
      </bottom>
      <diagonal/>
    </border>
    <border>
      <left style="medium">
        <color theme="9"/>
      </left>
      <right style="medium">
        <color theme="9"/>
      </right>
      <top style="thin">
        <color theme="2" tint="-0.249977111117893"/>
      </top>
      <bottom style="thin">
        <color theme="2" tint="-0.249977111117893"/>
      </bottom>
      <diagonal/>
    </border>
    <border>
      <left style="medium">
        <color theme="9"/>
      </left>
      <right style="medium">
        <color theme="9"/>
      </right>
      <top style="thin">
        <color theme="2" tint="-0.249977111117893"/>
      </top>
      <bottom style="medium">
        <color theme="9"/>
      </bottom>
      <diagonal/>
    </border>
    <border>
      <left style="medium">
        <color theme="9"/>
      </left>
      <right/>
      <top style="medium">
        <color theme="9"/>
      </top>
      <bottom style="thin">
        <color theme="2" tint="-0.249977111117893"/>
      </bottom>
      <diagonal/>
    </border>
    <border>
      <left style="medium">
        <color theme="9"/>
      </left>
      <right/>
      <top style="thin">
        <color theme="2" tint="-0.249977111117893"/>
      </top>
      <bottom style="medium">
        <color theme="9"/>
      </bottom>
      <diagonal/>
    </border>
    <border>
      <left/>
      <right style="thin">
        <color theme="2" tint="-0.249977111117893"/>
      </right>
      <top style="medium">
        <color theme="9"/>
      </top>
      <bottom style="thin">
        <color theme="2" tint="-0.249977111117893"/>
      </bottom>
      <diagonal/>
    </border>
    <border>
      <left/>
      <right style="thin">
        <color theme="2" tint="-0.249977111117893"/>
      </right>
      <top style="thin">
        <color theme="2" tint="-0.249977111117893"/>
      </top>
      <bottom style="medium">
        <color theme="9"/>
      </bottom>
      <diagonal/>
    </border>
    <border>
      <left/>
      <right style="thin">
        <color theme="2" tint="-0.249977111117893"/>
      </right>
      <top/>
      <bottom style="thin">
        <color theme="2" tint="-0.249977111117893"/>
      </bottom>
      <diagonal/>
    </border>
    <border>
      <left style="medium">
        <color theme="9"/>
      </left>
      <right/>
      <top style="medium">
        <color theme="9"/>
      </top>
      <bottom style="medium">
        <color theme="9"/>
      </bottom>
      <diagonal/>
    </border>
    <border>
      <left/>
      <right style="thin">
        <color theme="2" tint="-0.249977111117893"/>
      </right>
      <top style="medium">
        <color theme="9"/>
      </top>
      <bottom style="medium">
        <color theme="9"/>
      </bottom>
      <diagonal/>
    </border>
    <border>
      <left style="medium">
        <color theme="9"/>
      </left>
      <right style="medium">
        <color theme="9"/>
      </right>
      <top/>
      <bottom style="thin">
        <color theme="2" tint="-0.249977111117893"/>
      </bottom>
      <diagonal/>
    </border>
    <border>
      <left/>
      <right/>
      <top/>
      <bottom style="thin">
        <color theme="2" tint="-0.249977111117893"/>
      </bottom>
      <diagonal/>
    </border>
    <border>
      <left style="thin">
        <color theme="2" tint="-0.249977111117893"/>
      </left>
      <right/>
      <top style="thin">
        <color theme="2" tint="-0.249977111117893"/>
      </top>
      <bottom style="medium">
        <color theme="9"/>
      </bottom>
      <diagonal/>
    </border>
    <border>
      <left style="medium">
        <color theme="9"/>
      </left>
      <right style="thin">
        <color theme="9"/>
      </right>
      <top style="medium">
        <color theme="9"/>
      </top>
      <bottom style="medium">
        <color theme="9"/>
      </bottom>
      <diagonal/>
    </border>
    <border>
      <left/>
      <right/>
      <top style="medium">
        <color theme="9"/>
      </top>
      <bottom style="medium">
        <color theme="9"/>
      </bottom>
      <diagonal/>
    </border>
    <border>
      <left/>
      <right style="thin">
        <color indexed="64"/>
      </right>
      <top style="medium">
        <color theme="9"/>
      </top>
      <bottom style="medium">
        <color theme="9"/>
      </bottom>
      <diagonal/>
    </border>
    <border>
      <left style="thin">
        <color indexed="64"/>
      </left>
      <right/>
      <top style="medium">
        <color theme="9"/>
      </top>
      <bottom style="medium">
        <color theme="9"/>
      </bottom>
      <diagonal/>
    </border>
    <border>
      <left style="medium">
        <color theme="9"/>
      </left>
      <right/>
      <top/>
      <bottom/>
      <diagonal/>
    </border>
    <border>
      <left style="medium">
        <color theme="9"/>
      </left>
      <right style="medium">
        <color theme="9"/>
      </right>
      <top/>
      <bottom/>
      <diagonal/>
    </border>
    <border>
      <left style="thin">
        <color indexed="64"/>
      </left>
      <right/>
      <top style="thin">
        <color indexed="64"/>
      </top>
      <bottom style="medium">
        <color theme="9"/>
      </bottom>
      <diagonal/>
    </border>
    <border>
      <left/>
      <right/>
      <top style="thin">
        <color indexed="64"/>
      </top>
      <bottom style="medium">
        <color theme="9"/>
      </bottom>
      <diagonal/>
    </border>
    <border>
      <left style="thin">
        <color theme="2" tint="-0.249977111117893"/>
      </left>
      <right/>
      <top style="medium">
        <color theme="9"/>
      </top>
      <bottom style="medium">
        <color theme="9"/>
      </bottom>
      <diagonal/>
    </border>
    <border>
      <left/>
      <right/>
      <top style="thin">
        <color theme="2" tint="-0.249977111117893"/>
      </top>
      <bottom style="medium">
        <color theme="9"/>
      </bottom>
      <diagonal/>
    </border>
    <border>
      <left/>
      <right/>
      <top style="medium">
        <color theme="9"/>
      </top>
      <bottom style="thin">
        <color theme="2" tint="-0.249977111117893"/>
      </bottom>
      <diagonal/>
    </border>
    <border>
      <left style="medium">
        <color theme="9"/>
      </left>
      <right style="medium">
        <color theme="9"/>
      </right>
      <top style="medium">
        <color theme="9"/>
      </top>
      <bottom/>
      <diagonal/>
    </border>
    <border>
      <left style="medium">
        <color theme="9"/>
      </left>
      <right style="medium">
        <color theme="9"/>
      </right>
      <top/>
      <bottom style="medium">
        <color theme="9"/>
      </bottom>
      <diagonal/>
    </border>
    <border>
      <left/>
      <right style="medium">
        <color theme="9"/>
      </right>
      <top/>
      <bottom/>
      <diagonal/>
    </border>
    <border>
      <left style="thin">
        <color theme="9"/>
      </left>
      <right style="thin">
        <color theme="9"/>
      </right>
      <top style="thin">
        <color theme="9"/>
      </top>
      <bottom style="thin">
        <color theme="9"/>
      </bottom>
      <diagonal/>
    </border>
    <border>
      <left/>
      <right/>
      <top/>
      <bottom style="medium">
        <color theme="9"/>
      </bottom>
      <diagonal/>
    </border>
    <border>
      <left/>
      <right style="thin">
        <color theme="9"/>
      </right>
      <top style="thin">
        <color theme="9"/>
      </top>
      <bottom style="thin">
        <color theme="9"/>
      </bottom>
      <diagonal/>
    </border>
    <border>
      <left style="medium">
        <color theme="4"/>
      </left>
      <right/>
      <top/>
      <bottom/>
      <diagonal/>
    </border>
    <border>
      <left/>
      <right style="medium">
        <color theme="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theme="9"/>
      </left>
      <right/>
      <top style="thin">
        <color theme="9"/>
      </top>
      <bottom style="thin">
        <color theme="9"/>
      </bottom>
      <diagonal/>
    </border>
    <border>
      <left/>
      <right/>
      <top style="thin">
        <color theme="9"/>
      </top>
      <bottom style="thin">
        <color theme="9"/>
      </bottom>
      <diagonal/>
    </border>
    <border>
      <left/>
      <right style="medium">
        <color theme="9"/>
      </right>
      <top style="medium">
        <color theme="9"/>
      </top>
      <bottom style="medium">
        <color theme="9"/>
      </bottom>
      <diagonal/>
    </border>
    <border>
      <left/>
      <right/>
      <top style="medium">
        <color theme="9"/>
      </top>
      <bottom/>
      <diagonal/>
    </border>
    <border>
      <left style="medium">
        <color theme="9"/>
      </left>
      <right style="medium">
        <color theme="9"/>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style="medium">
        <color theme="9"/>
      </right>
      <top/>
      <bottom style="thin">
        <color theme="2" tint="-0.249977111117893"/>
      </bottom>
      <diagonal/>
    </border>
    <border>
      <left style="medium">
        <color theme="9"/>
      </left>
      <right/>
      <top style="thin">
        <color theme="2" tint="-0.249977111117893"/>
      </top>
      <bottom style="thin">
        <color theme="2" tint="-0.249977111117893"/>
      </bottom>
      <diagonal/>
    </border>
    <border>
      <left style="thin">
        <color theme="2" tint="-0.249977111117893"/>
      </left>
      <right style="medium">
        <color theme="9"/>
      </right>
      <top style="medium">
        <color theme="9"/>
      </top>
      <bottom/>
      <diagonal/>
    </border>
    <border>
      <left style="thin">
        <color theme="2" tint="-0.249977111117893"/>
      </left>
      <right style="thin">
        <color theme="2" tint="-0.249977111117893"/>
      </right>
      <top style="medium">
        <color theme="9"/>
      </top>
      <bottom/>
      <diagonal/>
    </border>
    <border>
      <left style="thin">
        <color theme="2" tint="-0.249977111117893"/>
      </left>
      <right/>
      <top style="medium">
        <color theme="9"/>
      </top>
      <bottom style="thin">
        <color theme="2" tint="-0.249977111117893"/>
      </bottom>
      <diagonal/>
    </border>
    <border>
      <left style="thin">
        <color theme="9"/>
      </left>
      <right/>
      <top style="thin">
        <color theme="9"/>
      </top>
      <bottom/>
      <diagonal/>
    </border>
    <border>
      <left style="medium">
        <color theme="9"/>
      </left>
      <right style="medium">
        <color theme="9"/>
      </right>
      <top style="medium">
        <color theme="9"/>
      </top>
      <bottom style="thin">
        <color theme="9"/>
      </bottom>
      <diagonal/>
    </border>
    <border>
      <left style="medium">
        <color theme="9"/>
      </left>
      <right style="medium">
        <color theme="9"/>
      </right>
      <top style="thin">
        <color theme="9"/>
      </top>
      <bottom style="thin">
        <color theme="9"/>
      </bottom>
      <diagonal/>
    </border>
    <border>
      <left style="medium">
        <color theme="9"/>
      </left>
      <right style="medium">
        <color theme="9"/>
      </right>
      <top style="thin">
        <color theme="9"/>
      </top>
      <bottom style="medium">
        <color theme="9"/>
      </bottom>
      <diagonal/>
    </border>
    <border>
      <left/>
      <right style="thin">
        <color theme="9"/>
      </right>
      <top style="thin">
        <color theme="9"/>
      </top>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2" tint="-0.249977111117893"/>
      </right>
      <top/>
      <bottom style="medium">
        <color theme="9"/>
      </bottom>
      <diagonal/>
    </border>
    <border>
      <left/>
      <right style="thin">
        <color theme="0" tint="-0.249977111117893"/>
      </right>
      <top style="thin">
        <color theme="0" tint="-0.249977111117893"/>
      </top>
      <bottom style="thin">
        <color theme="0" tint="-0.249977111117893"/>
      </bottom>
      <diagonal/>
    </border>
    <border>
      <left style="medium">
        <color theme="9"/>
      </left>
      <right/>
      <top style="medium">
        <color theme="9"/>
      </top>
      <bottom/>
      <diagonal/>
    </border>
    <border>
      <left style="medium">
        <color theme="9"/>
      </left>
      <right/>
      <top/>
      <bottom style="medium">
        <color theme="9"/>
      </bottom>
      <diagonal/>
    </border>
    <border>
      <left style="thin">
        <color theme="0" tint="-0.249977111117893"/>
      </left>
      <right style="thin">
        <color theme="0" tint="-0.249977111117893"/>
      </right>
      <top style="medium">
        <color theme="9"/>
      </top>
      <bottom style="thin">
        <color theme="0" tint="-0.249977111117893"/>
      </bottom>
      <diagonal/>
    </border>
    <border>
      <left/>
      <right style="thin">
        <color theme="0" tint="-0.249977111117893"/>
      </right>
      <top style="medium">
        <color theme="9"/>
      </top>
      <bottom style="thin">
        <color theme="0" tint="-0.249977111117893"/>
      </bottom>
      <diagonal/>
    </border>
    <border>
      <left style="thin">
        <color theme="0" tint="-0.249977111117893"/>
      </left>
      <right style="thin">
        <color theme="0" tint="-0.249977111117893"/>
      </right>
      <top style="thin">
        <color theme="0" tint="-0.249977111117893"/>
      </top>
      <bottom style="medium">
        <color theme="9"/>
      </bottom>
      <diagonal/>
    </border>
    <border>
      <left/>
      <right style="thin">
        <color theme="0" tint="-0.249977111117893"/>
      </right>
      <top style="thin">
        <color theme="0" tint="-0.249977111117893"/>
      </top>
      <bottom style="medium">
        <color theme="9"/>
      </bottom>
      <diagonal/>
    </border>
    <border>
      <left style="medium">
        <color theme="9"/>
      </left>
      <right style="medium">
        <color theme="9"/>
      </right>
      <top style="medium">
        <color theme="9"/>
      </top>
      <bottom style="thin">
        <color theme="0" tint="-0.249977111117893"/>
      </bottom>
      <diagonal/>
    </border>
    <border>
      <left style="medium">
        <color theme="9"/>
      </left>
      <right style="medium">
        <color theme="9"/>
      </right>
      <top style="thin">
        <color theme="0" tint="-0.249977111117893"/>
      </top>
      <bottom style="thin">
        <color theme="0" tint="-0.249977111117893"/>
      </bottom>
      <diagonal/>
    </border>
    <border>
      <left style="medium">
        <color theme="9"/>
      </left>
      <right style="medium">
        <color theme="9"/>
      </right>
      <top style="thin">
        <color theme="0" tint="-0.249977111117893"/>
      </top>
      <bottom style="medium">
        <color theme="9"/>
      </bottom>
      <diagonal/>
    </border>
    <border>
      <left style="thin">
        <color theme="2" tint="-0.249977111117893"/>
      </left>
      <right style="thin">
        <color theme="2" tint="-0.249977111117893"/>
      </right>
      <top/>
      <bottom/>
      <diagonal/>
    </border>
    <border>
      <left/>
      <right style="thin">
        <color theme="2" tint="-0.249977111117893"/>
      </right>
      <top style="medium">
        <color theme="9"/>
      </top>
      <bottom/>
      <diagonal/>
    </border>
    <border>
      <left style="thin">
        <color theme="0" tint="-0.249977111117893"/>
      </left>
      <right/>
      <top style="medium">
        <color theme="9"/>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style="medium">
        <color theme="9"/>
      </bottom>
      <diagonal/>
    </border>
    <border>
      <left style="medium">
        <color theme="9"/>
      </left>
      <right/>
      <top style="thin">
        <color theme="2" tint="-0.249977111117893"/>
      </top>
      <bottom/>
      <diagonal/>
    </border>
    <border>
      <left/>
      <right style="medium">
        <color theme="9"/>
      </right>
      <top style="medium">
        <color theme="9"/>
      </top>
      <bottom style="thin">
        <color theme="0" tint="-0.249977111117893"/>
      </bottom>
      <diagonal/>
    </border>
    <border>
      <left/>
      <right style="medium">
        <color theme="9"/>
      </right>
      <top style="thin">
        <color theme="0" tint="-0.249977111117893"/>
      </top>
      <bottom style="thin">
        <color theme="0" tint="-0.249977111117893"/>
      </bottom>
      <diagonal/>
    </border>
    <border>
      <left style="thin">
        <color theme="2" tint="-0.249977111117893"/>
      </left>
      <right style="thin">
        <color theme="2" tint="-0.249977111117893"/>
      </right>
      <top/>
      <bottom style="medium">
        <color theme="9"/>
      </bottom>
      <diagonal/>
    </border>
    <border>
      <left style="thin">
        <color theme="2" tint="-0.249977111117893"/>
      </left>
      <right/>
      <top/>
      <bottom style="medium">
        <color theme="9"/>
      </bottom>
      <diagonal/>
    </border>
    <border>
      <left style="medium">
        <color theme="0" tint="-0.34998626667073579"/>
      </left>
      <right style="thin">
        <color theme="2" tint="-0.249977111117893"/>
      </right>
      <top style="medium">
        <color theme="0" tint="-0.34998626667073579"/>
      </top>
      <bottom style="thin">
        <color theme="2" tint="-0.249977111117893"/>
      </bottom>
      <diagonal/>
    </border>
    <border>
      <left style="thin">
        <color theme="2" tint="-0.249977111117893"/>
      </left>
      <right style="thin">
        <color theme="2" tint="-0.249977111117893"/>
      </right>
      <top style="medium">
        <color theme="0" tint="-0.34998626667073579"/>
      </top>
      <bottom style="thin">
        <color theme="2" tint="-0.249977111117893"/>
      </bottom>
      <diagonal/>
    </border>
    <border>
      <left style="thin">
        <color theme="2" tint="-0.249977111117893"/>
      </left>
      <right/>
      <top style="medium">
        <color theme="0" tint="-0.34998626667073579"/>
      </top>
      <bottom style="thin">
        <color theme="2" tint="-0.249977111117893"/>
      </bottom>
      <diagonal/>
    </border>
    <border>
      <left style="thin">
        <color theme="2" tint="-0.249977111117893"/>
      </left>
      <right style="medium">
        <color theme="0" tint="-0.34998626667073579"/>
      </right>
      <top style="medium">
        <color theme="0" tint="-0.34998626667073579"/>
      </top>
      <bottom style="thin">
        <color theme="2" tint="-0.249977111117893"/>
      </bottom>
      <diagonal/>
    </border>
    <border>
      <left style="medium">
        <color theme="0" tint="-0.34998626667073579"/>
      </left>
      <right style="thin">
        <color theme="2" tint="-0.249977111117893"/>
      </right>
      <top style="thin">
        <color theme="2" tint="-0.249977111117893"/>
      </top>
      <bottom style="thin">
        <color theme="2" tint="-0.249977111117893"/>
      </bottom>
      <diagonal/>
    </border>
    <border>
      <left style="thin">
        <color theme="2" tint="-0.249977111117893"/>
      </left>
      <right style="medium">
        <color theme="0" tint="-0.34998626667073579"/>
      </right>
      <top style="thin">
        <color theme="2" tint="-0.249977111117893"/>
      </top>
      <bottom style="thin">
        <color theme="2" tint="-0.249977111117893"/>
      </bottom>
      <diagonal/>
    </border>
    <border>
      <left style="medium">
        <color theme="0" tint="-0.34998626667073579"/>
      </left>
      <right style="thin">
        <color theme="2" tint="-0.249977111117893"/>
      </right>
      <top style="thin">
        <color theme="2" tint="-0.249977111117893"/>
      </top>
      <bottom style="medium">
        <color theme="0" tint="-0.34998626667073579"/>
      </bottom>
      <diagonal/>
    </border>
    <border>
      <left style="thin">
        <color theme="2" tint="-0.249977111117893"/>
      </left>
      <right style="thin">
        <color theme="2" tint="-0.249977111117893"/>
      </right>
      <top style="thin">
        <color theme="2" tint="-0.249977111117893"/>
      </top>
      <bottom style="medium">
        <color theme="0" tint="-0.34998626667073579"/>
      </bottom>
      <diagonal/>
    </border>
    <border>
      <left style="thin">
        <color theme="2" tint="-0.249977111117893"/>
      </left>
      <right/>
      <top style="thin">
        <color theme="2" tint="-0.249977111117893"/>
      </top>
      <bottom style="medium">
        <color theme="0" tint="-0.34998626667073579"/>
      </bottom>
      <diagonal/>
    </border>
    <border>
      <left style="thin">
        <color theme="2" tint="-0.249977111117893"/>
      </left>
      <right style="medium">
        <color theme="0" tint="-0.34998626667073579"/>
      </right>
      <top style="thin">
        <color theme="2" tint="-0.249977111117893"/>
      </top>
      <bottom style="medium">
        <color theme="0" tint="-0.34998626667073579"/>
      </bottom>
      <diagonal/>
    </border>
    <border>
      <left style="medium">
        <color theme="9"/>
      </left>
      <right style="thin">
        <color theme="0" tint="-0.34998626667073579"/>
      </right>
      <top style="medium">
        <color theme="9"/>
      </top>
      <bottom style="thin">
        <color theme="0" tint="-0.34998626667073579"/>
      </bottom>
      <diagonal/>
    </border>
    <border>
      <left style="thin">
        <color theme="0" tint="-0.34998626667073579"/>
      </left>
      <right style="medium">
        <color theme="9"/>
      </right>
      <top style="medium">
        <color theme="9"/>
      </top>
      <bottom style="thin">
        <color theme="0" tint="-0.34998626667073579"/>
      </bottom>
      <diagonal/>
    </border>
    <border>
      <left style="medium">
        <color theme="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9"/>
      </right>
      <top style="thin">
        <color theme="0" tint="-0.34998626667073579"/>
      </top>
      <bottom style="thin">
        <color theme="0" tint="-0.34998626667073579"/>
      </bottom>
      <diagonal/>
    </border>
    <border>
      <left style="medium">
        <color theme="9"/>
      </left>
      <right style="thin">
        <color theme="0" tint="-0.34998626667073579"/>
      </right>
      <top style="thin">
        <color theme="0" tint="-0.34998626667073579"/>
      </top>
      <bottom style="medium">
        <color theme="9"/>
      </bottom>
      <diagonal/>
    </border>
    <border>
      <left style="thin">
        <color theme="0" tint="-0.34998626667073579"/>
      </left>
      <right style="medium">
        <color theme="9"/>
      </right>
      <top style="thin">
        <color theme="0" tint="-0.34998626667073579"/>
      </top>
      <bottom style="medium">
        <color theme="9"/>
      </bottom>
      <diagonal/>
    </border>
    <border>
      <left/>
      <right style="thin">
        <color theme="2" tint="-0.249977111117893"/>
      </right>
      <top style="medium">
        <color theme="0" tint="-0.34998626667073579"/>
      </top>
      <bottom style="thin">
        <color theme="2" tint="-0.249977111117893"/>
      </bottom>
      <diagonal/>
    </border>
    <border>
      <left/>
      <right style="thin">
        <color theme="2" tint="-0.249977111117893"/>
      </right>
      <top style="thin">
        <color theme="2" tint="-0.249977111117893"/>
      </top>
      <bottom style="medium">
        <color theme="0" tint="-0.34998626667073579"/>
      </bottom>
      <diagonal/>
    </border>
    <border>
      <left style="medium">
        <color theme="9"/>
      </left>
      <right style="thin">
        <color theme="2" tint="-0.249977111117893"/>
      </right>
      <top/>
      <bottom style="medium">
        <color theme="9"/>
      </bottom>
      <diagonal/>
    </border>
    <border>
      <left style="thin">
        <color theme="2" tint="-0.249977111117893"/>
      </left>
      <right style="medium">
        <color theme="9"/>
      </right>
      <top/>
      <bottom style="medium">
        <color theme="9"/>
      </bottom>
      <diagonal/>
    </border>
    <border>
      <left style="medium">
        <color theme="9"/>
      </left>
      <right style="thin">
        <color theme="0" tint="-0.34998626667073579"/>
      </right>
      <top style="thin">
        <color theme="0" tint="-0.34998626667073579"/>
      </top>
      <bottom/>
      <diagonal/>
    </border>
    <border>
      <left style="thin">
        <color theme="0" tint="-0.34998626667073579"/>
      </left>
      <right style="medium">
        <color theme="9"/>
      </right>
      <top style="thin">
        <color theme="0" tint="-0.34998626667073579"/>
      </top>
      <bottom/>
      <diagonal/>
    </border>
    <border>
      <left style="medium">
        <color theme="9"/>
      </left>
      <right style="thin">
        <color theme="0" tint="-0.34998626667073579"/>
      </right>
      <top/>
      <bottom style="medium">
        <color theme="9"/>
      </bottom>
      <diagonal/>
    </border>
    <border>
      <left style="thin">
        <color theme="0" tint="-0.34998626667073579"/>
      </left>
      <right style="medium">
        <color theme="9"/>
      </right>
      <top/>
      <bottom style="medium">
        <color theme="9"/>
      </bottom>
      <diagonal/>
    </border>
    <border>
      <left style="medium">
        <color theme="9"/>
      </left>
      <right style="thin">
        <color theme="2" tint="-0.249977111117893"/>
      </right>
      <top style="medium">
        <color theme="9"/>
      </top>
      <bottom style="medium">
        <color theme="9"/>
      </bottom>
      <diagonal/>
    </border>
    <border>
      <left style="medium">
        <color theme="9"/>
      </left>
      <right style="thin">
        <color theme="0" tint="-0.34998626667073579"/>
      </right>
      <top style="medium">
        <color theme="9"/>
      </top>
      <bottom style="medium">
        <color theme="9"/>
      </bottom>
      <diagonal/>
    </border>
    <border>
      <left style="thin">
        <color theme="0" tint="-0.34998626667073579"/>
      </left>
      <right style="medium">
        <color theme="9"/>
      </right>
      <top style="medium">
        <color theme="9"/>
      </top>
      <bottom style="medium">
        <color theme="9"/>
      </bottom>
      <diagonal/>
    </border>
    <border>
      <left style="thin">
        <color theme="2" tint="-0.249977111117893"/>
      </left>
      <right style="medium">
        <color theme="9"/>
      </right>
      <top style="medium">
        <color theme="9"/>
      </top>
      <bottom style="medium">
        <color theme="9"/>
      </bottom>
      <diagonal/>
    </border>
    <border>
      <left style="medium">
        <color theme="9"/>
      </left>
      <right style="thin">
        <color theme="0" tint="-0.34998626667073579"/>
      </right>
      <top/>
      <bottom style="thin">
        <color theme="0" tint="-0.34998626667073579"/>
      </bottom>
      <diagonal/>
    </border>
    <border>
      <left style="thin">
        <color theme="0" tint="-0.34998626667073579"/>
      </left>
      <right style="medium">
        <color theme="9"/>
      </right>
      <top/>
      <bottom style="thin">
        <color theme="0" tint="-0.34998626667073579"/>
      </bottom>
      <diagonal/>
    </border>
    <border>
      <left style="medium">
        <color theme="9"/>
      </left>
      <right style="thin">
        <color theme="2" tint="-0.249977111117893"/>
      </right>
      <top style="medium">
        <color theme="9"/>
      </top>
      <bottom style="thin">
        <color theme="2" tint="-0.249977111117893"/>
      </bottom>
      <diagonal/>
    </border>
    <border>
      <left style="thin">
        <color theme="2" tint="-0.249977111117893"/>
      </left>
      <right style="medium">
        <color theme="9"/>
      </right>
      <top style="medium">
        <color theme="9"/>
      </top>
      <bottom style="thin">
        <color theme="2" tint="-0.249977111117893"/>
      </bottom>
      <diagonal/>
    </border>
    <border>
      <left style="medium">
        <color theme="9"/>
      </left>
      <right style="thin">
        <color theme="2" tint="-0.249977111117893"/>
      </right>
      <top style="thin">
        <color theme="2" tint="-0.249977111117893"/>
      </top>
      <bottom style="thin">
        <color theme="2" tint="-0.249977111117893"/>
      </bottom>
      <diagonal/>
    </border>
    <border>
      <left style="thin">
        <color theme="2" tint="-0.249977111117893"/>
      </left>
      <right style="medium">
        <color theme="9"/>
      </right>
      <top style="thin">
        <color theme="2" tint="-0.249977111117893"/>
      </top>
      <bottom style="thin">
        <color theme="2" tint="-0.249977111117893"/>
      </bottom>
      <diagonal/>
    </border>
    <border>
      <left style="medium">
        <color theme="9"/>
      </left>
      <right style="thin">
        <color theme="2" tint="-0.249977111117893"/>
      </right>
      <top style="thin">
        <color theme="2" tint="-0.249977111117893"/>
      </top>
      <bottom style="medium">
        <color theme="9"/>
      </bottom>
      <diagonal/>
    </border>
    <border>
      <left style="thin">
        <color theme="2" tint="-0.249977111117893"/>
      </left>
      <right style="medium">
        <color theme="9"/>
      </right>
      <top style="thin">
        <color theme="2" tint="-0.249977111117893"/>
      </top>
      <bottom style="medium">
        <color theme="9"/>
      </bottom>
      <diagonal/>
    </border>
    <border>
      <left style="thin">
        <color theme="9"/>
      </left>
      <right style="thin">
        <color theme="9"/>
      </right>
      <top style="thin">
        <color theme="9"/>
      </top>
      <bottom/>
      <diagonal/>
    </border>
    <border>
      <left style="thin">
        <color theme="9"/>
      </left>
      <right style="thin">
        <color theme="9"/>
      </right>
      <top/>
      <bottom/>
      <diagonal/>
    </border>
    <border>
      <left style="thin">
        <color theme="9"/>
      </left>
      <right style="thin">
        <color theme="9"/>
      </right>
      <top/>
      <bottom style="thin">
        <color theme="9"/>
      </bottom>
      <diagonal/>
    </border>
  </borders>
  <cellStyleXfs count="3">
    <xf numFmtId="0" fontId="0" fillId="0" borderId="0"/>
    <xf numFmtId="0" fontId="1" fillId="0" borderId="0" applyNumberFormat="0" applyFont="0" applyFill="0" applyBorder="0" applyAlignment="0" applyProtection="0"/>
    <xf numFmtId="0" fontId="2" fillId="11" borderId="0" applyNumberFormat="0" applyBorder="0" applyAlignment="0" applyProtection="0"/>
  </cellStyleXfs>
  <cellXfs count="401">
    <xf numFmtId="0" fontId="0" fillId="0" borderId="0" xfId="0"/>
    <xf numFmtId="0" fontId="4" fillId="0" borderId="0" xfId="0" applyFont="1" applyAlignment="1">
      <alignment wrapText="1"/>
    </xf>
    <xf numFmtId="0" fontId="4" fillId="0" borderId="0" xfId="0" applyFont="1"/>
    <xf numFmtId="0" fontId="5" fillId="5" borderId="0" xfId="0" applyFont="1" applyFill="1" applyBorder="1"/>
    <xf numFmtId="0" fontId="5" fillId="5" borderId="0" xfId="0" applyFont="1" applyFill="1" applyBorder="1" applyAlignment="1">
      <alignment wrapText="1"/>
    </xf>
    <xf numFmtId="0" fontId="6" fillId="6" borderId="29" xfId="0" applyFont="1" applyFill="1" applyBorder="1" applyAlignment="1">
      <alignment vertical="top" wrapText="1"/>
    </xf>
    <xf numFmtId="0" fontId="6" fillId="0" borderId="30" xfId="0" applyFont="1" applyBorder="1" applyAlignment="1">
      <alignment horizontal="left" vertical="center"/>
    </xf>
    <xf numFmtId="0" fontId="6" fillId="6" borderId="32" xfId="0" applyFont="1" applyFill="1" applyBorder="1" applyAlignment="1">
      <alignment vertical="center"/>
    </xf>
    <xf numFmtId="0" fontId="8" fillId="5" borderId="0" xfId="0" applyFont="1" applyFill="1" applyBorder="1" applyAlignment="1">
      <alignment horizontal="center"/>
    </xf>
    <xf numFmtId="0" fontId="9" fillId="5" borderId="0" xfId="0" applyFont="1" applyFill="1" applyBorder="1" applyAlignment="1">
      <alignment horizontal="left"/>
    </xf>
    <xf numFmtId="0" fontId="6" fillId="0" borderId="0" xfId="0" applyFont="1" applyAlignment="1">
      <alignment horizontal="left"/>
    </xf>
    <xf numFmtId="0" fontId="6" fillId="0" borderId="0" xfId="0" applyFont="1" applyAlignment="1">
      <alignment horizontal="center" wrapText="1"/>
    </xf>
    <xf numFmtId="0" fontId="6" fillId="0" borderId="0" xfId="0" applyFont="1"/>
    <xf numFmtId="0" fontId="9" fillId="5" borderId="0" xfId="0" applyFont="1" applyFill="1" applyBorder="1"/>
    <xf numFmtId="0" fontId="6" fillId="0" borderId="0" xfId="0" applyFont="1" applyAlignment="1">
      <alignment vertical="top" wrapText="1"/>
    </xf>
    <xf numFmtId="0" fontId="6" fillId="0" borderId="0" xfId="0" applyFont="1" applyAlignment="1">
      <alignment wrapText="1"/>
    </xf>
    <xf numFmtId="0" fontId="6" fillId="0" borderId="3" xfId="0" applyFont="1" applyBorder="1" applyAlignment="1">
      <alignment wrapText="1"/>
    </xf>
    <xf numFmtId="0" fontId="6" fillId="0" borderId="2" xfId="0" applyFont="1" applyBorder="1" applyAlignment="1">
      <alignment wrapText="1"/>
    </xf>
    <xf numFmtId="0" fontId="6" fillId="0" borderId="3" xfId="0" applyFont="1" applyBorder="1"/>
    <xf numFmtId="0" fontId="6" fillId="0" borderId="2" xfId="0" applyFont="1" applyBorder="1"/>
    <xf numFmtId="0" fontId="6" fillId="0" borderId="0" xfId="0" applyFont="1" applyAlignment="1"/>
    <xf numFmtId="0" fontId="9" fillId="5" borderId="0" xfId="0" applyFont="1" applyFill="1" applyBorder="1" applyAlignment="1">
      <alignment vertical="center"/>
    </xf>
    <xf numFmtId="0" fontId="6" fillId="0" borderId="0" xfId="0" applyFont="1" applyAlignment="1">
      <alignment vertical="center"/>
    </xf>
    <xf numFmtId="0" fontId="6" fillId="7" borderId="26" xfId="0" applyFont="1" applyFill="1" applyBorder="1" applyAlignment="1">
      <alignment horizontal="center" vertical="center" wrapText="1"/>
    </xf>
    <xf numFmtId="0" fontId="6" fillId="8" borderId="14" xfId="0" applyFont="1" applyFill="1" applyBorder="1" applyAlignment="1">
      <alignment vertical="center"/>
    </xf>
    <xf numFmtId="0" fontId="8" fillId="5" borderId="33" xfId="0" applyFont="1" applyFill="1" applyBorder="1" applyAlignment="1">
      <alignment horizontal="center"/>
    </xf>
    <xf numFmtId="0" fontId="8" fillId="5" borderId="0" xfId="0" applyFont="1" applyFill="1" applyBorder="1"/>
    <xf numFmtId="0" fontId="11" fillId="5" borderId="0" xfId="0" applyFont="1" applyFill="1"/>
    <xf numFmtId="49" fontId="10" fillId="4" borderId="12" xfId="1" applyNumberFormat="1" applyFont="1" applyFill="1" applyBorder="1" applyAlignment="1">
      <alignment horizontal="center" vertical="center"/>
    </xf>
    <xf numFmtId="0" fontId="6" fillId="0" borderId="18" xfId="0" applyFont="1" applyFill="1" applyBorder="1" applyAlignment="1">
      <alignment horizontal="center" vertical="center" wrapText="1"/>
    </xf>
    <xf numFmtId="0" fontId="6" fillId="0" borderId="28" xfId="0" applyFont="1" applyFill="1" applyBorder="1" applyAlignment="1">
      <alignment vertical="center"/>
    </xf>
    <xf numFmtId="0" fontId="11" fillId="2" borderId="15" xfId="0" applyFont="1" applyFill="1" applyBorder="1" applyAlignment="1">
      <alignment horizontal="left" vertical="top"/>
    </xf>
    <xf numFmtId="0" fontId="11" fillId="10" borderId="15" xfId="0" applyFont="1" applyFill="1" applyBorder="1" applyAlignment="1">
      <alignment horizontal="left" vertical="top" wrapText="1"/>
    </xf>
    <xf numFmtId="0" fontId="11" fillId="5" borderId="33" xfId="0" applyFont="1" applyFill="1" applyBorder="1" applyAlignment="1">
      <alignment horizontal="center"/>
    </xf>
    <xf numFmtId="0" fontId="11" fillId="5" borderId="0" xfId="0" applyFont="1" applyFill="1" applyBorder="1"/>
    <xf numFmtId="0" fontId="11" fillId="0" borderId="0" xfId="0" applyFont="1"/>
    <xf numFmtId="0" fontId="11" fillId="0" borderId="0" xfId="0" applyFont="1" applyAlignment="1">
      <alignment wrapText="1"/>
    </xf>
    <xf numFmtId="0" fontId="11" fillId="2" borderId="0" xfId="0" applyFont="1" applyFill="1" applyBorder="1" applyAlignment="1">
      <alignment horizontal="left" vertical="top"/>
    </xf>
    <xf numFmtId="0" fontId="11" fillId="10" borderId="0" xfId="0" applyFont="1" applyFill="1" applyBorder="1" applyAlignment="1">
      <alignment horizontal="left" vertical="top" wrapText="1"/>
    </xf>
    <xf numFmtId="49" fontId="10" fillId="4" borderId="8" xfId="1" applyNumberFormat="1" applyFont="1" applyFill="1" applyBorder="1" applyAlignment="1">
      <alignment horizontal="center" vertical="center"/>
    </xf>
    <xf numFmtId="0" fontId="6" fillId="7" borderId="15" xfId="0" applyFont="1" applyFill="1" applyBorder="1" applyAlignment="1">
      <alignment horizontal="center" vertical="center"/>
    </xf>
    <xf numFmtId="0" fontId="6" fillId="8" borderId="15" xfId="0" applyFont="1" applyFill="1" applyBorder="1" applyAlignment="1">
      <alignment horizontal="center" vertical="center"/>
    </xf>
    <xf numFmtId="0" fontId="11" fillId="0" borderId="15" xfId="0" applyFont="1" applyBorder="1" applyAlignment="1">
      <alignment horizontal="left" vertical="center" wrapText="1"/>
    </xf>
    <xf numFmtId="0" fontId="11" fillId="10" borderId="15" xfId="0" applyFont="1" applyFill="1" applyBorder="1" applyAlignment="1">
      <alignment horizontal="left" vertical="top"/>
    </xf>
    <xf numFmtId="0" fontId="11" fillId="0" borderId="0" xfId="0" applyFont="1" applyAlignment="1"/>
    <xf numFmtId="0" fontId="7" fillId="0" borderId="0" xfId="0" applyFont="1" applyAlignment="1">
      <alignment vertical="top" wrapText="1"/>
    </xf>
    <xf numFmtId="0" fontId="6" fillId="0" borderId="0" xfId="0" applyFont="1" applyAlignment="1">
      <alignment horizontal="left" vertical="center" wrapText="1"/>
    </xf>
    <xf numFmtId="0" fontId="11" fillId="0" borderId="0" xfId="0" applyFont="1" applyAlignment="1">
      <alignment vertical="center"/>
    </xf>
    <xf numFmtId="0" fontId="11" fillId="0" borderId="0" xfId="0" applyFont="1" applyAlignment="1">
      <alignment vertical="top" wrapText="1"/>
    </xf>
    <xf numFmtId="0" fontId="11" fillId="0" borderId="0" xfId="0" applyFont="1" applyAlignment="1">
      <alignment horizontal="left" vertical="center" wrapText="1"/>
    </xf>
    <xf numFmtId="0" fontId="8" fillId="5" borderId="0" xfId="0" applyFont="1" applyFill="1" applyBorder="1" applyAlignment="1">
      <alignment horizontal="center" vertical="center"/>
    </xf>
    <xf numFmtId="0" fontId="11" fillId="5" borderId="0" xfId="0" applyFont="1" applyFill="1" applyBorder="1" applyAlignment="1">
      <alignment horizontal="center"/>
    </xf>
    <xf numFmtId="0" fontId="6" fillId="0" borderId="44" xfId="0" applyFont="1" applyBorder="1" applyAlignment="1" applyProtection="1">
      <alignment horizontal="left" vertical="center" wrapText="1"/>
      <protection locked="0"/>
    </xf>
    <xf numFmtId="0" fontId="6" fillId="8" borderId="15" xfId="0" applyFont="1" applyFill="1" applyBorder="1" applyAlignment="1">
      <alignment horizontal="center" vertical="center"/>
    </xf>
    <xf numFmtId="0" fontId="11" fillId="0" borderId="27" xfId="0" applyFont="1" applyBorder="1" applyAlignment="1">
      <alignment horizontal="left" vertical="center" wrapText="1"/>
    </xf>
    <xf numFmtId="0" fontId="11" fillId="0" borderId="19" xfId="0" applyFont="1" applyBorder="1" applyAlignment="1">
      <alignment horizontal="left" vertical="center" wrapText="1"/>
    </xf>
    <xf numFmtId="0" fontId="11" fillId="0" borderId="72" xfId="0" applyFont="1" applyBorder="1" applyAlignment="1">
      <alignment horizontal="left" vertical="center" wrapText="1"/>
    </xf>
    <xf numFmtId="0" fontId="11" fillId="0" borderId="20" xfId="0" applyFont="1" applyBorder="1" applyAlignment="1">
      <alignment horizontal="left" vertical="center" wrapText="1"/>
    </xf>
    <xf numFmtId="0" fontId="11" fillId="5" borderId="33" xfId="0" applyFont="1" applyFill="1" applyBorder="1" applyAlignment="1">
      <alignment horizontal="center" vertical="center"/>
    </xf>
    <xf numFmtId="0" fontId="11" fillId="5" borderId="0" xfId="0" applyFont="1" applyFill="1" applyBorder="1" applyAlignment="1">
      <alignment vertical="center"/>
    </xf>
    <xf numFmtId="0" fontId="20" fillId="3" borderId="30" xfId="0" applyFont="1" applyFill="1" applyBorder="1" applyAlignment="1">
      <alignment vertical="center"/>
    </xf>
    <xf numFmtId="0" fontId="21" fillId="4" borderId="10" xfId="0" applyFont="1" applyFill="1" applyBorder="1" applyAlignment="1">
      <alignment horizontal="center" vertical="center" wrapText="1"/>
    </xf>
    <xf numFmtId="0" fontId="22" fillId="5" borderId="0" xfId="0" applyFont="1" applyFill="1" applyAlignment="1"/>
    <xf numFmtId="0" fontId="23" fillId="5" borderId="2" xfId="0" applyFont="1" applyFill="1" applyBorder="1" applyAlignment="1"/>
    <xf numFmtId="0" fontId="22" fillId="5" borderId="0" xfId="0" applyFont="1" applyFill="1" applyAlignment="1">
      <alignment horizontal="left"/>
    </xf>
    <xf numFmtId="0" fontId="23" fillId="5" borderId="1" xfId="0" applyFont="1" applyFill="1" applyBorder="1" applyAlignment="1">
      <alignment horizontal="left" wrapText="1"/>
    </xf>
    <xf numFmtId="0" fontId="23" fillId="5" borderId="1" xfId="0" applyFont="1" applyFill="1" applyBorder="1" applyAlignment="1">
      <alignment vertical="center" wrapText="1"/>
    </xf>
    <xf numFmtId="0" fontId="23" fillId="5" borderId="1" xfId="0" applyFont="1" applyFill="1" applyBorder="1" applyAlignment="1">
      <alignment horizontal="center" vertical="top"/>
    </xf>
    <xf numFmtId="0" fontId="23" fillId="5" borderId="1" xfId="0" applyFont="1" applyFill="1" applyBorder="1" applyAlignment="1">
      <alignment horizontal="left" vertical="top" wrapText="1"/>
    </xf>
    <xf numFmtId="0" fontId="23" fillId="5" borderId="1" xfId="0" applyFont="1" applyFill="1" applyBorder="1" applyAlignment="1">
      <alignment horizontal="left" vertical="center"/>
    </xf>
    <xf numFmtId="0" fontId="16" fillId="5" borderId="0" xfId="0" applyFont="1" applyFill="1" applyAlignment="1"/>
    <xf numFmtId="0" fontId="16" fillId="5" borderId="0" xfId="0" applyFont="1" applyFill="1"/>
    <xf numFmtId="0" fontId="16" fillId="0" borderId="43" xfId="0" applyFont="1" applyBorder="1" applyAlignment="1">
      <alignment horizontal="left" vertical="center" wrapText="1"/>
    </xf>
    <xf numFmtId="0" fontId="16" fillId="12" borderId="43" xfId="0" applyFont="1" applyFill="1" applyBorder="1" applyAlignment="1">
      <alignment wrapText="1"/>
    </xf>
    <xf numFmtId="0" fontId="16" fillId="12" borderId="43" xfId="0" applyFont="1" applyFill="1" applyBorder="1"/>
    <xf numFmtId="0" fontId="16" fillId="0" borderId="15" xfId="0" applyFont="1" applyBorder="1" applyAlignment="1">
      <alignment horizontal="left" vertical="center" wrapText="1"/>
    </xf>
    <xf numFmtId="0" fontId="21" fillId="4" borderId="17" xfId="0" applyFont="1" applyFill="1" applyBorder="1" applyAlignment="1">
      <alignment horizontal="center" vertical="center" wrapText="1"/>
    </xf>
    <xf numFmtId="0" fontId="21" fillId="4" borderId="68" xfId="0" applyFont="1" applyFill="1" applyBorder="1" applyAlignment="1">
      <alignment horizontal="center" vertical="center" wrapText="1"/>
    </xf>
    <xf numFmtId="0" fontId="16" fillId="0" borderId="30" xfId="0" applyFont="1" applyBorder="1" applyAlignment="1">
      <alignment horizontal="left" vertical="center" wrapText="1"/>
    </xf>
    <xf numFmtId="1" fontId="24" fillId="12" borderId="25" xfId="2" applyNumberFormat="1" applyFont="1" applyFill="1" applyBorder="1" applyAlignment="1" applyProtection="1">
      <alignment horizontal="center" vertical="center"/>
    </xf>
    <xf numFmtId="0" fontId="21" fillId="4" borderId="43" xfId="0" applyFont="1" applyFill="1" applyBorder="1" applyAlignment="1">
      <alignment horizontal="center" vertical="center"/>
    </xf>
    <xf numFmtId="0" fontId="16" fillId="12" borderId="43" xfId="0" applyFont="1" applyFill="1" applyBorder="1" applyAlignment="1"/>
    <xf numFmtId="0" fontId="21" fillId="3" borderId="43" xfId="0" applyFont="1" applyFill="1" applyBorder="1" applyAlignment="1">
      <alignment horizontal="center" vertical="center"/>
    </xf>
    <xf numFmtId="0" fontId="16" fillId="5" borderId="43" xfId="0" applyFont="1" applyFill="1" applyBorder="1" applyAlignment="1">
      <alignment wrapText="1"/>
    </xf>
    <xf numFmtId="0" fontId="16" fillId="5" borderId="43" xfId="0" applyFont="1" applyFill="1" applyBorder="1" applyAlignment="1"/>
    <xf numFmtId="0" fontId="16" fillId="5" borderId="0" xfId="0" applyFont="1" applyFill="1" applyAlignment="1">
      <alignment horizontal="left" wrapText="1"/>
    </xf>
    <xf numFmtId="0" fontId="16" fillId="5" borderId="0" xfId="0" applyFont="1" applyFill="1" applyAlignment="1">
      <alignment vertical="center" wrapText="1"/>
    </xf>
    <xf numFmtId="0" fontId="22" fillId="5" borderId="0" xfId="0" applyFont="1" applyFill="1" applyAlignment="1">
      <alignment vertical="top" wrapText="1"/>
    </xf>
    <xf numFmtId="0" fontId="22" fillId="5" borderId="0" xfId="0" applyFont="1" applyFill="1" applyAlignment="1">
      <alignment horizontal="left" vertical="center"/>
    </xf>
    <xf numFmtId="0" fontId="16" fillId="0" borderId="10" xfId="0" applyFont="1" applyBorder="1" applyAlignment="1">
      <alignment vertical="top" wrapText="1"/>
    </xf>
    <xf numFmtId="0" fontId="16" fillId="0" borderId="45" xfId="0" applyFont="1" applyBorder="1" applyAlignment="1">
      <alignment horizontal="left" vertical="center" wrapText="1"/>
    </xf>
    <xf numFmtId="0" fontId="21" fillId="4" borderId="45" xfId="0" applyFont="1" applyFill="1" applyBorder="1" applyAlignment="1">
      <alignment horizontal="center" vertical="center"/>
    </xf>
    <xf numFmtId="0" fontId="21" fillId="3" borderId="80" xfId="0" applyFont="1" applyFill="1" applyBorder="1" applyAlignment="1">
      <alignment horizontal="left" vertical="center" wrapText="1"/>
    </xf>
    <xf numFmtId="0" fontId="21" fillId="5" borderId="0" xfId="0" applyFont="1" applyFill="1" applyAlignment="1">
      <alignment horizontal="center" vertical="top"/>
    </xf>
    <xf numFmtId="1" fontId="24" fillId="12" borderId="30" xfId="2" applyNumberFormat="1" applyFont="1" applyFill="1" applyBorder="1" applyAlignment="1" applyProtection="1">
      <alignment horizontal="center" vertical="center"/>
    </xf>
    <xf numFmtId="0" fontId="5" fillId="5" borderId="0" xfId="0" applyFont="1" applyFill="1" applyBorder="1" applyAlignment="1">
      <alignment horizontal="center"/>
    </xf>
    <xf numFmtId="0" fontId="24" fillId="5" borderId="0" xfId="2" applyFont="1" applyFill="1" applyBorder="1" applyAlignment="1" applyProtection="1">
      <alignment horizontal="center" vertical="center"/>
    </xf>
    <xf numFmtId="0" fontId="21" fillId="5" borderId="0" xfId="0" applyFont="1" applyFill="1" applyBorder="1" applyAlignment="1">
      <alignment horizontal="center" vertical="center" wrapText="1"/>
    </xf>
    <xf numFmtId="0" fontId="16" fillId="5" borderId="0" xfId="0" applyFont="1" applyFill="1" applyBorder="1" applyAlignment="1">
      <alignment horizontal="left" vertical="top"/>
    </xf>
    <xf numFmtId="0" fontId="16" fillId="5" borderId="0" xfId="0" applyFont="1" applyFill="1" applyBorder="1" applyAlignment="1">
      <alignment horizontal="left" vertical="top" wrapText="1"/>
    </xf>
    <xf numFmtId="0" fontId="24" fillId="5" borderId="0" xfId="2" applyFont="1" applyFill="1" applyBorder="1" applyAlignment="1" applyProtection="1">
      <alignment horizontal="center" vertical="center" wrapText="1"/>
    </xf>
    <xf numFmtId="1" fontId="24" fillId="5" borderId="0" xfId="2" applyNumberFormat="1" applyFont="1" applyFill="1" applyBorder="1" applyAlignment="1" applyProtection="1">
      <alignment horizontal="center" vertical="center" wrapText="1"/>
    </xf>
    <xf numFmtId="1" fontId="24" fillId="5" borderId="0" xfId="2" applyNumberFormat="1" applyFont="1" applyFill="1" applyBorder="1" applyAlignment="1" applyProtection="1">
      <alignment horizontal="center" vertical="center"/>
    </xf>
    <xf numFmtId="1" fontId="24" fillId="5" borderId="25" xfId="2" applyNumberFormat="1" applyFont="1" applyFill="1" applyBorder="1" applyAlignment="1" applyProtection="1">
      <alignment horizontal="center" vertical="center" wrapText="1"/>
    </xf>
    <xf numFmtId="1" fontId="24" fillId="5" borderId="25" xfId="2" applyNumberFormat="1" applyFont="1" applyFill="1" applyBorder="1" applyAlignment="1" applyProtection="1">
      <alignment horizontal="center" vertical="center"/>
    </xf>
    <xf numFmtId="0" fontId="24" fillId="5" borderId="37" xfId="2" applyFont="1" applyFill="1" applyBorder="1" applyAlignment="1" applyProtection="1">
      <alignment horizontal="center" vertical="center"/>
    </xf>
    <xf numFmtId="0" fontId="24" fillId="5" borderId="37" xfId="2" applyFont="1" applyFill="1" applyBorder="1" applyAlignment="1" applyProtection="1">
      <alignment horizontal="center" vertical="center" wrapText="1"/>
    </xf>
    <xf numFmtId="1" fontId="24" fillId="5" borderId="30" xfId="2" applyNumberFormat="1" applyFont="1" applyFill="1" applyBorder="1" applyAlignment="1" applyProtection="1">
      <alignment horizontal="center" vertical="center" wrapText="1"/>
    </xf>
    <xf numFmtId="1" fontId="24" fillId="5" borderId="30" xfId="2" applyNumberFormat="1" applyFont="1" applyFill="1" applyBorder="1" applyAlignment="1" applyProtection="1">
      <alignment horizontal="center" vertical="center"/>
    </xf>
    <xf numFmtId="0" fontId="16" fillId="0" borderId="77" xfId="0" applyFont="1" applyBorder="1" applyAlignment="1">
      <alignment horizontal="left" vertical="center" wrapText="1"/>
    </xf>
    <xf numFmtId="0" fontId="16" fillId="0" borderId="78" xfId="0" applyFont="1" applyBorder="1" applyAlignment="1">
      <alignment horizontal="left" vertical="center" wrapText="1"/>
    </xf>
    <xf numFmtId="0" fontId="16" fillId="0" borderId="79" xfId="0" applyFont="1" applyBorder="1" applyAlignment="1">
      <alignment horizontal="left" vertical="center" wrapText="1"/>
    </xf>
    <xf numFmtId="0" fontId="16" fillId="6" borderId="24" xfId="0" applyFont="1" applyFill="1" applyBorder="1" applyAlignment="1">
      <alignment horizontal="left" vertical="center" wrapText="1"/>
    </xf>
    <xf numFmtId="0" fontId="16" fillId="6" borderId="24" xfId="0" applyFont="1" applyFill="1" applyBorder="1" applyAlignment="1">
      <alignment horizontal="left" vertical="center"/>
    </xf>
    <xf numFmtId="0" fontId="28" fillId="6" borderId="24" xfId="0" applyFont="1" applyFill="1" applyBorder="1" applyAlignment="1">
      <alignment horizontal="left" vertical="center" wrapText="1"/>
    </xf>
    <xf numFmtId="0" fontId="11" fillId="6" borderId="92" xfId="0" applyFont="1" applyFill="1" applyBorder="1" applyAlignment="1">
      <alignment horizontal="left" vertical="center" wrapText="1"/>
    </xf>
    <xf numFmtId="0" fontId="11" fillId="6" borderId="93" xfId="0" applyFont="1" applyFill="1" applyBorder="1" applyAlignment="1">
      <alignment horizontal="left" vertical="center" wrapText="1"/>
    </xf>
    <xf numFmtId="0" fontId="11" fillId="6" borderId="94" xfId="0" applyFont="1" applyFill="1" applyBorder="1" applyAlignment="1">
      <alignment horizontal="left" vertical="center" wrapText="1"/>
    </xf>
    <xf numFmtId="0" fontId="11" fillId="6" borderId="41" xfId="0" applyFont="1" applyFill="1" applyBorder="1" applyAlignment="1">
      <alignment horizontal="left" vertical="center" wrapText="1"/>
    </xf>
    <xf numFmtId="0" fontId="11" fillId="0" borderId="0" xfId="0" applyFont="1"/>
    <xf numFmtId="49" fontId="10" fillId="4" borderId="96" xfId="1" applyNumberFormat="1" applyFont="1" applyFill="1" applyBorder="1" applyAlignment="1">
      <alignment horizontal="center" vertical="center"/>
    </xf>
    <xf numFmtId="49" fontId="10" fillId="4" borderId="95" xfId="1" applyNumberFormat="1" applyFont="1" applyFill="1" applyBorder="1" applyAlignment="1">
      <alignment horizontal="center" vertical="center"/>
    </xf>
    <xf numFmtId="0" fontId="11" fillId="0" borderId="0" xfId="0" applyFont="1"/>
    <xf numFmtId="0" fontId="32" fillId="0" borderId="39" xfId="0" applyFont="1" applyBorder="1" applyAlignment="1">
      <alignment horizontal="left" vertical="center" wrapText="1"/>
    </xf>
    <xf numFmtId="1" fontId="34" fillId="5" borderId="135" xfId="1" applyNumberFormat="1" applyFont="1" applyFill="1" applyBorder="1" applyAlignment="1" applyProtection="1">
      <alignment horizontal="center" vertical="center"/>
      <protection locked="0"/>
    </xf>
    <xf numFmtId="1" fontId="34" fillId="5" borderId="11" xfId="1" applyNumberFormat="1" applyFont="1" applyFill="1" applyBorder="1" applyAlignment="1" applyProtection="1">
      <alignment horizontal="center" vertical="center"/>
      <protection locked="0"/>
    </xf>
    <xf numFmtId="1" fontId="34" fillId="5" borderId="75" xfId="1" applyNumberFormat="1" applyFont="1" applyFill="1" applyBorder="1" applyAlignment="1" applyProtection="1">
      <alignment horizontal="center" vertical="center"/>
      <protection locked="0"/>
    </xf>
    <xf numFmtId="0" fontId="32" fillId="6" borderId="115" xfId="0" applyFont="1" applyFill="1" applyBorder="1" applyAlignment="1">
      <alignment horizontal="center" vertical="center" wrapText="1"/>
    </xf>
    <xf numFmtId="0" fontId="32" fillId="6" borderId="116" xfId="0" applyFont="1" applyFill="1" applyBorder="1" applyAlignment="1">
      <alignment horizontal="center" vertical="center" wrapText="1"/>
    </xf>
    <xf numFmtId="1" fontId="34" fillId="5" borderId="21" xfId="1" applyNumberFormat="1" applyFont="1" applyFill="1" applyBorder="1" applyAlignment="1" applyProtection="1">
      <alignment horizontal="center" vertical="center"/>
      <protection locked="0"/>
    </xf>
    <xf numFmtId="1" fontId="34" fillId="5" borderId="136" xfId="1" applyNumberFormat="1" applyFont="1" applyFill="1" applyBorder="1" applyAlignment="1" applyProtection="1">
      <alignment horizontal="center" vertical="center"/>
      <protection locked="0"/>
    </xf>
    <xf numFmtId="0" fontId="32" fillId="6" borderId="92" xfId="0" applyFont="1" applyFill="1" applyBorder="1" applyAlignment="1">
      <alignment horizontal="center" vertical="center" wrapText="1"/>
    </xf>
    <xf numFmtId="0" fontId="32" fillId="0" borderId="15" xfId="0" applyFont="1" applyBorder="1" applyAlignment="1">
      <alignment horizontal="left" vertical="center" wrapText="1"/>
    </xf>
    <xf numFmtId="1" fontId="34" fillId="5" borderId="137" xfId="1" applyNumberFormat="1" applyFont="1" applyFill="1" applyBorder="1" applyAlignment="1" applyProtection="1">
      <alignment horizontal="center" vertical="center"/>
      <protection locked="0"/>
    </xf>
    <xf numFmtId="1" fontId="34" fillId="5" borderId="6" xfId="1" applyNumberFormat="1" applyFont="1" applyFill="1" applyBorder="1" applyAlignment="1" applyProtection="1">
      <alignment horizontal="center" vertical="center"/>
      <protection locked="0"/>
    </xf>
    <xf numFmtId="1" fontId="34" fillId="5" borderId="81" xfId="1" applyNumberFormat="1" applyFont="1" applyFill="1" applyBorder="1" applyAlignment="1" applyProtection="1">
      <alignment horizontal="center" vertical="center"/>
      <protection locked="0"/>
    </xf>
    <xf numFmtId="0" fontId="32" fillId="6" borderId="117" xfId="0" applyFont="1" applyFill="1" applyBorder="1" applyAlignment="1">
      <alignment horizontal="center" vertical="center" wrapText="1"/>
    </xf>
    <xf numFmtId="0" fontId="32" fillId="6" borderId="118" xfId="0" applyFont="1" applyFill="1" applyBorder="1" applyAlignment="1">
      <alignment horizontal="center" vertical="center" wrapText="1"/>
    </xf>
    <xf numFmtId="1" fontId="34" fillId="5" borderId="7" xfId="1" applyNumberFormat="1" applyFont="1" applyFill="1" applyBorder="1" applyAlignment="1" applyProtection="1">
      <alignment horizontal="center" vertical="center"/>
      <protection locked="0"/>
    </xf>
    <xf numFmtId="1" fontId="34" fillId="5" borderId="138" xfId="1" applyNumberFormat="1" applyFont="1" applyFill="1" applyBorder="1" applyAlignment="1" applyProtection="1">
      <alignment horizontal="center" vertical="center"/>
      <protection locked="0"/>
    </xf>
    <xf numFmtId="0" fontId="32" fillId="6" borderId="93" xfId="0" applyFont="1" applyFill="1" applyBorder="1" applyAlignment="1">
      <alignment horizontal="center" vertical="center" wrapText="1"/>
    </xf>
    <xf numFmtId="0" fontId="32" fillId="0" borderId="38" xfId="0" applyFont="1" applyBorder="1" applyAlignment="1">
      <alignment horizontal="left" vertical="center" wrapText="1"/>
    </xf>
    <xf numFmtId="1" fontId="34" fillId="5" borderId="139" xfId="1" applyNumberFormat="1" applyFont="1" applyFill="1" applyBorder="1" applyAlignment="1" applyProtection="1">
      <alignment horizontal="center" vertical="center"/>
      <protection locked="0"/>
    </xf>
    <xf numFmtId="1" fontId="34" fillId="5" borderId="12" xfId="1" applyNumberFormat="1" applyFont="1" applyFill="1" applyBorder="1" applyAlignment="1" applyProtection="1">
      <alignment horizontal="center" vertical="center"/>
      <protection locked="0"/>
    </xf>
    <xf numFmtId="1" fontId="34" fillId="5" borderId="28" xfId="1" applyNumberFormat="1" applyFont="1" applyFill="1" applyBorder="1" applyAlignment="1" applyProtection="1">
      <alignment horizontal="center" vertical="center"/>
      <protection locked="0"/>
    </xf>
    <xf numFmtId="0" fontId="32" fillId="6" borderId="119" xfId="0" applyFont="1" applyFill="1" applyBorder="1" applyAlignment="1">
      <alignment horizontal="center" vertical="center" wrapText="1"/>
    </xf>
    <xf numFmtId="0" fontId="32" fillId="6" borderId="120" xfId="0" applyFont="1" applyFill="1" applyBorder="1" applyAlignment="1">
      <alignment horizontal="center" vertical="center" wrapText="1"/>
    </xf>
    <xf numFmtId="1" fontId="34" fillId="5" borderId="22" xfId="1" applyNumberFormat="1" applyFont="1" applyFill="1" applyBorder="1" applyAlignment="1" applyProtection="1">
      <alignment horizontal="center" vertical="center"/>
      <protection locked="0"/>
    </xf>
    <xf numFmtId="1" fontId="34" fillId="5" borderId="140" xfId="1" applyNumberFormat="1" applyFont="1" applyFill="1" applyBorder="1" applyAlignment="1" applyProtection="1">
      <alignment horizontal="center" vertical="center"/>
      <protection locked="0"/>
    </xf>
    <xf numFmtId="1" fontId="34" fillId="5" borderId="23" xfId="1" applyNumberFormat="1" applyFont="1" applyFill="1" applyBorder="1" applyAlignment="1" applyProtection="1">
      <alignment horizontal="center" vertical="center"/>
      <protection locked="0"/>
    </xf>
    <xf numFmtId="0" fontId="32" fillId="6" borderId="133" xfId="0" applyFont="1" applyFill="1" applyBorder="1" applyAlignment="1">
      <alignment horizontal="center" vertical="center" wrapText="1"/>
    </xf>
    <xf numFmtId="0" fontId="32" fillId="6" borderId="134" xfId="0" applyFont="1" applyFill="1" applyBorder="1" applyAlignment="1">
      <alignment horizontal="center" vertical="center" wrapText="1"/>
    </xf>
    <xf numFmtId="0" fontId="32" fillId="0" borderId="69" xfId="0" applyFont="1" applyBorder="1" applyAlignment="1">
      <alignment horizontal="left" vertical="center" wrapText="1"/>
    </xf>
    <xf numFmtId="1" fontId="34" fillId="5" borderId="70" xfId="1" applyNumberFormat="1" applyFont="1" applyFill="1" applyBorder="1" applyAlignment="1" applyProtection="1">
      <alignment horizontal="center" vertical="center"/>
      <protection locked="0"/>
    </xf>
    <xf numFmtId="1" fontId="34" fillId="5" borderId="8" xfId="1" applyNumberFormat="1" applyFont="1" applyFill="1" applyBorder="1" applyAlignment="1" applyProtection="1">
      <alignment horizontal="center" vertical="center"/>
      <protection locked="0"/>
    </xf>
    <xf numFmtId="1" fontId="34" fillId="5" borderId="82" xfId="1" applyNumberFormat="1" applyFont="1" applyFill="1" applyBorder="1" applyAlignment="1" applyProtection="1">
      <alignment horizontal="center" vertical="center"/>
      <protection locked="0"/>
    </xf>
    <xf numFmtId="0" fontId="32" fillId="6" borderId="125" xfId="0" applyFont="1" applyFill="1" applyBorder="1" applyAlignment="1">
      <alignment horizontal="center" vertical="center" wrapText="1"/>
    </xf>
    <xf numFmtId="0" fontId="32" fillId="6" borderId="126" xfId="0" applyFont="1" applyFill="1" applyBorder="1" applyAlignment="1">
      <alignment horizontal="center" vertical="center" wrapText="1"/>
    </xf>
    <xf numFmtId="0" fontId="32" fillId="0" borderId="10" xfId="0" applyFont="1" applyBorder="1" applyAlignment="1">
      <alignment horizontal="left" vertical="center" wrapText="1"/>
    </xf>
    <xf numFmtId="0" fontId="32" fillId="0" borderId="129" xfId="0" applyFont="1" applyBorder="1" applyAlignment="1" applyProtection="1">
      <alignment horizontal="center" vertical="center"/>
      <protection locked="0"/>
    </xf>
    <xf numFmtId="0" fontId="32" fillId="0" borderId="13" xfId="0" applyFont="1" applyBorder="1" applyAlignment="1" applyProtection="1">
      <alignment horizontal="center" vertical="center"/>
      <protection locked="0"/>
    </xf>
    <xf numFmtId="0" fontId="32" fillId="0" borderId="37" xfId="0" applyFont="1" applyBorder="1" applyAlignment="1" applyProtection="1">
      <alignment horizontal="center" vertical="center"/>
      <protection locked="0"/>
    </xf>
    <xf numFmtId="0" fontId="32" fillId="6" borderId="130" xfId="0" applyFont="1" applyFill="1" applyBorder="1" applyAlignment="1">
      <alignment horizontal="center" vertical="center" wrapText="1"/>
    </xf>
    <xf numFmtId="0" fontId="32" fillId="6" borderId="131" xfId="0" applyFont="1" applyFill="1" applyBorder="1" applyAlignment="1">
      <alignment horizontal="center" vertical="center" wrapText="1"/>
    </xf>
    <xf numFmtId="0" fontId="32" fillId="0" borderId="25" xfId="0" applyFont="1" applyBorder="1" applyAlignment="1" applyProtection="1">
      <alignment horizontal="center" vertical="center"/>
      <protection locked="0"/>
    </xf>
    <xf numFmtId="0" fontId="32" fillId="0" borderId="132" xfId="0" applyFont="1" applyBorder="1" applyAlignment="1" applyProtection="1">
      <alignment horizontal="center" vertical="center"/>
      <protection locked="0"/>
    </xf>
    <xf numFmtId="0" fontId="32" fillId="0" borderId="84" xfId="0" applyFont="1" applyBorder="1" applyAlignment="1" applyProtection="1">
      <alignment horizontal="center" vertical="center"/>
      <protection locked="0"/>
    </xf>
    <xf numFmtId="0" fontId="32" fillId="0" borderId="103" xfId="0" applyFont="1" applyBorder="1" applyAlignment="1" applyProtection="1">
      <alignment horizontal="center" vertical="center"/>
      <protection locked="0"/>
    </xf>
    <xf numFmtId="0" fontId="32" fillId="0" borderId="104" xfId="0" applyFont="1" applyBorder="1" applyAlignment="1" applyProtection="1">
      <alignment horizontal="center" vertical="center"/>
      <protection locked="0"/>
    </xf>
    <xf numFmtId="0" fontId="32" fillId="6" borderId="127" xfId="0" applyFont="1" applyFill="1" applyBorder="1" applyAlignment="1">
      <alignment horizontal="center" vertical="center" wrapText="1"/>
    </xf>
    <xf numFmtId="0" fontId="32" fillId="6" borderId="128" xfId="0" applyFont="1" applyFill="1" applyBorder="1" applyAlignment="1">
      <alignment horizontal="center" vertical="center" wrapText="1"/>
    </xf>
    <xf numFmtId="0" fontId="32" fillId="6" borderId="94" xfId="0" applyFont="1" applyFill="1" applyBorder="1" applyAlignment="1">
      <alignment horizontal="center" vertical="center" wrapText="1"/>
    </xf>
    <xf numFmtId="0" fontId="37" fillId="6" borderId="89" xfId="2" applyFont="1" applyFill="1" applyBorder="1" applyAlignment="1" applyProtection="1">
      <alignment horizontal="center" vertical="center"/>
    </xf>
    <xf numFmtId="0" fontId="37" fillId="6" borderId="88" xfId="2" applyFont="1" applyFill="1" applyBorder="1" applyAlignment="1" applyProtection="1">
      <alignment horizontal="center" vertical="center"/>
    </xf>
    <xf numFmtId="0" fontId="37" fillId="6" borderId="97" xfId="2" applyFont="1" applyFill="1" applyBorder="1" applyAlignment="1" applyProtection="1">
      <alignment horizontal="center" vertical="center"/>
    </xf>
    <xf numFmtId="0" fontId="37" fillId="6" borderId="85" xfId="2" applyFont="1" applyFill="1" applyBorder="1" applyAlignment="1" applyProtection="1">
      <alignment horizontal="center" vertical="center" wrapText="1"/>
    </xf>
    <xf numFmtId="0" fontId="37" fillId="6" borderId="83" xfId="2" applyFont="1" applyFill="1" applyBorder="1" applyAlignment="1" applyProtection="1">
      <alignment horizontal="center" vertical="center" wrapText="1"/>
    </xf>
    <xf numFmtId="0" fontId="37" fillId="6" borderId="98" xfId="2" applyFont="1" applyFill="1" applyBorder="1" applyAlignment="1" applyProtection="1">
      <alignment horizontal="center" vertical="center" wrapText="1"/>
    </xf>
    <xf numFmtId="1" fontId="37" fillId="6" borderId="85" xfId="2" applyNumberFormat="1" applyFont="1" applyFill="1" applyBorder="1" applyAlignment="1" applyProtection="1">
      <alignment horizontal="center" vertical="center" wrapText="1"/>
    </xf>
    <xf numFmtId="1" fontId="37" fillId="6" borderId="83" xfId="2" applyNumberFormat="1" applyFont="1" applyFill="1" applyBorder="1" applyAlignment="1" applyProtection="1">
      <alignment horizontal="center" vertical="center" wrapText="1"/>
    </xf>
    <xf numFmtId="1" fontId="37" fillId="6" borderId="98" xfId="2" applyNumberFormat="1" applyFont="1" applyFill="1" applyBorder="1" applyAlignment="1" applyProtection="1">
      <alignment horizontal="center" vertical="center" wrapText="1"/>
    </xf>
    <xf numFmtId="1" fontId="37" fillId="6" borderId="85" xfId="2" applyNumberFormat="1" applyFont="1" applyFill="1" applyBorder="1" applyAlignment="1" applyProtection="1">
      <alignment horizontal="center" vertical="center"/>
    </xf>
    <xf numFmtId="1" fontId="37" fillId="6" borderId="83" xfId="2" applyNumberFormat="1" applyFont="1" applyFill="1" applyBorder="1" applyAlignment="1" applyProtection="1">
      <alignment horizontal="center" vertical="center"/>
    </xf>
    <xf numFmtId="1" fontId="37" fillId="6" borderId="98" xfId="2" applyNumberFormat="1" applyFont="1" applyFill="1" applyBorder="1" applyAlignment="1" applyProtection="1">
      <alignment horizontal="center" vertical="center"/>
    </xf>
    <xf numFmtId="0" fontId="37" fillId="6" borderId="91" xfId="2" applyFont="1" applyFill="1" applyBorder="1" applyAlignment="1" applyProtection="1">
      <alignment horizontal="center" vertical="center"/>
    </xf>
    <xf numFmtId="0" fontId="37" fillId="6" borderId="90" xfId="2" applyFont="1" applyFill="1" applyBorder="1" applyAlignment="1" applyProtection="1">
      <alignment horizontal="center" vertical="center"/>
    </xf>
    <xf numFmtId="0" fontId="37" fillId="6" borderId="99" xfId="2" applyFont="1" applyFill="1" applyBorder="1" applyAlignment="1" applyProtection="1">
      <alignment horizontal="center" vertical="center"/>
    </xf>
    <xf numFmtId="1" fontId="38" fillId="5" borderId="84" xfId="2" applyNumberFormat="1" applyFont="1" applyFill="1" applyBorder="1" applyAlignment="1" applyProtection="1">
      <alignment horizontal="center" vertical="center"/>
    </xf>
    <xf numFmtId="1" fontId="38" fillId="5" borderId="44" xfId="2" applyNumberFormat="1" applyFont="1" applyFill="1" applyBorder="1" applyAlignment="1" applyProtection="1">
      <alignment horizontal="center" vertical="center"/>
    </xf>
    <xf numFmtId="0" fontId="32" fillId="6" borderId="41" xfId="0" applyFont="1" applyFill="1" applyBorder="1" applyAlignment="1">
      <alignment horizontal="center" vertical="center" wrapText="1"/>
    </xf>
    <xf numFmtId="0" fontId="32" fillId="0" borderId="105" xfId="0" applyFont="1" applyBorder="1" applyAlignment="1" applyProtection="1">
      <alignment horizontal="center" vertical="center"/>
      <protection locked="0"/>
    </xf>
    <xf numFmtId="0" fontId="32" fillId="0" borderId="106" xfId="0" applyFont="1" applyBorder="1" applyAlignment="1" applyProtection="1">
      <alignment horizontal="center" vertical="center"/>
      <protection locked="0"/>
    </xf>
    <xf numFmtId="0" fontId="32" fillId="0" borderId="107" xfId="0" applyFont="1" applyBorder="1" applyAlignment="1" applyProtection="1">
      <alignment horizontal="center" vertical="center"/>
      <protection locked="0"/>
    </xf>
    <xf numFmtId="0" fontId="32" fillId="0" borderId="121" xfId="0" applyFont="1" applyBorder="1" applyAlignment="1" applyProtection="1">
      <alignment horizontal="center" vertical="center"/>
      <protection locked="0"/>
    </xf>
    <xf numFmtId="0" fontId="32" fillId="0" borderId="108" xfId="0" applyFont="1" applyBorder="1" applyAlignment="1" applyProtection="1">
      <alignment horizontal="center" vertical="center"/>
      <protection locked="0"/>
    </xf>
    <xf numFmtId="0" fontId="32" fillId="6" borderId="101" xfId="0" applyFont="1" applyFill="1" applyBorder="1" applyAlignment="1">
      <alignment horizontal="center" vertical="center" wrapText="1"/>
    </xf>
    <xf numFmtId="0" fontId="32" fillId="0" borderId="109" xfId="0" applyFont="1" applyBorder="1" applyAlignment="1" applyProtection="1">
      <alignment horizontal="center" vertical="center"/>
      <protection locked="0"/>
    </xf>
    <xf numFmtId="0" fontId="32" fillId="0" borderId="6" xfId="0" applyFont="1" applyBorder="1" applyAlignment="1" applyProtection="1">
      <alignment horizontal="center" vertical="center"/>
      <protection locked="0"/>
    </xf>
    <xf numFmtId="0" fontId="32" fillId="0" borderId="81" xfId="0" applyFont="1" applyBorder="1" applyAlignment="1" applyProtection="1">
      <alignment horizontal="center" vertical="center"/>
      <protection locked="0"/>
    </xf>
    <xf numFmtId="0" fontId="32" fillId="0" borderId="7" xfId="0" applyFont="1" applyBorder="1" applyAlignment="1" applyProtection="1">
      <alignment horizontal="center" vertical="center"/>
      <protection locked="0"/>
    </xf>
    <xf numFmtId="0" fontId="32" fillId="0" borderId="110" xfId="0" applyFont="1" applyBorder="1" applyAlignment="1" applyProtection="1">
      <alignment horizontal="center" vertical="center"/>
      <protection locked="0"/>
    </xf>
    <xf numFmtId="0" fontId="32" fillId="6" borderId="102" xfId="0" applyFont="1" applyFill="1" applyBorder="1" applyAlignment="1">
      <alignment horizontal="center" vertical="center" wrapText="1"/>
    </xf>
    <xf numFmtId="0" fontId="32" fillId="0" borderId="111" xfId="0" applyFont="1" applyBorder="1" applyAlignment="1" applyProtection="1">
      <alignment horizontal="center" vertical="center"/>
      <protection locked="0"/>
    </xf>
    <xf numFmtId="0" fontId="32" fillId="0" borderId="112" xfId="0" applyFont="1" applyBorder="1" applyAlignment="1" applyProtection="1">
      <alignment horizontal="center" vertical="center"/>
      <protection locked="0"/>
    </xf>
    <xf numFmtId="0" fontId="32" fillId="0" borderId="113" xfId="0" applyFont="1" applyBorder="1" applyAlignment="1" applyProtection="1">
      <alignment horizontal="center" vertical="center"/>
      <protection locked="0"/>
    </xf>
    <xf numFmtId="0" fontId="32" fillId="0" borderId="122" xfId="0" applyFont="1" applyBorder="1" applyAlignment="1" applyProtection="1">
      <alignment horizontal="center" vertical="center"/>
      <protection locked="0"/>
    </xf>
    <xf numFmtId="0" fontId="32" fillId="0" borderId="114" xfId="0" applyFont="1" applyBorder="1" applyAlignment="1" applyProtection="1">
      <alignment horizontal="center" vertical="center"/>
      <protection locked="0"/>
    </xf>
    <xf numFmtId="0" fontId="33" fillId="3" borderId="38" xfId="0" applyFont="1" applyFill="1" applyBorder="1" applyAlignment="1">
      <alignment horizontal="left" vertical="center" wrapText="1"/>
    </xf>
    <xf numFmtId="0" fontId="39" fillId="3" borderId="10" xfId="0" applyFont="1" applyFill="1" applyBorder="1" applyAlignment="1">
      <alignment horizontal="center" vertical="center" wrapText="1"/>
    </xf>
    <xf numFmtId="0" fontId="32" fillId="3" borderId="84" xfId="0" applyFont="1" applyFill="1" applyBorder="1" applyAlignment="1" applyProtection="1">
      <alignment horizontal="center" vertical="center"/>
    </xf>
    <xf numFmtId="0" fontId="32" fillId="3" borderId="103" xfId="0" applyFont="1" applyFill="1" applyBorder="1" applyAlignment="1" applyProtection="1">
      <alignment horizontal="center" vertical="center"/>
    </xf>
    <xf numFmtId="0" fontId="32" fillId="3" borderId="104" xfId="0" applyFont="1" applyFill="1" applyBorder="1" applyAlignment="1" applyProtection="1">
      <alignment horizontal="center" vertical="center"/>
    </xf>
    <xf numFmtId="0" fontId="32" fillId="3" borderId="123" xfId="0" applyFont="1" applyFill="1" applyBorder="1" applyAlignment="1" applyProtection="1">
      <alignment horizontal="center" vertical="center"/>
    </xf>
    <xf numFmtId="0" fontId="32" fillId="3" borderId="124" xfId="0" applyFont="1" applyFill="1" applyBorder="1" applyAlignment="1" applyProtection="1">
      <alignment horizontal="center" vertical="center"/>
    </xf>
    <xf numFmtId="0" fontId="32" fillId="3" borderId="41" xfId="0" applyFont="1" applyFill="1" applyBorder="1" applyAlignment="1" applyProtection="1">
      <alignment horizontal="center" vertical="center"/>
    </xf>
    <xf numFmtId="0" fontId="32" fillId="0" borderId="21" xfId="0" applyFont="1" applyBorder="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32" fillId="0" borderId="75" xfId="0" applyFont="1" applyBorder="1" applyAlignment="1" applyProtection="1">
      <alignment horizontal="center" vertical="center"/>
      <protection locked="0"/>
    </xf>
    <xf numFmtId="0" fontId="32" fillId="0" borderId="22" xfId="0" applyFont="1" applyBorder="1" applyAlignment="1" applyProtection="1">
      <alignment horizontal="center" vertical="center"/>
      <protection locked="0"/>
    </xf>
    <xf numFmtId="0" fontId="32" fillId="0" borderId="12" xfId="0" applyFont="1" applyBorder="1" applyAlignment="1" applyProtection="1">
      <alignment horizontal="center" vertical="center"/>
      <protection locked="0"/>
    </xf>
    <xf numFmtId="0" fontId="32" fillId="0" borderId="28" xfId="0" applyFont="1" applyBorder="1" applyAlignment="1" applyProtection="1">
      <alignment horizontal="center" vertical="center"/>
      <protection locked="0"/>
    </xf>
    <xf numFmtId="0" fontId="11" fillId="0" borderId="72" xfId="0" applyFont="1" applyBorder="1" applyAlignment="1">
      <alignment horizontal="left" vertical="center"/>
    </xf>
    <xf numFmtId="0" fontId="16" fillId="0" borderId="24" xfId="0" applyFont="1" applyBorder="1" applyAlignment="1">
      <alignment vertical="center" wrapText="1"/>
    </xf>
    <xf numFmtId="0" fontId="16" fillId="0" borderId="40" xfId="0" applyFont="1" applyBorder="1" applyAlignment="1">
      <alignment vertical="top" wrapText="1"/>
    </xf>
    <xf numFmtId="0" fontId="28" fillId="0" borderId="43" xfId="0" applyFont="1" applyBorder="1" applyAlignment="1">
      <alignment horizontal="left" vertical="center" wrapText="1"/>
    </xf>
    <xf numFmtId="0" fontId="21" fillId="4" borderId="43" xfId="0" applyFont="1" applyFill="1" applyBorder="1" applyAlignment="1">
      <alignment horizontal="center" vertical="center" wrapText="1"/>
    </xf>
    <xf numFmtId="0" fontId="33" fillId="6" borderId="15" xfId="0" applyFont="1" applyFill="1" applyBorder="1" applyAlignment="1">
      <alignment horizontal="left" vertical="center" wrapText="1"/>
    </xf>
    <xf numFmtId="0" fontId="16" fillId="0" borderId="67" xfId="0" applyFont="1" applyBorder="1" applyAlignment="1">
      <alignment horizontal="left" vertical="center" wrapText="1"/>
    </xf>
    <xf numFmtId="0" fontId="6" fillId="0" borderId="0" xfId="0" applyFont="1" applyAlignment="1">
      <alignment horizontal="center" wrapText="1"/>
    </xf>
    <xf numFmtId="0" fontId="11" fillId="0" borderId="0" xfId="0" applyFont="1"/>
    <xf numFmtId="0" fontId="41" fillId="4" borderId="16" xfId="0" applyFont="1" applyFill="1" applyBorder="1" applyAlignment="1">
      <alignment horizontal="center" vertical="center" wrapText="1"/>
    </xf>
    <xf numFmtId="0" fontId="41" fillId="4" borderId="17" xfId="0" applyFont="1" applyFill="1" applyBorder="1" applyAlignment="1">
      <alignment horizontal="center" vertical="center" wrapText="1"/>
    </xf>
    <xf numFmtId="0" fontId="41" fillId="4" borderId="18" xfId="0" applyFont="1" applyFill="1" applyBorder="1" applyAlignment="1">
      <alignment horizontal="center" vertical="center" wrapText="1"/>
    </xf>
    <xf numFmtId="0" fontId="41" fillId="4" borderId="68" xfId="0" applyFont="1" applyFill="1" applyBorder="1" applyAlignment="1">
      <alignment horizontal="center" vertical="center" wrapText="1"/>
    </xf>
    <xf numFmtId="0" fontId="41" fillId="4" borderId="92" xfId="0" applyFont="1" applyFill="1" applyBorder="1" applyAlignment="1">
      <alignment horizontal="center" vertical="center" wrapText="1"/>
    </xf>
    <xf numFmtId="0" fontId="41" fillId="4" borderId="93" xfId="0" applyFont="1" applyFill="1" applyBorder="1" applyAlignment="1">
      <alignment horizontal="center" vertical="center" wrapText="1"/>
    </xf>
    <xf numFmtId="0" fontId="41" fillId="4" borderId="94" xfId="0" applyFont="1" applyFill="1" applyBorder="1" applyAlignment="1">
      <alignment horizontal="center" vertical="center" wrapText="1"/>
    </xf>
    <xf numFmtId="0" fontId="41" fillId="4" borderId="41" xfId="0" applyFont="1" applyFill="1" applyBorder="1" applyAlignment="1">
      <alignment horizontal="center" vertical="center" wrapText="1"/>
    </xf>
    <xf numFmtId="0" fontId="41" fillId="4" borderId="19" xfId="0" applyFont="1" applyFill="1" applyBorder="1" applyAlignment="1">
      <alignment horizontal="center" vertical="center" wrapText="1"/>
    </xf>
    <xf numFmtId="0" fontId="41" fillId="4" borderId="72" xfId="0" applyFont="1" applyFill="1" applyBorder="1" applyAlignment="1">
      <alignment horizontal="center" vertical="center"/>
    </xf>
    <xf numFmtId="0" fontId="41" fillId="4" borderId="72" xfId="0" applyFont="1" applyFill="1" applyBorder="1" applyAlignment="1">
      <alignment horizontal="center" vertical="center" wrapText="1"/>
    </xf>
    <xf numFmtId="0" fontId="41" fillId="4" borderId="100" xfId="0" applyFont="1" applyFill="1" applyBorder="1" applyAlignment="1">
      <alignment horizontal="center" vertical="center" wrapText="1"/>
    </xf>
    <xf numFmtId="0" fontId="41" fillId="4" borderId="17" xfId="0" applyFont="1" applyFill="1" applyBorder="1" applyAlignment="1">
      <alignment horizontal="center" vertical="center"/>
    </xf>
    <xf numFmtId="0" fontId="32" fillId="0" borderId="0" xfId="0" applyFont="1" applyBorder="1" applyAlignment="1">
      <alignment horizontal="left" vertical="center" wrapText="1"/>
    </xf>
    <xf numFmtId="1" fontId="32" fillId="3" borderId="103" xfId="0" applyNumberFormat="1" applyFont="1" applyFill="1" applyBorder="1" applyAlignment="1" applyProtection="1">
      <alignment horizontal="center" vertical="center"/>
    </xf>
    <xf numFmtId="1" fontId="32" fillId="6" borderId="93" xfId="0" applyNumberFormat="1" applyFont="1" applyFill="1" applyBorder="1" applyAlignment="1">
      <alignment horizontal="center" vertical="center" wrapText="1"/>
    </xf>
    <xf numFmtId="1" fontId="34" fillId="4" borderId="7" xfId="1" applyNumberFormat="1" applyFont="1" applyFill="1" applyBorder="1" applyAlignment="1" applyProtection="1">
      <alignment horizontal="center" vertical="center"/>
    </xf>
    <xf numFmtId="1" fontId="34" fillId="4" borderId="6" xfId="1" applyNumberFormat="1" applyFont="1" applyFill="1" applyBorder="1" applyAlignment="1" applyProtection="1">
      <alignment horizontal="center" vertical="center"/>
    </xf>
    <xf numFmtId="1" fontId="34" fillId="4" borderId="70" xfId="1" applyNumberFormat="1" applyFont="1" applyFill="1" applyBorder="1" applyAlignment="1" applyProtection="1">
      <alignment horizontal="center" vertical="center"/>
    </xf>
    <xf numFmtId="1" fontId="34" fillId="4" borderId="8" xfId="1" applyNumberFormat="1" applyFont="1" applyFill="1" applyBorder="1" applyAlignment="1" applyProtection="1">
      <alignment horizontal="center" vertical="center"/>
    </xf>
    <xf numFmtId="0" fontId="16" fillId="0" borderId="77" xfId="0" applyFont="1" applyBorder="1" applyAlignment="1">
      <alignment horizontal="left" vertical="center" wrapText="1"/>
    </xf>
    <xf numFmtId="0" fontId="16" fillId="0" borderId="78" xfId="0" applyFont="1" applyBorder="1" applyAlignment="1">
      <alignment horizontal="left" vertical="center" wrapText="1"/>
    </xf>
    <xf numFmtId="0" fontId="16" fillId="0" borderId="79" xfId="0" applyFont="1" applyBorder="1" applyAlignment="1">
      <alignment horizontal="left" vertical="center" wrapText="1"/>
    </xf>
    <xf numFmtId="0" fontId="19" fillId="3" borderId="43" xfId="0" applyFont="1" applyFill="1" applyBorder="1" applyAlignment="1">
      <alignment horizontal="left" vertical="center"/>
    </xf>
    <xf numFmtId="0" fontId="16" fillId="0" borderId="40" xfId="0" applyFont="1" applyBorder="1" applyAlignment="1">
      <alignment horizontal="center" vertical="center" wrapText="1"/>
    </xf>
    <xf numFmtId="0" fontId="16" fillId="0" borderId="34" xfId="0" applyFont="1" applyBorder="1" applyAlignment="1">
      <alignment horizontal="center" vertical="center" wrapText="1"/>
    </xf>
    <xf numFmtId="0" fontId="16" fillId="0" borderId="41" xfId="0" applyFont="1" applyBorder="1" applyAlignment="1">
      <alignment horizontal="center" vertical="center" wrapText="1"/>
    </xf>
    <xf numFmtId="0" fontId="16" fillId="5" borderId="16" xfId="0" applyFont="1" applyFill="1" applyBorder="1" applyAlignment="1">
      <alignment vertical="top" wrapText="1"/>
    </xf>
    <xf numFmtId="0" fontId="16" fillId="5" borderId="17" xfId="0" applyFont="1" applyFill="1" applyBorder="1" applyAlignment="1">
      <alignment vertical="top" wrapText="1"/>
    </xf>
    <xf numFmtId="0" fontId="16" fillId="5" borderId="18" xfId="0" applyFont="1" applyFill="1" applyBorder="1" applyAlignment="1">
      <alignment vertical="top" wrapText="1"/>
    </xf>
    <xf numFmtId="0" fontId="16" fillId="5" borderId="40" xfId="0" applyFont="1" applyFill="1" applyBorder="1" applyAlignment="1">
      <alignment horizontal="left" vertical="top" wrapText="1"/>
    </xf>
    <xf numFmtId="0" fontId="16" fillId="5" borderId="34" xfId="0" applyFont="1" applyFill="1" applyBorder="1" applyAlignment="1">
      <alignment horizontal="left" vertical="top" wrapText="1"/>
    </xf>
    <xf numFmtId="0" fontId="16" fillId="5" borderId="41" xfId="0" applyFont="1" applyFill="1" applyBorder="1" applyAlignment="1">
      <alignment horizontal="left" vertical="top" wrapText="1"/>
    </xf>
    <xf numFmtId="0" fontId="25" fillId="5" borderId="0" xfId="0" applyFont="1" applyFill="1" applyBorder="1" applyAlignment="1">
      <alignment horizontal="left" vertical="top" wrapText="1"/>
    </xf>
    <xf numFmtId="0" fontId="4" fillId="5" borderId="0" xfId="0" applyFont="1" applyFill="1" applyBorder="1" applyAlignment="1">
      <alignment horizontal="center" vertical="top" wrapText="1"/>
    </xf>
    <xf numFmtId="0" fontId="23" fillId="5" borderId="3" xfId="0" applyFont="1" applyFill="1" applyBorder="1" applyAlignment="1">
      <alignment horizontal="center"/>
    </xf>
    <xf numFmtId="0" fontId="23" fillId="5" borderId="4" xfId="0" applyFont="1" applyFill="1" applyBorder="1" applyAlignment="1">
      <alignment horizontal="center"/>
    </xf>
    <xf numFmtId="0" fontId="19" fillId="3" borderId="76" xfId="0" applyFont="1" applyFill="1" applyBorder="1" applyAlignment="1">
      <alignment horizontal="left" vertical="center"/>
    </xf>
    <xf numFmtId="0" fontId="19" fillId="3" borderId="65" xfId="0" applyFont="1" applyFill="1" applyBorder="1" applyAlignment="1">
      <alignment horizontal="left" vertical="center"/>
    </xf>
    <xf numFmtId="0" fontId="19" fillId="3" borderId="45" xfId="0" applyFont="1" applyFill="1" applyBorder="1" applyAlignment="1">
      <alignment horizontal="left" vertical="center"/>
    </xf>
    <xf numFmtId="0" fontId="19" fillId="3" borderId="64" xfId="0" applyFont="1" applyFill="1" applyBorder="1" applyAlignment="1">
      <alignment horizontal="left" vertical="center"/>
    </xf>
    <xf numFmtId="0" fontId="16" fillId="0" borderId="141" xfId="0" applyFont="1" applyBorder="1" applyAlignment="1">
      <alignment horizontal="center" vertical="center" wrapText="1"/>
    </xf>
    <xf numFmtId="0" fontId="16" fillId="0" borderId="142" xfId="0" applyFont="1" applyBorder="1" applyAlignment="1">
      <alignment horizontal="center" vertical="center" wrapText="1"/>
    </xf>
    <xf numFmtId="0" fontId="16" fillId="0" borderId="143" xfId="0" applyFont="1" applyBorder="1" applyAlignment="1">
      <alignment horizontal="center" vertical="center" wrapText="1"/>
    </xf>
    <xf numFmtId="49" fontId="10" fillId="4" borderId="11" xfId="1" applyNumberFormat="1" applyFont="1" applyFill="1" applyBorder="1" applyAlignment="1">
      <alignment horizontal="center" vertical="center"/>
    </xf>
    <xf numFmtId="49" fontId="10" fillId="4" borderId="9" xfId="1" applyNumberFormat="1" applyFont="1" applyFill="1" applyBorder="1" applyAlignment="1">
      <alignment horizontal="center" vertical="center"/>
    </xf>
    <xf numFmtId="0" fontId="11" fillId="0" borderId="0" xfId="0" applyFont="1" applyAlignment="1">
      <alignment vertical="top" wrapText="1"/>
    </xf>
    <xf numFmtId="0" fontId="11" fillId="0" borderId="0" xfId="0" applyFont="1" applyAlignment="1">
      <alignment horizontal="left" vertical="center" wrapText="1"/>
    </xf>
    <xf numFmtId="0" fontId="6" fillId="0" borderId="0" xfId="0" applyFont="1" applyAlignment="1">
      <alignment horizontal="center" wrapText="1"/>
    </xf>
    <xf numFmtId="0" fontId="11" fillId="0" borderId="0" xfId="0" applyFont="1"/>
    <xf numFmtId="0" fontId="11" fillId="0" borderId="0" xfId="0" applyFont="1" applyAlignment="1"/>
    <xf numFmtId="0" fontId="11" fillId="0" borderId="0" xfId="0" applyFont="1" applyAlignment="1">
      <alignment wrapText="1"/>
    </xf>
    <xf numFmtId="0" fontId="6" fillId="4" borderId="16" xfId="0" applyFont="1" applyFill="1" applyBorder="1" applyAlignment="1">
      <alignment horizontal="center" vertical="center"/>
    </xf>
    <xf numFmtId="0" fontId="6" fillId="4" borderId="18" xfId="0" applyFont="1" applyFill="1" applyBorder="1" applyAlignment="1">
      <alignment horizontal="center" vertical="center"/>
    </xf>
    <xf numFmtId="49" fontId="10" fillId="4" borderId="75" xfId="1" applyNumberFormat="1" applyFont="1" applyFill="1" applyBorder="1" applyAlignment="1">
      <alignment horizontal="center" vertical="center"/>
    </xf>
    <xf numFmtId="49" fontId="10" fillId="4" borderId="21" xfId="1" applyNumberFormat="1" applyFont="1" applyFill="1" applyBorder="1" applyAlignment="1">
      <alignment horizontal="center" vertical="center"/>
    </xf>
    <xf numFmtId="49" fontId="10" fillId="4" borderId="19" xfId="1" applyNumberFormat="1" applyFont="1" applyFill="1" applyBorder="1" applyAlignment="1">
      <alignment horizontal="center" vertical="center"/>
    </xf>
    <xf numFmtId="0" fontId="6" fillId="4" borderId="40" xfId="0" applyFont="1" applyFill="1" applyBorder="1" applyAlignment="1">
      <alignment horizontal="center" vertical="center"/>
    </xf>
    <xf numFmtId="0" fontId="6" fillId="4" borderId="41" xfId="0" applyFont="1" applyFill="1" applyBorder="1" applyAlignment="1">
      <alignment horizontal="center" vertical="center"/>
    </xf>
    <xf numFmtId="0" fontId="36" fillId="3" borderId="24" xfId="0" applyFont="1" applyFill="1" applyBorder="1" applyAlignment="1">
      <alignment horizontal="left" vertical="center" wrapText="1"/>
    </xf>
    <xf numFmtId="0" fontId="36" fillId="3" borderId="44" xfId="0" applyFont="1" applyFill="1" applyBorder="1" applyAlignment="1">
      <alignment horizontal="left" vertical="center" wrapText="1"/>
    </xf>
    <xf numFmtId="0" fontId="36" fillId="3" borderId="67" xfId="0" applyFont="1" applyFill="1" applyBorder="1" applyAlignment="1">
      <alignment horizontal="left" vertical="center" wrapText="1"/>
    </xf>
    <xf numFmtId="0" fontId="36" fillId="3" borderId="0" xfId="0" applyFont="1" applyFill="1" applyBorder="1" applyAlignment="1">
      <alignment horizontal="left" vertical="center" wrapText="1"/>
    </xf>
    <xf numFmtId="0" fontId="36" fillId="3" borderId="42" xfId="0" applyFont="1" applyFill="1" applyBorder="1" applyAlignment="1">
      <alignment horizontal="left" vertical="center" wrapText="1"/>
    </xf>
    <xf numFmtId="0" fontId="8" fillId="2" borderId="40" xfId="0" applyFont="1" applyFill="1" applyBorder="1" applyAlignment="1">
      <alignment horizontal="center" vertical="top" wrapText="1"/>
    </xf>
    <xf numFmtId="0" fontId="8" fillId="2" borderId="34" xfId="0" applyFont="1" applyFill="1" applyBorder="1" applyAlignment="1">
      <alignment horizontal="center" vertical="top" wrapText="1"/>
    </xf>
    <xf numFmtId="0" fontId="8" fillId="2" borderId="41" xfId="0" applyFont="1" applyFill="1" applyBorder="1" applyAlignment="1">
      <alignment horizontal="center" vertical="top" wrapText="1"/>
    </xf>
    <xf numFmtId="0" fontId="40" fillId="0" borderId="86" xfId="0" applyFont="1" applyBorder="1" applyAlignment="1">
      <alignment horizontal="left" vertical="center" wrapText="1"/>
    </xf>
    <xf numFmtId="0" fontId="40" fillId="0" borderId="33" xfId="0" applyFont="1" applyBorder="1" applyAlignment="1">
      <alignment horizontal="left" vertical="center" wrapText="1"/>
    </xf>
    <xf numFmtId="0" fontId="40" fillId="0" borderId="87" xfId="0" applyFont="1" applyBorder="1" applyAlignment="1">
      <alignment horizontal="left" vertical="center" wrapText="1"/>
    </xf>
    <xf numFmtId="0" fontId="36" fillId="3" borderId="24" xfId="0" applyFont="1" applyFill="1" applyBorder="1" applyAlignment="1">
      <alignment horizontal="left" vertical="center"/>
    </xf>
    <xf numFmtId="0" fontId="36" fillId="3" borderId="67" xfId="0" applyFont="1" applyFill="1" applyBorder="1" applyAlignment="1">
      <alignment horizontal="left" vertical="center"/>
    </xf>
    <xf numFmtId="0" fontId="36" fillId="3" borderId="0" xfId="0" applyFont="1" applyFill="1" applyBorder="1" applyAlignment="1">
      <alignment horizontal="left" vertical="center"/>
    </xf>
    <xf numFmtId="0" fontId="16" fillId="0" borderId="26" xfId="0" applyFont="1" applyBorder="1" applyAlignment="1">
      <alignment vertical="center" wrapText="1"/>
    </xf>
    <xf numFmtId="0" fontId="16" fillId="0" borderId="17" xfId="0" applyFont="1" applyBorder="1" applyAlignment="1">
      <alignment vertical="center" wrapText="1"/>
    </xf>
    <xf numFmtId="0" fontId="16" fillId="0" borderId="18" xfId="0" applyFont="1" applyBorder="1" applyAlignment="1">
      <alignment vertical="center" wrapText="1"/>
    </xf>
    <xf numFmtId="0" fontId="16" fillId="5" borderId="40" xfId="0" applyFont="1" applyFill="1" applyBorder="1" applyAlignment="1">
      <alignment horizontal="center" vertical="center" wrapText="1"/>
    </xf>
    <xf numFmtId="0" fontId="16" fillId="5" borderId="34" xfId="0" applyFont="1" applyFill="1" applyBorder="1" applyAlignment="1">
      <alignment horizontal="center" vertical="center" wrapText="1"/>
    </xf>
    <xf numFmtId="0" fontId="16" fillId="5" borderId="41" xfId="0" applyFont="1" applyFill="1" applyBorder="1" applyAlignment="1">
      <alignment horizontal="center" vertical="center" wrapText="1"/>
    </xf>
    <xf numFmtId="0" fontId="6" fillId="2" borderId="40" xfId="0" applyFont="1" applyFill="1" applyBorder="1" applyAlignment="1">
      <alignment horizontal="left" vertical="center" wrapText="1"/>
    </xf>
    <xf numFmtId="0" fontId="6" fillId="2" borderId="41" xfId="0" applyFont="1" applyFill="1" applyBorder="1" applyAlignment="1">
      <alignment horizontal="left" vertical="center" wrapText="1"/>
    </xf>
    <xf numFmtId="0" fontId="6" fillId="2" borderId="40" xfId="0" applyFont="1" applyFill="1" applyBorder="1" applyAlignment="1">
      <alignment vertical="top" wrapText="1"/>
    </xf>
    <xf numFmtId="0" fontId="6" fillId="2" borderId="41" xfId="0" applyFont="1" applyFill="1" applyBorder="1" applyAlignment="1">
      <alignment vertical="top" wrapText="1"/>
    </xf>
    <xf numFmtId="0" fontId="11" fillId="0" borderId="48" xfId="0" applyFont="1" applyBorder="1" applyAlignment="1">
      <alignment horizontal="left" vertical="top" wrapText="1"/>
    </xf>
    <xf numFmtId="0" fontId="11" fillId="0" borderId="49" xfId="0" applyFont="1" applyBorder="1" applyAlignment="1">
      <alignment horizontal="left" vertical="top" wrapText="1"/>
    </xf>
    <xf numFmtId="0" fontId="11" fillId="0" borderId="50" xfId="0" applyFont="1" applyBorder="1" applyAlignment="1">
      <alignment horizontal="left" vertical="top" wrapText="1"/>
    </xf>
    <xf numFmtId="0" fontId="11" fillId="0" borderId="51" xfId="0" applyFont="1" applyBorder="1" applyAlignment="1">
      <alignment horizontal="left" vertical="top" wrapText="1"/>
    </xf>
    <xf numFmtId="0" fontId="11" fillId="0" borderId="0" xfId="0" applyFont="1" applyBorder="1" applyAlignment="1">
      <alignment horizontal="left" vertical="top" wrapText="1"/>
    </xf>
    <xf numFmtId="0" fontId="11" fillId="0" borderId="52" xfId="0" applyFont="1" applyBorder="1" applyAlignment="1">
      <alignment horizontal="left" vertical="top" wrapText="1"/>
    </xf>
    <xf numFmtId="0" fontId="11" fillId="0" borderId="53" xfId="0" applyFont="1" applyBorder="1" applyAlignment="1">
      <alignment horizontal="left" vertical="top" wrapText="1"/>
    </xf>
    <xf numFmtId="0" fontId="11" fillId="0" borderId="54" xfId="0" applyFont="1" applyBorder="1" applyAlignment="1">
      <alignment horizontal="left" vertical="top" wrapText="1"/>
    </xf>
    <xf numFmtId="0" fontId="11" fillId="0" borderId="55" xfId="0" applyFont="1" applyBorder="1" applyAlignment="1">
      <alignment horizontal="left" vertical="top" wrapText="1"/>
    </xf>
    <xf numFmtId="0" fontId="15" fillId="0" borderId="48" xfId="0" applyFont="1" applyBorder="1" applyAlignment="1" applyProtection="1">
      <alignment horizontal="left" vertical="top"/>
      <protection locked="0"/>
    </xf>
    <xf numFmtId="0" fontId="15" fillId="0" borderId="49" xfId="0" applyFont="1" applyBorder="1" applyAlignment="1" applyProtection="1">
      <alignment horizontal="left" vertical="top"/>
      <protection locked="0"/>
    </xf>
    <xf numFmtId="0" fontId="15" fillId="0" borderId="50" xfId="0" applyFont="1" applyBorder="1" applyAlignment="1" applyProtection="1">
      <alignment horizontal="left" vertical="top"/>
      <protection locked="0"/>
    </xf>
    <xf numFmtId="0" fontId="15" fillId="0" borderId="51" xfId="0" applyFont="1" applyBorder="1" applyAlignment="1" applyProtection="1">
      <alignment horizontal="left" vertical="top"/>
      <protection locked="0"/>
    </xf>
    <xf numFmtId="0" fontId="15" fillId="0" borderId="0" xfId="0" applyFont="1" applyBorder="1" applyAlignment="1" applyProtection="1">
      <alignment horizontal="left" vertical="top"/>
      <protection locked="0"/>
    </xf>
    <xf numFmtId="0" fontId="15" fillId="0" borderId="52" xfId="0" applyFont="1" applyBorder="1" applyAlignment="1" applyProtection="1">
      <alignment horizontal="left" vertical="top"/>
      <protection locked="0"/>
    </xf>
    <xf numFmtId="0" fontId="15" fillId="0" borderId="53" xfId="0" applyFont="1" applyBorder="1" applyAlignment="1" applyProtection="1">
      <alignment horizontal="left" vertical="top"/>
      <protection locked="0"/>
    </xf>
    <xf numFmtId="0" fontId="15" fillId="0" borderId="54" xfId="0" applyFont="1" applyBorder="1" applyAlignment="1" applyProtection="1">
      <alignment horizontal="left" vertical="top"/>
      <protection locked="0"/>
    </xf>
    <xf numFmtId="0" fontId="15" fillId="0" borderId="55" xfId="0" applyFont="1" applyBorder="1" applyAlignment="1" applyProtection="1">
      <alignment horizontal="left" vertical="top"/>
      <protection locked="0"/>
    </xf>
    <xf numFmtId="0" fontId="6" fillId="13" borderId="46" xfId="0" applyFont="1" applyFill="1" applyBorder="1" applyAlignment="1">
      <alignment horizontal="center" vertical="top" wrapText="1"/>
    </xf>
    <xf numFmtId="0" fontId="6" fillId="13" borderId="0" xfId="0" applyFont="1" applyFill="1" applyBorder="1" applyAlignment="1">
      <alignment horizontal="center" vertical="top" wrapText="1"/>
    </xf>
    <xf numFmtId="0" fontId="6" fillId="13" borderId="47" xfId="0" applyFont="1" applyFill="1" applyBorder="1" applyAlignment="1">
      <alignment horizontal="center" vertical="top" wrapText="1"/>
    </xf>
    <xf numFmtId="0" fontId="6" fillId="13" borderId="0" xfId="0" applyFont="1" applyFill="1" applyBorder="1" applyAlignment="1">
      <alignment horizontal="left" vertical="top" wrapText="1"/>
    </xf>
    <xf numFmtId="0" fontId="6" fillId="13" borderId="42" xfId="0" applyFont="1" applyFill="1" applyBorder="1" applyAlignment="1">
      <alignment horizontal="left" vertical="top" wrapText="1"/>
    </xf>
    <xf numFmtId="0" fontId="6" fillId="0" borderId="56" xfId="0" applyFont="1" applyBorder="1" applyAlignment="1">
      <alignment horizontal="left" vertical="top" wrapText="1"/>
    </xf>
    <xf numFmtId="0" fontId="6" fillId="0" borderId="57" xfId="0" applyFont="1" applyBorder="1" applyAlignment="1">
      <alignment horizontal="left" vertical="top" wrapText="1"/>
    </xf>
    <xf numFmtId="0" fontId="6" fillId="0" borderId="58" xfId="0" applyFont="1" applyBorder="1" applyAlignment="1">
      <alignment horizontal="left" vertical="top" wrapText="1"/>
    </xf>
    <xf numFmtId="0" fontId="6" fillId="0" borderId="59" xfId="0" applyFont="1" applyBorder="1" applyAlignment="1">
      <alignment horizontal="left" vertical="top" wrapText="1"/>
    </xf>
    <xf numFmtId="0" fontId="6" fillId="0" borderId="0" xfId="0" applyFont="1" applyBorder="1" applyAlignment="1">
      <alignment horizontal="left" vertical="top" wrapText="1"/>
    </xf>
    <xf numFmtId="0" fontId="6" fillId="0" borderId="60" xfId="0" applyFont="1" applyBorder="1" applyAlignment="1">
      <alignment horizontal="left" vertical="top" wrapText="1"/>
    </xf>
    <xf numFmtId="0" fontId="6" fillId="0" borderId="61" xfId="0" applyFont="1" applyBorder="1" applyAlignment="1">
      <alignment horizontal="left" vertical="top" wrapText="1"/>
    </xf>
    <xf numFmtId="0" fontId="6" fillId="0" borderId="62" xfId="0" applyFont="1" applyBorder="1" applyAlignment="1">
      <alignment horizontal="left" vertical="top" wrapText="1"/>
    </xf>
    <xf numFmtId="0" fontId="6" fillId="0" borderId="63" xfId="0" applyFont="1" applyBorder="1" applyAlignment="1">
      <alignment horizontal="left" vertical="top" wrapText="1"/>
    </xf>
    <xf numFmtId="0" fontId="14" fillId="0" borderId="56" xfId="0" applyFont="1" applyBorder="1" applyAlignment="1" applyProtection="1">
      <alignment horizontal="left" vertical="top" wrapText="1"/>
      <protection locked="0"/>
    </xf>
    <xf numFmtId="0" fontId="14" fillId="0" borderId="57" xfId="0" applyFont="1" applyBorder="1" applyAlignment="1" applyProtection="1">
      <alignment horizontal="left" vertical="top" wrapText="1"/>
      <protection locked="0"/>
    </xf>
    <xf numFmtId="0" fontId="14" fillId="0" borderId="58" xfId="0" applyFont="1" applyBorder="1" applyAlignment="1" applyProtection="1">
      <alignment horizontal="left" vertical="top" wrapText="1"/>
      <protection locked="0"/>
    </xf>
    <xf numFmtId="0" fontId="14" fillId="0" borderId="59" xfId="0" applyFont="1" applyBorder="1" applyAlignment="1" applyProtection="1">
      <alignment horizontal="left" vertical="top" wrapText="1"/>
      <protection locked="0"/>
    </xf>
    <xf numFmtId="0" fontId="14" fillId="0" borderId="0" xfId="0" applyFont="1" applyBorder="1" applyAlignment="1" applyProtection="1">
      <alignment horizontal="left" vertical="top" wrapText="1"/>
      <protection locked="0"/>
    </xf>
    <xf numFmtId="0" fontId="14" fillId="0" borderId="60" xfId="0" applyFont="1" applyBorder="1" applyAlignment="1" applyProtection="1">
      <alignment horizontal="left" vertical="top" wrapText="1"/>
      <protection locked="0"/>
    </xf>
    <xf numFmtId="0" fontId="14" fillId="0" borderId="61" xfId="0" applyFont="1" applyBorder="1" applyAlignment="1" applyProtection="1">
      <alignment horizontal="left" vertical="top" wrapText="1"/>
      <protection locked="0"/>
    </xf>
    <xf numFmtId="0" fontId="14" fillId="0" borderId="62" xfId="0" applyFont="1" applyBorder="1" applyAlignment="1" applyProtection="1">
      <alignment horizontal="left" vertical="top" wrapText="1"/>
      <protection locked="0"/>
    </xf>
    <xf numFmtId="0" fontId="14" fillId="0" borderId="63" xfId="0" applyFont="1" applyBorder="1" applyAlignment="1" applyProtection="1">
      <alignment horizontal="left" vertical="top" wrapText="1"/>
      <protection locked="0"/>
    </xf>
    <xf numFmtId="0" fontId="6" fillId="7" borderId="40" xfId="0" applyFont="1" applyFill="1" applyBorder="1" applyAlignment="1">
      <alignment horizontal="center" vertical="center" wrapText="1"/>
    </xf>
    <xf numFmtId="0" fontId="6" fillId="7" borderId="34" xfId="0" applyFont="1" applyFill="1" applyBorder="1" applyAlignment="1">
      <alignment horizontal="center" vertical="center" wrapText="1"/>
    </xf>
    <xf numFmtId="0" fontId="6" fillId="8" borderId="40" xfId="0" applyFont="1" applyFill="1" applyBorder="1" applyAlignment="1">
      <alignment horizontal="center" vertical="center"/>
    </xf>
    <xf numFmtId="0" fontId="6" fillId="8" borderId="26" xfId="0" applyFont="1" applyFill="1" applyBorder="1" applyAlignment="1">
      <alignment horizontal="center" vertical="center"/>
    </xf>
    <xf numFmtId="0" fontId="6" fillId="7" borderId="73" xfId="0" applyFont="1" applyFill="1" applyBorder="1" applyAlignment="1">
      <alignment horizontal="center" vertical="center"/>
    </xf>
    <xf numFmtId="0" fontId="6" fillId="7" borderId="71" xfId="0" applyFont="1" applyFill="1" applyBorder="1" applyAlignment="1">
      <alignment horizontal="center" vertical="center"/>
    </xf>
    <xf numFmtId="0" fontId="16" fillId="0" borderId="16" xfId="0" applyFont="1" applyBorder="1" applyAlignment="1">
      <alignment vertical="center" wrapText="1"/>
    </xf>
    <xf numFmtId="0" fontId="16" fillId="5" borderId="16" xfId="0" applyFont="1" applyFill="1" applyBorder="1" applyAlignment="1">
      <alignment vertical="center" wrapText="1"/>
    </xf>
    <xf numFmtId="0" fontId="16" fillId="5" borderId="17" xfId="0" applyFont="1" applyFill="1" applyBorder="1" applyAlignment="1">
      <alignment vertical="center" wrapText="1"/>
    </xf>
    <xf numFmtId="0" fontId="16" fillId="5" borderId="18" xfId="0" applyFont="1" applyFill="1" applyBorder="1" applyAlignment="1">
      <alignment vertical="center" wrapText="1"/>
    </xf>
    <xf numFmtId="0" fontId="16" fillId="5" borderId="40" xfId="0" applyFont="1" applyFill="1" applyBorder="1" applyAlignment="1">
      <alignment horizontal="left" vertical="center" wrapText="1"/>
    </xf>
    <xf numFmtId="0" fontId="16" fillId="5" borderId="34" xfId="0" applyFont="1" applyFill="1" applyBorder="1" applyAlignment="1">
      <alignment horizontal="left" vertical="center" wrapText="1"/>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7" borderId="14" xfId="0" applyFont="1" applyFill="1" applyBorder="1" applyAlignment="1">
      <alignment horizontal="center" vertical="center"/>
    </xf>
    <xf numFmtId="0" fontId="6" fillId="7" borderId="28" xfId="0" applyFont="1" applyFill="1" applyBorder="1" applyAlignment="1">
      <alignment horizontal="center" vertical="center"/>
    </xf>
    <xf numFmtId="0" fontId="6" fillId="4" borderId="9" xfId="0" applyFont="1" applyFill="1" applyBorder="1" applyAlignment="1">
      <alignment horizontal="center" wrapText="1"/>
    </xf>
    <xf numFmtId="0" fontId="6" fillId="4" borderId="12" xfId="0" applyFont="1" applyFill="1" applyBorder="1" applyAlignment="1">
      <alignment horizontal="center" wrapText="1"/>
    </xf>
    <xf numFmtId="0" fontId="11" fillId="10" borderId="67" xfId="0" applyFont="1" applyFill="1" applyBorder="1" applyAlignment="1">
      <alignment horizontal="center" vertical="top" wrapText="1"/>
    </xf>
    <xf numFmtId="0" fontId="11" fillId="10" borderId="0" xfId="0" applyFont="1" applyFill="1" applyBorder="1" applyAlignment="1">
      <alignment horizontal="center" vertical="top" wrapText="1"/>
    </xf>
    <xf numFmtId="0" fontId="6" fillId="8" borderId="41" xfId="0" applyFont="1" applyFill="1" applyBorder="1" applyAlignment="1">
      <alignment horizontal="center" vertical="center"/>
    </xf>
    <xf numFmtId="0" fontId="6" fillId="4" borderId="74" xfId="0" applyFont="1" applyFill="1" applyBorder="1" applyAlignment="1">
      <alignment horizontal="center" vertical="center" wrapText="1"/>
    </xf>
    <xf numFmtId="0" fontId="6" fillId="4" borderId="95" xfId="0" applyFont="1" applyFill="1" applyBorder="1" applyAlignment="1">
      <alignment horizontal="center" vertical="center" wrapText="1"/>
    </xf>
    <xf numFmtId="0" fontId="20" fillId="3" borderId="24" xfId="0" applyFont="1" applyFill="1" applyBorder="1" applyAlignment="1">
      <alignment horizontal="left" vertical="center"/>
    </xf>
    <xf numFmtId="0" fontId="20" fillId="3" borderId="30" xfId="0" applyFont="1" applyFill="1" applyBorder="1" applyAlignment="1">
      <alignment horizontal="left" vertical="center"/>
    </xf>
    <xf numFmtId="0" fontId="20" fillId="3" borderId="66" xfId="0" applyFont="1" applyFill="1" applyBorder="1" applyAlignment="1">
      <alignment horizontal="left" vertical="center"/>
    </xf>
    <xf numFmtId="0" fontId="6" fillId="6" borderId="32" xfId="0" applyFont="1" applyFill="1" applyBorder="1" applyAlignment="1">
      <alignment horizontal="center" vertical="center"/>
    </xf>
    <xf numFmtId="0" fontId="6" fillId="6" borderId="30" xfId="0" applyFont="1" applyFill="1" applyBorder="1" applyAlignment="1">
      <alignment horizontal="center" vertical="center"/>
    </xf>
    <xf numFmtId="0" fontId="6" fillId="2" borderId="16" xfId="0" applyFont="1" applyFill="1" applyBorder="1" applyAlignment="1">
      <alignment vertical="top" wrapText="1"/>
    </xf>
    <xf numFmtId="0" fontId="6" fillId="2" borderId="18" xfId="0" applyFont="1" applyFill="1" applyBorder="1" applyAlignment="1">
      <alignment vertical="top" wrapText="1"/>
    </xf>
    <xf numFmtId="0" fontId="7" fillId="0" borderId="0"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6" xfId="0" applyFont="1" applyBorder="1" applyAlignment="1">
      <alignment horizontal="center" vertical="center" wrapText="1"/>
    </xf>
    <xf numFmtId="0" fontId="7" fillId="9" borderId="32" xfId="0" applyFont="1" applyFill="1" applyBorder="1" applyAlignment="1">
      <alignment horizontal="center" vertical="center" wrapText="1"/>
    </xf>
    <xf numFmtId="0" fontId="7" fillId="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8" borderId="23" xfId="0" applyFont="1" applyFill="1" applyBorder="1" applyAlignment="1">
      <alignment horizontal="center" vertical="center"/>
    </xf>
    <xf numFmtId="0" fontId="6" fillId="8" borderId="22" xfId="0" applyFont="1" applyFill="1" applyBorder="1" applyAlignment="1">
      <alignment horizontal="center" vertical="center"/>
    </xf>
    <xf numFmtId="0" fontId="6" fillId="0" borderId="30" xfId="0" applyFont="1" applyBorder="1" applyAlignment="1">
      <alignment horizontal="left" vertical="center"/>
    </xf>
    <xf numFmtId="0" fontId="6" fillId="0" borderId="31" xfId="0" applyFont="1" applyBorder="1" applyAlignment="1">
      <alignment horizontal="left" vertical="center"/>
    </xf>
    <xf numFmtId="0" fontId="7" fillId="0" borderId="24"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66" xfId="0" applyFont="1" applyBorder="1" applyAlignment="1">
      <alignment horizontal="center" vertical="center" wrapText="1"/>
    </xf>
    <xf numFmtId="0" fontId="6" fillId="2" borderId="16" xfId="0" applyFont="1" applyFill="1" applyBorder="1" applyAlignment="1">
      <alignment horizontal="left" vertical="center" wrapText="1"/>
    </xf>
    <xf numFmtId="0" fontId="6" fillId="2" borderId="18" xfId="0" applyFont="1" applyFill="1" applyBorder="1" applyAlignment="1">
      <alignment horizontal="left" vertical="center" wrapText="1"/>
    </xf>
  </cellXfs>
  <cellStyles count="3">
    <cellStyle name="Neutral" xfId="2" builtinId="28"/>
    <cellStyle name="Normal" xfId="0" builtinId="0"/>
    <cellStyle name="Normal 3" xfId="1"/>
  </cellStyles>
  <dxfs count="80">
    <dxf>
      <font>
        <color rgb="FF9C0006"/>
      </font>
      <fill>
        <patternFill>
          <bgColor rgb="FFFFC7CE"/>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ont>
        <color rgb="FF9C0006"/>
      </font>
      <fill>
        <patternFill>
          <bgColor rgb="FFFFC7CE"/>
        </patternFill>
      </fill>
    </dxf>
    <dxf>
      <fill>
        <patternFill>
          <bgColor theme="9" tint="0.59996337778862885"/>
        </patternFill>
      </fill>
    </dxf>
    <dxf>
      <font>
        <color theme="9" tint="0.59996337778862885"/>
      </font>
      <fill>
        <patternFill>
          <bgColor theme="9" tint="0.59996337778862885"/>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rgb="FF9C0006"/>
      </font>
      <fill>
        <patternFill>
          <bgColor rgb="FFFFC7CE"/>
        </patternFill>
      </fill>
    </dxf>
    <dxf>
      <fill>
        <patternFill>
          <bgColor theme="9" tint="0.59996337778862885"/>
        </patternFill>
      </fill>
    </dxf>
    <dxf>
      <font>
        <color theme="9" tint="0.59996337778862885"/>
      </font>
      <fill>
        <patternFill>
          <bgColor theme="9" tint="0.59996337778862885"/>
        </patternFill>
      </fill>
    </dxf>
    <dxf>
      <font>
        <color rgb="FF9C0006"/>
      </font>
      <fill>
        <patternFill>
          <bgColor rgb="FFFFC7CE"/>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ont>
        <color theme="0"/>
      </font>
      <fill>
        <patternFill>
          <bgColor theme="0"/>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ill>
        <patternFill>
          <bgColor theme="9" tint="0.59996337778862885"/>
        </patternFill>
      </fill>
    </dxf>
    <dxf>
      <font>
        <color theme="9" tint="0.59996337778862885"/>
      </font>
      <fill>
        <patternFill>
          <bgColor theme="9" tint="0.59996337778862885"/>
        </patternFill>
      </fill>
    </dxf>
    <dxf>
      <font>
        <color rgb="FF9C0006"/>
      </font>
      <fill>
        <patternFill>
          <bgColor rgb="FFFFC7CE"/>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theme="0"/>
        </patternFill>
      </fill>
    </dxf>
    <dxf>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79"/>
      <tableStyleElement type="headerRow" dxfId="7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42"/>
  <sheetViews>
    <sheetView showGridLines="0" showWhiteSpace="0" zoomScale="40" zoomScaleNormal="40" zoomScalePageLayoutView="30" workbookViewId="0">
      <pane xSplit="4" ySplit="2" topLeftCell="E6" activePane="bottomRight" state="frozen"/>
      <selection pane="topRight" activeCell="D1" sqref="D1"/>
      <selection pane="bottomLeft" activeCell="A3" sqref="A3"/>
      <selection pane="bottomRight" activeCell="D18" sqref="D18"/>
    </sheetView>
  </sheetViews>
  <sheetFormatPr defaultColWidth="9" defaultRowHeight="45" customHeight="1"/>
  <cols>
    <col min="1" max="1" width="6.3984375" style="70" customWidth="1"/>
    <col min="2" max="2" width="66.3984375" style="85" customWidth="1" collapsed="1"/>
    <col min="3" max="3" width="164.73046875" style="86" customWidth="1" collapsed="1"/>
    <col min="4" max="4" width="21.86328125" style="93" bestFit="1" customWidth="1" collapsed="1"/>
    <col min="5" max="5" width="205.86328125" style="87" customWidth="1" collapsed="1"/>
    <col min="6" max="6" width="180.59765625" style="88" customWidth="1" collapsed="1"/>
    <col min="7" max="35" width="9" style="70"/>
    <col min="36" max="16384" width="9" style="70" collapsed="1"/>
  </cols>
  <sheetData>
    <row r="1" spans="2:6" s="62" customFormat="1" ht="45" customHeight="1">
      <c r="B1" s="265" t="s">
        <v>105</v>
      </c>
      <c r="C1" s="266"/>
      <c r="D1" s="266"/>
      <c r="E1" s="266"/>
      <c r="F1" s="63"/>
    </row>
    <row r="2" spans="2:6" s="64" customFormat="1" ht="45" customHeight="1">
      <c r="B2" s="65" t="s">
        <v>17</v>
      </c>
      <c r="C2" s="66" t="s">
        <v>18</v>
      </c>
      <c r="D2" s="67" t="s">
        <v>31</v>
      </c>
      <c r="E2" s="68" t="s">
        <v>16</v>
      </c>
      <c r="F2" s="69" t="s">
        <v>29</v>
      </c>
    </row>
    <row r="3" spans="2:6" ht="45" customHeight="1" thickBot="1">
      <c r="B3" s="270" t="s">
        <v>143</v>
      </c>
      <c r="C3" s="268"/>
      <c r="D3" s="268"/>
      <c r="E3" s="268"/>
      <c r="F3" s="269"/>
    </row>
    <row r="4" spans="2:6" s="71" customFormat="1" ht="45" customHeight="1">
      <c r="B4" s="257" t="s">
        <v>112</v>
      </c>
      <c r="C4" s="72" t="s">
        <v>67</v>
      </c>
      <c r="D4" s="80" t="s">
        <v>68</v>
      </c>
      <c r="E4" s="73" t="s">
        <v>115</v>
      </c>
      <c r="F4" s="74" t="s">
        <v>116</v>
      </c>
    </row>
    <row r="5" spans="2:6" s="71" customFormat="1" ht="45" customHeight="1">
      <c r="B5" s="258"/>
      <c r="C5" s="72" t="s">
        <v>62</v>
      </c>
      <c r="D5" s="80" t="s">
        <v>69</v>
      </c>
      <c r="E5" s="73" t="s">
        <v>117</v>
      </c>
      <c r="F5" s="74" t="s">
        <v>116</v>
      </c>
    </row>
    <row r="6" spans="2:6" s="71" customFormat="1" ht="45" customHeight="1">
      <c r="B6" s="258"/>
      <c r="C6" s="72" t="s">
        <v>63</v>
      </c>
      <c r="D6" s="80" t="s">
        <v>70</v>
      </c>
      <c r="E6" s="73" t="s">
        <v>118</v>
      </c>
      <c r="F6" s="74" t="s">
        <v>116</v>
      </c>
    </row>
    <row r="7" spans="2:6" s="71" customFormat="1" ht="45" customHeight="1">
      <c r="B7" s="258"/>
      <c r="C7" s="72" t="s">
        <v>64</v>
      </c>
      <c r="D7" s="80" t="s">
        <v>71</v>
      </c>
      <c r="E7" s="73" t="s">
        <v>119</v>
      </c>
      <c r="F7" s="74" t="s">
        <v>116</v>
      </c>
    </row>
    <row r="8" spans="2:6" s="71" customFormat="1" ht="45" customHeight="1">
      <c r="B8" s="258"/>
      <c r="C8" s="72" t="s">
        <v>65</v>
      </c>
      <c r="D8" s="80" t="s">
        <v>72</v>
      </c>
      <c r="E8" s="73" t="s">
        <v>120</v>
      </c>
      <c r="F8" s="74" t="s">
        <v>116</v>
      </c>
    </row>
    <row r="9" spans="2:6" s="71" customFormat="1" ht="45" customHeight="1" thickBot="1">
      <c r="B9" s="259"/>
      <c r="C9" s="72" t="s">
        <v>66</v>
      </c>
      <c r="D9" s="80" t="s">
        <v>73</v>
      </c>
      <c r="E9" s="73" t="s">
        <v>121</v>
      </c>
      <c r="F9" s="74" t="s">
        <v>116</v>
      </c>
    </row>
    <row r="10" spans="2:6" s="71" customFormat="1" ht="45" customHeight="1">
      <c r="B10" s="260" t="s">
        <v>130</v>
      </c>
      <c r="C10" s="75" t="s">
        <v>127</v>
      </c>
      <c r="D10" s="76" t="s">
        <v>124</v>
      </c>
      <c r="E10" s="73" t="s">
        <v>134</v>
      </c>
      <c r="F10" s="74"/>
    </row>
    <row r="11" spans="2:6" s="71" customFormat="1" ht="45" customHeight="1">
      <c r="B11" s="261"/>
      <c r="C11" s="75" t="s">
        <v>128</v>
      </c>
      <c r="D11" s="76" t="s">
        <v>125</v>
      </c>
      <c r="E11" s="73" t="s">
        <v>133</v>
      </c>
      <c r="F11" s="74"/>
    </row>
    <row r="12" spans="2:6" s="71" customFormat="1" ht="45" customHeight="1" thickBot="1">
      <c r="B12" s="262"/>
      <c r="C12" s="75" t="s">
        <v>129</v>
      </c>
      <c r="D12" s="77" t="s">
        <v>126</v>
      </c>
      <c r="E12" s="73" t="s">
        <v>132</v>
      </c>
      <c r="F12" s="74"/>
    </row>
    <row r="13" spans="2:6" s="71" customFormat="1" ht="45" customHeight="1" thickBot="1">
      <c r="B13" s="89" t="s">
        <v>163</v>
      </c>
      <c r="C13" s="78" t="s">
        <v>164</v>
      </c>
      <c r="D13" s="77" t="s">
        <v>140</v>
      </c>
      <c r="E13" s="73"/>
      <c r="F13" s="74"/>
    </row>
    <row r="14" spans="2:6" s="71" customFormat="1" ht="45" customHeight="1">
      <c r="B14" s="223" t="s">
        <v>142</v>
      </c>
      <c r="C14" s="227" t="s">
        <v>162</v>
      </c>
      <c r="D14" s="77" t="s">
        <v>141</v>
      </c>
      <c r="E14" s="73"/>
      <c r="F14" s="74"/>
    </row>
    <row r="15" spans="2:6" s="71" customFormat="1" ht="45" customHeight="1">
      <c r="B15" s="271" t="s">
        <v>193</v>
      </c>
      <c r="C15" s="224" t="s">
        <v>182</v>
      </c>
      <c r="D15" s="225" t="s">
        <v>186</v>
      </c>
      <c r="E15" s="73"/>
      <c r="F15" s="74"/>
    </row>
    <row r="16" spans="2:6" s="71" customFormat="1" ht="45" customHeight="1">
      <c r="B16" s="272"/>
      <c r="C16" s="224" t="s">
        <v>183</v>
      </c>
      <c r="D16" s="225" t="s">
        <v>187</v>
      </c>
      <c r="E16" s="73"/>
      <c r="F16" s="74"/>
    </row>
    <row r="17" spans="2:34" s="71" customFormat="1" ht="45" customHeight="1">
      <c r="B17" s="272"/>
      <c r="C17" s="224" t="s">
        <v>184</v>
      </c>
      <c r="D17" s="225" t="s">
        <v>188</v>
      </c>
      <c r="E17" s="73"/>
      <c r="F17" s="74"/>
    </row>
    <row r="18" spans="2:34" s="71" customFormat="1" ht="45" customHeight="1">
      <c r="B18" s="272"/>
      <c r="C18" s="224" t="s">
        <v>185</v>
      </c>
      <c r="D18" s="225" t="s">
        <v>189</v>
      </c>
      <c r="E18" s="73"/>
      <c r="F18" s="74"/>
    </row>
    <row r="19" spans="2:34" s="71" customFormat="1" ht="45" customHeight="1">
      <c r="B19" s="273"/>
      <c r="C19" s="224" t="s">
        <v>191</v>
      </c>
      <c r="D19" s="225" t="s">
        <v>192</v>
      </c>
      <c r="E19" s="73"/>
      <c r="F19" s="74"/>
    </row>
    <row r="20" spans="2:34" ht="45" customHeight="1" thickBot="1">
      <c r="B20" s="253" t="s">
        <v>145</v>
      </c>
      <c r="C20" s="253"/>
      <c r="D20" s="253"/>
      <c r="E20" s="253"/>
      <c r="F20" s="253"/>
    </row>
    <row r="21" spans="2:34" s="2" customFormat="1" ht="45" customHeight="1" thickBot="1">
      <c r="B21" s="254" t="s">
        <v>107</v>
      </c>
      <c r="C21" s="112" t="s">
        <v>108</v>
      </c>
      <c r="D21" s="61" t="s">
        <v>148</v>
      </c>
      <c r="E21" s="73" t="s">
        <v>109</v>
      </c>
      <c r="F21" s="105"/>
      <c r="G21" s="96"/>
      <c r="H21" s="96"/>
      <c r="I21" s="96"/>
      <c r="J21" s="96"/>
      <c r="K21" s="96"/>
      <c r="L21" s="96"/>
      <c r="M21" s="96"/>
      <c r="N21" s="96"/>
      <c r="O21" s="96"/>
      <c r="P21" s="96"/>
      <c r="Q21" s="96"/>
      <c r="R21" s="96"/>
      <c r="S21" s="96"/>
      <c r="T21" s="96"/>
      <c r="U21" s="96"/>
      <c r="V21" s="96"/>
      <c r="W21" s="96"/>
      <c r="X21" s="96"/>
      <c r="Y21" s="96"/>
      <c r="Z21" s="96"/>
      <c r="AA21" s="96"/>
      <c r="AB21" s="97"/>
      <c r="AC21" s="98"/>
      <c r="AD21" s="263"/>
      <c r="AE21" s="99"/>
      <c r="AF21" s="264"/>
      <c r="AG21" s="95"/>
      <c r="AH21" s="3"/>
    </row>
    <row r="22" spans="2:34" s="1" customFormat="1" ht="45" customHeight="1" thickBot="1">
      <c r="B22" s="255"/>
      <c r="C22" s="113" t="s">
        <v>165</v>
      </c>
      <c r="D22" s="61" t="s">
        <v>149</v>
      </c>
      <c r="E22" s="73" t="s">
        <v>106</v>
      </c>
      <c r="F22" s="106"/>
      <c r="G22" s="100"/>
      <c r="H22" s="100"/>
      <c r="I22" s="100"/>
      <c r="J22" s="100"/>
      <c r="K22" s="100"/>
      <c r="L22" s="100"/>
      <c r="M22" s="100"/>
      <c r="N22" s="100"/>
      <c r="O22" s="100"/>
      <c r="P22" s="100"/>
      <c r="Q22" s="100"/>
      <c r="R22" s="100"/>
      <c r="S22" s="100"/>
      <c r="T22" s="100"/>
      <c r="U22" s="100"/>
      <c r="V22" s="100"/>
      <c r="W22" s="100"/>
      <c r="X22" s="100"/>
      <c r="Y22" s="100"/>
      <c r="Z22" s="100"/>
      <c r="AA22" s="100"/>
      <c r="AB22" s="97"/>
      <c r="AC22" s="98"/>
      <c r="AD22" s="263"/>
      <c r="AE22" s="99"/>
      <c r="AF22" s="264"/>
      <c r="AG22" s="95"/>
      <c r="AH22" s="4"/>
    </row>
    <row r="23" spans="2:34" s="1" customFormat="1" ht="45" customHeight="1" thickBot="1">
      <c r="B23" s="255"/>
      <c r="C23" s="112" t="s">
        <v>166</v>
      </c>
      <c r="D23" s="61" t="s">
        <v>150</v>
      </c>
      <c r="E23" s="103"/>
      <c r="F23" s="107"/>
      <c r="G23" s="101"/>
      <c r="H23" s="101"/>
      <c r="I23" s="101"/>
      <c r="J23" s="101"/>
      <c r="K23" s="101"/>
      <c r="L23" s="101"/>
      <c r="M23" s="101"/>
      <c r="N23" s="101"/>
      <c r="O23" s="101"/>
      <c r="P23" s="101"/>
      <c r="Q23" s="101"/>
      <c r="R23" s="101"/>
      <c r="S23" s="101"/>
      <c r="T23" s="101"/>
      <c r="U23" s="101"/>
      <c r="V23" s="101"/>
      <c r="W23" s="101"/>
      <c r="X23" s="101"/>
      <c r="Y23" s="101"/>
      <c r="Z23" s="101"/>
      <c r="AA23" s="101"/>
      <c r="AB23" s="97"/>
      <c r="AC23" s="98"/>
      <c r="AD23" s="263"/>
      <c r="AE23" s="99"/>
      <c r="AF23" s="264"/>
      <c r="AG23" s="95"/>
      <c r="AH23" s="4"/>
    </row>
    <row r="24" spans="2:34" s="1" customFormat="1" ht="45" customHeight="1" thickBot="1">
      <c r="B24" s="255"/>
      <c r="C24" s="114" t="s">
        <v>167</v>
      </c>
      <c r="D24" s="61" t="s">
        <v>151</v>
      </c>
      <c r="E24" s="103"/>
      <c r="F24" s="107"/>
      <c r="G24" s="101"/>
      <c r="H24" s="101"/>
      <c r="I24" s="101"/>
      <c r="J24" s="101"/>
      <c r="K24" s="101"/>
      <c r="L24" s="101"/>
      <c r="M24" s="101"/>
      <c r="N24" s="101"/>
      <c r="O24" s="101"/>
      <c r="P24" s="101"/>
      <c r="Q24" s="101"/>
      <c r="R24" s="101"/>
      <c r="S24" s="101"/>
      <c r="T24" s="101"/>
      <c r="U24" s="101"/>
      <c r="V24" s="101"/>
      <c r="W24" s="101"/>
      <c r="X24" s="101"/>
      <c r="Y24" s="101"/>
      <c r="Z24" s="101"/>
      <c r="AA24" s="101"/>
      <c r="AB24" s="97"/>
      <c r="AC24" s="98"/>
      <c r="AD24" s="263"/>
      <c r="AE24" s="99"/>
      <c r="AF24" s="264"/>
      <c r="AG24" s="95"/>
      <c r="AH24" s="4"/>
    </row>
    <row r="25" spans="2:34" s="1" customFormat="1" ht="45" customHeight="1" thickBot="1">
      <c r="B25" s="255"/>
      <c r="C25" s="114" t="s">
        <v>144</v>
      </c>
      <c r="D25" s="61" t="s">
        <v>152</v>
      </c>
      <c r="E25" s="103"/>
      <c r="F25" s="107"/>
      <c r="G25" s="101"/>
      <c r="H25" s="101"/>
      <c r="I25" s="101"/>
      <c r="J25" s="101"/>
      <c r="K25" s="101"/>
      <c r="L25" s="101"/>
      <c r="M25" s="101"/>
      <c r="N25" s="101"/>
      <c r="O25" s="101"/>
      <c r="P25" s="101"/>
      <c r="Q25" s="101"/>
      <c r="R25" s="101"/>
      <c r="S25" s="101"/>
      <c r="T25" s="101"/>
      <c r="U25" s="101"/>
      <c r="V25" s="101"/>
      <c r="W25" s="101"/>
      <c r="X25" s="101"/>
      <c r="Y25" s="101"/>
      <c r="Z25" s="101"/>
      <c r="AA25" s="101"/>
      <c r="AB25" s="97"/>
      <c r="AC25" s="98"/>
      <c r="AD25" s="263"/>
      <c r="AE25" s="99"/>
      <c r="AF25" s="264"/>
      <c r="AG25" s="95"/>
      <c r="AH25" s="4"/>
    </row>
    <row r="26" spans="2:34" s="2" customFormat="1" ht="45" customHeight="1" thickBot="1">
      <c r="B26" s="255"/>
      <c r="C26" s="112" t="s">
        <v>168</v>
      </c>
      <c r="D26" s="61" t="s">
        <v>153</v>
      </c>
      <c r="E26" s="104"/>
      <c r="F26" s="108"/>
      <c r="G26" s="102"/>
      <c r="H26" s="102"/>
      <c r="I26" s="102"/>
      <c r="J26" s="102"/>
      <c r="K26" s="102"/>
      <c r="L26" s="102"/>
      <c r="M26" s="102"/>
      <c r="N26" s="102"/>
      <c r="O26" s="102"/>
      <c r="P26" s="102"/>
      <c r="Q26" s="102"/>
      <c r="R26" s="102"/>
      <c r="S26" s="102"/>
      <c r="T26" s="102"/>
      <c r="U26" s="102"/>
      <c r="V26" s="102"/>
      <c r="W26" s="102"/>
      <c r="X26" s="102"/>
      <c r="Y26" s="102"/>
      <c r="Z26" s="102"/>
      <c r="AA26" s="102"/>
      <c r="AB26" s="97"/>
      <c r="AC26" s="98"/>
      <c r="AD26" s="263"/>
      <c r="AE26" s="99"/>
      <c r="AF26" s="264"/>
      <c r="AG26" s="95"/>
      <c r="AH26" s="3"/>
    </row>
    <row r="27" spans="2:34" s="2" customFormat="1" ht="45" customHeight="1" thickBot="1">
      <c r="B27" s="255"/>
      <c r="C27" s="112" t="s">
        <v>169</v>
      </c>
      <c r="D27" s="61" t="s">
        <v>154</v>
      </c>
      <c r="E27" s="73" t="s">
        <v>32</v>
      </c>
      <c r="F27" s="105"/>
      <c r="G27" s="96"/>
      <c r="H27" s="96"/>
      <c r="I27" s="96"/>
      <c r="J27" s="96"/>
      <c r="K27" s="96"/>
      <c r="L27" s="96"/>
      <c r="M27" s="96"/>
      <c r="N27" s="96"/>
      <c r="O27" s="96"/>
      <c r="P27" s="96"/>
      <c r="Q27" s="96"/>
      <c r="R27" s="96"/>
      <c r="S27" s="96"/>
      <c r="T27" s="96"/>
      <c r="U27" s="96"/>
      <c r="V27" s="96"/>
      <c r="W27" s="96"/>
      <c r="X27" s="96"/>
      <c r="Y27" s="96"/>
      <c r="Z27" s="96"/>
      <c r="AA27" s="96"/>
      <c r="AB27" s="97"/>
      <c r="AC27" s="98"/>
      <c r="AD27" s="263"/>
      <c r="AE27" s="99"/>
      <c r="AF27" s="264"/>
      <c r="AG27" s="95"/>
      <c r="AH27" s="3"/>
    </row>
    <row r="28" spans="2:34" s="2" customFormat="1" ht="45" customHeight="1" thickBot="1">
      <c r="B28" s="256"/>
      <c r="C28" s="112" t="s">
        <v>170</v>
      </c>
      <c r="D28" s="61" t="s">
        <v>155</v>
      </c>
      <c r="E28" s="79"/>
      <c r="F28" s="94"/>
      <c r="G28" s="102"/>
      <c r="H28" s="102"/>
      <c r="I28" s="102"/>
      <c r="J28" s="102"/>
      <c r="K28" s="102"/>
      <c r="L28" s="102"/>
      <c r="M28" s="102"/>
      <c r="N28" s="102"/>
      <c r="O28" s="102"/>
      <c r="P28" s="102"/>
      <c r="Q28" s="102"/>
      <c r="R28" s="102"/>
      <c r="S28" s="102"/>
      <c r="T28" s="102"/>
      <c r="U28" s="102"/>
      <c r="V28" s="102"/>
      <c r="W28" s="102"/>
      <c r="X28" s="102"/>
      <c r="Y28" s="102"/>
      <c r="Z28" s="102"/>
      <c r="AA28" s="102"/>
      <c r="AB28" s="97"/>
      <c r="AC28" s="98"/>
      <c r="AD28" s="263"/>
      <c r="AE28" s="99"/>
      <c r="AF28" s="264"/>
      <c r="AG28" s="95"/>
      <c r="AH28" s="3"/>
    </row>
    <row r="29" spans="2:34" ht="45" customHeight="1" thickBot="1">
      <c r="B29" s="267" t="s">
        <v>28</v>
      </c>
      <c r="C29" s="268"/>
      <c r="D29" s="268"/>
      <c r="E29" s="268"/>
      <c r="F29" s="269"/>
    </row>
    <row r="30" spans="2:34" ht="45" customHeight="1">
      <c r="B30" s="250" t="s">
        <v>15</v>
      </c>
      <c r="C30" s="90" t="s">
        <v>50</v>
      </c>
      <c r="D30" s="80" t="s">
        <v>33</v>
      </c>
      <c r="E30" s="73" t="s">
        <v>19</v>
      </c>
      <c r="F30" s="81" t="s">
        <v>34</v>
      </c>
    </row>
    <row r="31" spans="2:34" ht="45" customHeight="1">
      <c r="B31" s="251"/>
      <c r="C31" s="75" t="s">
        <v>111</v>
      </c>
      <c r="D31" s="80" t="s">
        <v>77</v>
      </c>
      <c r="E31" s="73" t="s">
        <v>82</v>
      </c>
      <c r="F31" s="81" t="s">
        <v>84</v>
      </c>
    </row>
    <row r="32" spans="2:34" ht="45" customHeight="1">
      <c r="B32" s="251"/>
      <c r="C32" s="75" t="s">
        <v>110</v>
      </c>
      <c r="D32" s="80" t="s">
        <v>78</v>
      </c>
      <c r="E32" s="73" t="s">
        <v>83</v>
      </c>
      <c r="F32" s="81" t="s">
        <v>84</v>
      </c>
    </row>
    <row r="33" spans="2:6" ht="45" customHeight="1">
      <c r="B33" s="251"/>
      <c r="C33" s="90" t="s">
        <v>74</v>
      </c>
      <c r="D33" s="80" t="s">
        <v>79</v>
      </c>
      <c r="E33" s="73" t="s">
        <v>75</v>
      </c>
      <c r="F33" s="81" t="s">
        <v>43</v>
      </c>
    </row>
    <row r="34" spans="2:6" ht="45" customHeight="1">
      <c r="B34" s="251"/>
      <c r="C34" s="90" t="s">
        <v>76</v>
      </c>
      <c r="D34" s="80" t="s">
        <v>80</v>
      </c>
      <c r="E34" s="73" t="s">
        <v>81</v>
      </c>
      <c r="F34" s="81" t="s">
        <v>85</v>
      </c>
    </row>
    <row r="35" spans="2:6" ht="45" customHeight="1" thickBot="1">
      <c r="B35" s="252"/>
      <c r="C35" s="92" t="s">
        <v>86</v>
      </c>
      <c r="D35" s="82" t="s">
        <v>35</v>
      </c>
      <c r="E35" s="83"/>
      <c r="F35" s="84"/>
    </row>
    <row r="36" spans="2:6" ht="45" customHeight="1">
      <c r="B36" s="250" t="s">
        <v>156</v>
      </c>
      <c r="C36" s="109" t="s">
        <v>45</v>
      </c>
      <c r="D36" s="91" t="s">
        <v>36</v>
      </c>
      <c r="E36" s="73" t="s">
        <v>26</v>
      </c>
      <c r="F36" s="81" t="s">
        <v>44</v>
      </c>
    </row>
    <row r="37" spans="2:6" ht="45" customHeight="1">
      <c r="B37" s="251"/>
      <c r="C37" s="110" t="s">
        <v>93</v>
      </c>
      <c r="D37" s="91" t="s">
        <v>37</v>
      </c>
      <c r="E37" s="73" t="s">
        <v>25</v>
      </c>
      <c r="F37" s="81" t="s">
        <v>44</v>
      </c>
    </row>
    <row r="38" spans="2:6" ht="45" customHeight="1">
      <c r="B38" s="251"/>
      <c r="C38" s="110" t="s">
        <v>51</v>
      </c>
      <c r="D38" s="91" t="s">
        <v>38</v>
      </c>
      <c r="E38" s="73" t="s">
        <v>24</v>
      </c>
      <c r="F38" s="81" t="s">
        <v>44</v>
      </c>
    </row>
    <row r="39" spans="2:6" ht="45" customHeight="1">
      <c r="B39" s="251"/>
      <c r="C39" s="110" t="s">
        <v>46</v>
      </c>
      <c r="D39" s="91" t="s">
        <v>39</v>
      </c>
      <c r="E39" s="73" t="s">
        <v>20</v>
      </c>
      <c r="F39" s="81"/>
    </row>
    <row r="40" spans="2:6" ht="45" customHeight="1">
      <c r="B40" s="251"/>
      <c r="C40" s="110" t="s">
        <v>94</v>
      </c>
      <c r="D40" s="91" t="s">
        <v>40</v>
      </c>
      <c r="E40" s="73" t="s">
        <v>21</v>
      </c>
      <c r="F40" s="81" t="s">
        <v>44</v>
      </c>
    </row>
    <row r="41" spans="2:6" ht="45" customHeight="1">
      <c r="B41" s="251"/>
      <c r="C41" s="110" t="s">
        <v>47</v>
      </c>
      <c r="D41" s="91" t="s">
        <v>41</v>
      </c>
      <c r="E41" s="73" t="s">
        <v>22</v>
      </c>
      <c r="F41" s="81" t="s">
        <v>44</v>
      </c>
    </row>
    <row r="42" spans="2:6" ht="45" customHeight="1" thickBot="1">
      <c r="B42" s="252"/>
      <c r="C42" s="111" t="s">
        <v>48</v>
      </c>
      <c r="D42" s="91" t="s">
        <v>42</v>
      </c>
      <c r="E42" s="73" t="s">
        <v>23</v>
      </c>
      <c r="F42" s="81" t="s">
        <v>44</v>
      </c>
    </row>
  </sheetData>
  <autoFilter ref="B2:F42"/>
  <mergeCells count="12">
    <mergeCell ref="AD21:AD28"/>
    <mergeCell ref="AF21:AF28"/>
    <mergeCell ref="B1:E1"/>
    <mergeCell ref="B29:F29"/>
    <mergeCell ref="B30:B35"/>
    <mergeCell ref="B3:F3"/>
    <mergeCell ref="B15:B19"/>
    <mergeCell ref="B36:B42"/>
    <mergeCell ref="B20:F20"/>
    <mergeCell ref="B21:B28"/>
    <mergeCell ref="B4:B9"/>
    <mergeCell ref="B10:B12"/>
  </mergeCells>
  <phoneticPr fontId="3" type="noConversion"/>
  <conditionalFormatting sqref="D21:D28">
    <cfRule type="duplicateValues" dxfId="77" priority="7"/>
  </conditionalFormatting>
  <conditionalFormatting sqref="D10:D18">
    <cfRule type="duplicateValues" dxfId="76" priority="5"/>
  </conditionalFormatting>
  <conditionalFormatting sqref="D19">
    <cfRule type="duplicateValues" dxfId="75" priority="1"/>
  </conditionalFormatting>
  <dataValidations count="2">
    <dataValidation type="whole" allowBlank="1" showInputMessage="1" showErrorMessage="1" errorTitle="Non-Numeric or abnormal value" error="Enter Numbers only between 0 and 99999" sqref="F21:AA27 E23:E26">
      <formula1>0</formula1>
      <formula2>99999</formula2>
    </dataValidation>
    <dataValidation allowBlank="1" showInputMessage="1" showErrorMessage="1" errorTitle="Non-Numeric or abnormal value" error="Enter Numbers only between 0 and 99999" sqref="E28:AA28"/>
  </dataValidations>
  <pageMargins left="0.7" right="0.7" top="0.75" bottom="0.75" header="0.3" footer="0.3"/>
  <pageSetup scale="13" fitToHeight="0" orientation="portrait"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105"/>
  <sheetViews>
    <sheetView showGridLines="0" tabSelected="1" showRuler="0" zoomScale="40" zoomScaleNormal="40" zoomScaleSheetLayoutView="68" zoomScalePageLayoutView="21" workbookViewId="0">
      <pane xSplit="2" ySplit="6" topLeftCell="C7" activePane="bottomRight" state="frozen"/>
      <selection pane="topRight" activeCell="C1" sqref="C1"/>
      <selection pane="bottomLeft" activeCell="A7" sqref="A7"/>
      <selection pane="bottomRight" activeCell="D10" sqref="D10"/>
    </sheetView>
  </sheetViews>
  <sheetFormatPr defaultColWidth="9.1328125" defaultRowHeight="21"/>
  <cols>
    <col min="1" max="1" width="44.59765625" style="48" customWidth="1" collapsed="1"/>
    <col min="2" max="2" width="104.59765625" style="49" customWidth="1" collapsed="1"/>
    <col min="3" max="3" width="14.3984375" style="228" customWidth="1" collapsed="1"/>
    <col min="4" max="27" width="7.59765625" style="35" customWidth="1" collapsed="1"/>
    <col min="28" max="35" width="7.59765625" style="119" customWidth="1"/>
    <col min="36" max="36" width="12.46484375" style="35" bestFit="1" customWidth="1" collapsed="1"/>
    <col min="37" max="37" width="8.3984375" style="44" hidden="1" customWidth="1" collapsed="1"/>
    <col min="38" max="38" width="22.9296875" style="36" bestFit="1" customWidth="1" collapsed="1"/>
    <col min="39" max="39" width="5.73046875" style="35" hidden="1" customWidth="1" collapsed="1"/>
    <col min="40" max="40" width="33.265625" style="35" hidden="1" customWidth="1" collapsed="1"/>
    <col min="41" max="42" width="9.1328125" style="26" collapsed="1"/>
    <col min="43" max="16384" width="9.1328125" style="35" collapsed="1"/>
  </cols>
  <sheetData>
    <row r="1" spans="1:42" s="10" customFormat="1" ht="39.75" customHeight="1" thickBot="1">
      <c r="A1" s="5" t="s">
        <v>55</v>
      </c>
      <c r="B1" s="390" t="s">
        <v>87</v>
      </c>
      <c r="C1" s="391"/>
      <c r="D1" s="380" t="s">
        <v>30</v>
      </c>
      <c r="E1" s="381"/>
      <c r="F1" s="366" t="s">
        <v>88</v>
      </c>
      <c r="G1" s="367"/>
      <c r="H1" s="380" t="s">
        <v>54</v>
      </c>
      <c r="I1" s="381"/>
      <c r="J1" s="381"/>
      <c r="K1" s="366" t="s">
        <v>89</v>
      </c>
      <c r="L1" s="366"/>
      <c r="M1" s="366"/>
      <c r="N1" s="366"/>
      <c r="O1" s="366"/>
      <c r="P1" s="366"/>
      <c r="Q1" s="366"/>
      <c r="R1" s="381" t="s">
        <v>61</v>
      </c>
      <c r="S1" s="381"/>
      <c r="T1" s="366" t="s">
        <v>90</v>
      </c>
      <c r="U1" s="366"/>
      <c r="V1" s="367"/>
      <c r="W1" s="380" t="s">
        <v>56</v>
      </c>
      <c r="X1" s="381"/>
      <c r="Y1" s="6" t="s">
        <v>91</v>
      </c>
      <c r="Z1" s="7" t="s">
        <v>57</v>
      </c>
      <c r="AA1" s="394">
        <v>2020</v>
      </c>
      <c r="AB1" s="394"/>
      <c r="AC1" s="394"/>
      <c r="AD1" s="394"/>
      <c r="AE1" s="394"/>
      <c r="AF1" s="394"/>
      <c r="AG1" s="394"/>
      <c r="AH1" s="394"/>
      <c r="AI1" s="394"/>
      <c r="AJ1" s="395"/>
      <c r="AK1" s="388" t="s">
        <v>58</v>
      </c>
      <c r="AL1" s="389"/>
      <c r="AM1" s="389"/>
      <c r="AN1" s="389"/>
      <c r="AO1" s="8"/>
      <c r="AP1" s="9"/>
    </row>
    <row r="2" spans="1:42" s="12" customFormat="1" ht="21.4" hidden="1" thickBot="1">
      <c r="A2" s="278" t="s">
        <v>27</v>
      </c>
      <c r="B2" s="278"/>
      <c r="C2" s="278"/>
      <c r="D2" s="278"/>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11"/>
      <c r="AO2" s="8"/>
      <c r="AP2" s="13"/>
    </row>
    <row r="3" spans="1:42" s="12" customFormat="1" ht="21.4" hidden="1" thickBot="1">
      <c r="A3" s="14" t="s">
        <v>98</v>
      </c>
      <c r="B3" s="15"/>
      <c r="C3" s="228"/>
      <c r="D3" s="16" t="s">
        <v>99</v>
      </c>
      <c r="E3" s="17">
        <v>1</v>
      </c>
      <c r="F3" s="18" t="s">
        <v>100</v>
      </c>
      <c r="G3" s="19">
        <v>1</v>
      </c>
      <c r="H3" s="18" t="s">
        <v>101</v>
      </c>
      <c r="I3" s="19">
        <v>1</v>
      </c>
      <c r="AK3" s="20"/>
      <c r="AL3" s="15"/>
      <c r="AO3" s="8"/>
      <c r="AP3" s="13"/>
    </row>
    <row r="4" spans="1:42" s="22" customFormat="1" ht="39.75" customHeight="1" thickBot="1">
      <c r="A4" s="386" t="s">
        <v>190</v>
      </c>
      <c r="B4" s="387"/>
      <c r="C4" s="387"/>
      <c r="D4" s="384" t="s">
        <v>122</v>
      </c>
      <c r="E4" s="384"/>
      <c r="F4" s="385"/>
      <c r="G4" s="385"/>
      <c r="H4" s="385"/>
      <c r="I4" s="385"/>
      <c r="J4" s="385"/>
      <c r="K4" s="385"/>
      <c r="L4" s="385"/>
      <c r="M4" s="385"/>
      <c r="N4" s="385"/>
      <c r="O4" s="385"/>
      <c r="P4" s="385"/>
      <c r="Q4" s="385"/>
      <c r="R4" s="385"/>
      <c r="S4" s="385"/>
      <c r="T4" s="385"/>
      <c r="U4" s="385"/>
      <c r="V4" s="385"/>
      <c r="W4" s="396" t="s">
        <v>123</v>
      </c>
      <c r="X4" s="397"/>
      <c r="Y4" s="397"/>
      <c r="Z4" s="397"/>
      <c r="AA4" s="397"/>
      <c r="AB4" s="397"/>
      <c r="AC4" s="397"/>
      <c r="AD4" s="397"/>
      <c r="AE4" s="397"/>
      <c r="AF4" s="397"/>
      <c r="AG4" s="397"/>
      <c r="AH4" s="397"/>
      <c r="AI4" s="397"/>
      <c r="AJ4" s="397"/>
      <c r="AK4" s="397"/>
      <c r="AL4" s="397"/>
      <c r="AM4" s="397"/>
      <c r="AN4" s="398"/>
      <c r="AO4" s="50"/>
      <c r="AP4" s="21"/>
    </row>
    <row r="5" spans="1:42" s="27" customFormat="1" ht="26.25" customHeight="1">
      <c r="A5" s="382" t="s">
        <v>17</v>
      </c>
      <c r="B5" s="399" t="s">
        <v>52</v>
      </c>
      <c r="C5" s="282" t="s">
        <v>49</v>
      </c>
      <c r="D5" s="274" t="s">
        <v>0</v>
      </c>
      <c r="E5" s="274"/>
      <c r="F5" s="274" t="s">
        <v>1</v>
      </c>
      <c r="G5" s="274"/>
      <c r="H5" s="274" t="s">
        <v>2</v>
      </c>
      <c r="I5" s="274"/>
      <c r="J5" s="274" t="s">
        <v>3</v>
      </c>
      <c r="K5" s="274"/>
      <c r="L5" s="274" t="s">
        <v>4</v>
      </c>
      <c r="M5" s="274"/>
      <c r="N5" s="274" t="s">
        <v>5</v>
      </c>
      <c r="O5" s="274"/>
      <c r="P5" s="274" t="s">
        <v>6</v>
      </c>
      <c r="Q5" s="274"/>
      <c r="R5" s="274" t="s">
        <v>7</v>
      </c>
      <c r="S5" s="274"/>
      <c r="T5" s="274" t="s">
        <v>8</v>
      </c>
      <c r="U5" s="274"/>
      <c r="V5" s="274" t="s">
        <v>13</v>
      </c>
      <c r="W5" s="274"/>
      <c r="X5" s="274" t="s">
        <v>14</v>
      </c>
      <c r="Y5" s="274"/>
      <c r="Z5" s="274" t="s">
        <v>9</v>
      </c>
      <c r="AA5" s="275"/>
      <c r="AB5" s="274" t="s">
        <v>177</v>
      </c>
      <c r="AC5" s="275"/>
      <c r="AD5" s="274" t="s">
        <v>178</v>
      </c>
      <c r="AE5" s="275"/>
      <c r="AF5" s="274" t="s">
        <v>179</v>
      </c>
      <c r="AG5" s="275"/>
      <c r="AH5" s="274" t="s">
        <v>180</v>
      </c>
      <c r="AI5" s="275"/>
      <c r="AJ5" s="370" t="s">
        <v>12</v>
      </c>
      <c r="AK5" s="368" t="s">
        <v>53</v>
      </c>
      <c r="AL5" s="23" t="s">
        <v>53</v>
      </c>
      <c r="AM5" s="392" t="s">
        <v>60</v>
      </c>
      <c r="AN5" s="24" t="s">
        <v>104</v>
      </c>
      <c r="AO5" s="25"/>
      <c r="AP5" s="26"/>
    </row>
    <row r="6" spans="1:42" s="27" customFormat="1" ht="27" customHeight="1" thickBot="1">
      <c r="A6" s="383"/>
      <c r="B6" s="400"/>
      <c r="C6" s="283"/>
      <c r="D6" s="28" t="s">
        <v>10</v>
      </c>
      <c r="E6" s="28" t="s">
        <v>11</v>
      </c>
      <c r="F6" s="28" t="s">
        <v>10</v>
      </c>
      <c r="G6" s="28" t="s">
        <v>11</v>
      </c>
      <c r="H6" s="28" t="s">
        <v>10</v>
      </c>
      <c r="I6" s="28" t="s">
        <v>11</v>
      </c>
      <c r="J6" s="28" t="s">
        <v>10</v>
      </c>
      <c r="K6" s="28" t="s">
        <v>11</v>
      </c>
      <c r="L6" s="28" t="s">
        <v>10</v>
      </c>
      <c r="M6" s="28" t="s">
        <v>11</v>
      </c>
      <c r="N6" s="28" t="s">
        <v>10</v>
      </c>
      <c r="O6" s="28" t="s">
        <v>11</v>
      </c>
      <c r="P6" s="28" t="s">
        <v>10</v>
      </c>
      <c r="Q6" s="28" t="s">
        <v>11</v>
      </c>
      <c r="R6" s="28" t="s">
        <v>10</v>
      </c>
      <c r="S6" s="28" t="s">
        <v>11</v>
      </c>
      <c r="T6" s="28" t="s">
        <v>10</v>
      </c>
      <c r="U6" s="28" t="s">
        <v>11</v>
      </c>
      <c r="V6" s="28" t="s">
        <v>10</v>
      </c>
      <c r="W6" s="28" t="s">
        <v>11</v>
      </c>
      <c r="X6" s="28" t="s">
        <v>10</v>
      </c>
      <c r="Y6" s="28" t="s">
        <v>11</v>
      </c>
      <c r="Z6" s="28" t="s">
        <v>10</v>
      </c>
      <c r="AA6" s="28" t="s">
        <v>11</v>
      </c>
      <c r="AB6" s="28" t="s">
        <v>10</v>
      </c>
      <c r="AC6" s="28" t="s">
        <v>11</v>
      </c>
      <c r="AD6" s="28" t="s">
        <v>10</v>
      </c>
      <c r="AE6" s="28" t="s">
        <v>11</v>
      </c>
      <c r="AF6" s="28" t="s">
        <v>10</v>
      </c>
      <c r="AG6" s="28" t="s">
        <v>11</v>
      </c>
      <c r="AH6" s="28" t="s">
        <v>10</v>
      </c>
      <c r="AI6" s="28" t="s">
        <v>11</v>
      </c>
      <c r="AJ6" s="371"/>
      <c r="AK6" s="369"/>
      <c r="AL6" s="29" t="str">
        <f>IF(LEN(A54)-LEN(SUBSTITUTE(A54,"*",""))&gt;0," Total Errors are "&amp;(LEN(A54)-LEN(SUBSTITUTE(A54,"*",""))),"")</f>
        <v/>
      </c>
      <c r="AM6" s="393"/>
      <c r="AN6" s="30" t="str">
        <f>IF(LEN(A76)-LEN(SUBSTITUTE(A76,"*",""))&gt;0," Total Warnings are "&amp;(LEN(A76)-LEN(SUBSTITUTE(A76,"*",""))),"")</f>
        <v/>
      </c>
      <c r="AO6" s="25"/>
      <c r="AP6" s="26"/>
    </row>
    <row r="7" spans="1:42" ht="25.9" thickBot="1">
      <c r="A7" s="377" t="s">
        <v>174</v>
      </c>
      <c r="B7" s="378"/>
      <c r="C7" s="378"/>
      <c r="D7" s="378"/>
      <c r="E7" s="378"/>
      <c r="F7" s="378"/>
      <c r="G7" s="378"/>
      <c r="H7" s="378"/>
      <c r="I7" s="378"/>
      <c r="J7" s="378"/>
      <c r="K7" s="378"/>
      <c r="L7" s="378"/>
      <c r="M7" s="378"/>
      <c r="N7" s="378"/>
      <c r="O7" s="378"/>
      <c r="P7" s="378"/>
      <c r="Q7" s="378"/>
      <c r="R7" s="378"/>
      <c r="S7" s="378"/>
      <c r="T7" s="378"/>
      <c r="U7" s="378"/>
      <c r="V7" s="378"/>
      <c r="W7" s="378"/>
      <c r="X7" s="378"/>
      <c r="Y7" s="378"/>
      <c r="Z7" s="378"/>
      <c r="AA7" s="378"/>
      <c r="AB7" s="378"/>
      <c r="AC7" s="378"/>
      <c r="AD7" s="378"/>
      <c r="AE7" s="378"/>
      <c r="AF7" s="378"/>
      <c r="AG7" s="378"/>
      <c r="AH7" s="378"/>
      <c r="AI7" s="378"/>
      <c r="AJ7" s="378"/>
      <c r="AK7" s="378"/>
      <c r="AL7" s="378"/>
      <c r="AM7" s="378"/>
      <c r="AN7" s="379"/>
      <c r="AO7" s="33"/>
      <c r="AP7" s="34"/>
    </row>
    <row r="8" spans="1:42" hidden="1">
      <c r="A8" s="311" t="s">
        <v>17</v>
      </c>
      <c r="B8" s="309" t="s">
        <v>52</v>
      </c>
      <c r="C8" s="287" t="s">
        <v>49</v>
      </c>
      <c r="D8" s="286" t="s">
        <v>0</v>
      </c>
      <c r="E8" s="285"/>
      <c r="F8" s="284" t="s">
        <v>1</v>
      </c>
      <c r="G8" s="285"/>
      <c r="H8" s="284" t="s">
        <v>2</v>
      </c>
      <c r="I8" s="285"/>
      <c r="J8" s="284" t="s">
        <v>3</v>
      </c>
      <c r="K8" s="285"/>
      <c r="L8" s="284" t="s">
        <v>4</v>
      </c>
      <c r="M8" s="285"/>
      <c r="N8" s="284" t="s">
        <v>5</v>
      </c>
      <c r="O8" s="285"/>
      <c r="P8" s="284" t="s">
        <v>6</v>
      </c>
      <c r="Q8" s="285"/>
      <c r="R8" s="284" t="s">
        <v>7</v>
      </c>
      <c r="S8" s="285"/>
      <c r="T8" s="284" t="s">
        <v>8</v>
      </c>
      <c r="U8" s="285"/>
      <c r="V8" s="284" t="s">
        <v>13</v>
      </c>
      <c r="W8" s="285"/>
      <c r="X8" s="284" t="s">
        <v>14</v>
      </c>
      <c r="Y8" s="285"/>
      <c r="Z8" s="284" t="s">
        <v>9</v>
      </c>
      <c r="AA8" s="285"/>
      <c r="AB8" s="120"/>
      <c r="AC8" s="120"/>
      <c r="AD8" s="120"/>
      <c r="AE8" s="120"/>
      <c r="AF8" s="120"/>
      <c r="AG8" s="120"/>
      <c r="AH8" s="120"/>
      <c r="AI8" s="120"/>
      <c r="AJ8" s="375" t="s">
        <v>12</v>
      </c>
      <c r="AK8" s="358" t="s">
        <v>53</v>
      </c>
      <c r="AL8" s="354" t="s">
        <v>59</v>
      </c>
      <c r="AM8" s="356" t="s">
        <v>60</v>
      </c>
      <c r="AN8" s="356" t="s">
        <v>60</v>
      </c>
      <c r="AO8" s="33"/>
      <c r="AP8" s="34"/>
    </row>
    <row r="9" spans="1:42" ht="21.4" hidden="1" thickBot="1">
      <c r="A9" s="312"/>
      <c r="B9" s="310"/>
      <c r="C9" s="288"/>
      <c r="D9" s="39" t="s">
        <v>10</v>
      </c>
      <c r="E9" s="39" t="s">
        <v>11</v>
      </c>
      <c r="F9" s="39" t="s">
        <v>10</v>
      </c>
      <c r="G9" s="39" t="s">
        <v>11</v>
      </c>
      <c r="H9" s="39" t="s">
        <v>10</v>
      </c>
      <c r="I9" s="39" t="s">
        <v>11</v>
      </c>
      <c r="J9" s="39" t="s">
        <v>10</v>
      </c>
      <c r="K9" s="39" t="s">
        <v>11</v>
      </c>
      <c r="L9" s="39" t="s">
        <v>10</v>
      </c>
      <c r="M9" s="39" t="s">
        <v>11</v>
      </c>
      <c r="N9" s="39" t="s">
        <v>10</v>
      </c>
      <c r="O9" s="39" t="s">
        <v>11</v>
      </c>
      <c r="P9" s="39" t="s">
        <v>10</v>
      </c>
      <c r="Q9" s="39" t="s">
        <v>11</v>
      </c>
      <c r="R9" s="39" t="s">
        <v>10</v>
      </c>
      <c r="S9" s="39" t="s">
        <v>11</v>
      </c>
      <c r="T9" s="39" t="s">
        <v>10</v>
      </c>
      <c r="U9" s="39" t="s">
        <v>11</v>
      </c>
      <c r="V9" s="39" t="s">
        <v>10</v>
      </c>
      <c r="W9" s="39" t="s">
        <v>11</v>
      </c>
      <c r="X9" s="39" t="s">
        <v>10</v>
      </c>
      <c r="Y9" s="39" t="s">
        <v>11</v>
      </c>
      <c r="Z9" s="39" t="s">
        <v>10</v>
      </c>
      <c r="AA9" s="39" t="s">
        <v>11</v>
      </c>
      <c r="AB9" s="121"/>
      <c r="AC9" s="121"/>
      <c r="AD9" s="121"/>
      <c r="AE9" s="121"/>
      <c r="AF9" s="121"/>
      <c r="AG9" s="121"/>
      <c r="AH9" s="121"/>
      <c r="AI9" s="121"/>
      <c r="AJ9" s="376"/>
      <c r="AK9" s="359"/>
      <c r="AL9" s="355"/>
      <c r="AM9" s="357"/>
      <c r="AN9" s="374"/>
      <c r="AO9" s="33"/>
      <c r="AP9" s="34"/>
    </row>
    <row r="10" spans="1:42" ht="30" customHeight="1">
      <c r="A10" s="361" t="s">
        <v>131</v>
      </c>
      <c r="B10" s="123" t="s">
        <v>67</v>
      </c>
      <c r="C10" s="230" t="s">
        <v>68</v>
      </c>
      <c r="D10" s="124"/>
      <c r="E10" s="125"/>
      <c r="F10" s="125"/>
      <c r="G10" s="125"/>
      <c r="H10" s="125"/>
      <c r="I10" s="125"/>
      <c r="J10" s="125"/>
      <c r="K10" s="125"/>
      <c r="L10" s="125"/>
      <c r="M10" s="125"/>
      <c r="N10" s="125"/>
      <c r="O10" s="125"/>
      <c r="P10" s="125"/>
      <c r="Q10" s="125"/>
      <c r="R10" s="125"/>
      <c r="S10" s="125"/>
      <c r="T10" s="125"/>
      <c r="U10" s="125"/>
      <c r="V10" s="125"/>
      <c r="W10" s="125"/>
      <c r="X10" s="125"/>
      <c r="Y10" s="126"/>
      <c r="Z10" s="127">
        <f>SUM(AB10,AD10,AF10,AH10)</f>
        <v>0</v>
      </c>
      <c r="AA10" s="128">
        <f>SUM(AC10,AE10,AG10,AI10)</f>
        <v>0</v>
      </c>
      <c r="AB10" s="129"/>
      <c r="AC10" s="125"/>
      <c r="AD10" s="125"/>
      <c r="AE10" s="125"/>
      <c r="AF10" s="125"/>
      <c r="AG10" s="125"/>
      <c r="AH10" s="125"/>
      <c r="AI10" s="130"/>
      <c r="AJ10" s="131">
        <f t="shared" ref="AJ10:AJ41" si="0">SUM(D10:AA10)</f>
        <v>0</v>
      </c>
      <c r="AK10" s="40" t="str">
        <f>CONCATENATE(IF(D29&lt;&gt;SUM(D16,D17,D18)," * Total TX_RTT By Population Type "&amp;D8&amp;" "&amp;D9&amp;" is Not equal to Total TX_RTT By Duration of Treatment"&amp;CHAR(10),""),IF(E29&lt;&gt;SUM(E16,E17,E18)," * Total TX_RTT By Population Type "&amp;D8&amp;" "&amp;E9&amp;" is Not equal to Total TX_RTT By Duration of Treatment"&amp;CHAR(10),""),IF(F29&lt;&gt;SUM(F16,F17,F18)," * Total TX_RTT By Population Type "&amp;F8&amp;" "&amp;F9&amp;" is Not equal to Total TX_RTT By Duration of Treatment"&amp;CHAR(10),""),IF(G29&lt;&gt;SUM(G16,G17,G18)," * Total TX_RTT By Population Type "&amp;F8&amp;" "&amp;G9&amp;" is Not equal to Total TX_RTT By Duration of Treatment"&amp;CHAR(10),""),IF(H29&lt;&gt;SUM(H16,H17,H18)," * Total TX_RTT By Population Type "&amp;H8&amp;" "&amp;H9&amp;" is Not equal to Total TX_RTT By Duration of Treatment"&amp;CHAR(10),""),IF(I29&lt;&gt;SUM(I16,I17,I18)," * Total TX_RTT By Population Type "&amp;H8&amp;" "&amp;I9&amp;" is Not equal to Total TX_RTT By Duration of Treatment"&amp;CHAR(10),""),IF(J29&lt;&gt;SUM(J16,J17,J18)," * Total TX_RTT By Population Type "&amp;J8&amp;" "&amp;J9&amp;" is Not equal to Total TX_RTT By Duration of Treatment"&amp;CHAR(10),""),IF(K29&lt;&gt;SUM(K16,K17,K18)," * Total TX_RTT By Population Type "&amp;J8&amp;" "&amp;K9&amp;" is Not equal to Total TX_RTT By Duration of Treatment"&amp;CHAR(10),""),IF(L29&lt;&gt;SUM(L16,L17,L18)," * Total TX_RTT By Population Type "&amp;L8&amp;" "&amp;L9&amp;" is Not equal to Total TX_RTT By Duration of Treatment"&amp;CHAR(10),""),IF(M29&lt;&gt;SUM(M16,M17,M18)," * Total TX_RTT By Population Type "&amp;L8&amp;" "&amp;M9&amp;" is Not equal to Total TX_RTT By Duration of Treatment"&amp;CHAR(10),""),IF(N29&lt;&gt;SUM(N16,N17,N18)," * Total TX_RTT By Population Type "&amp;N8&amp;" "&amp;N9&amp;" is Not equal to Total TX_RTT By Duration of Treatment"&amp;CHAR(10),""),IF(O29&lt;&gt;SUM(O16,O17,O18)," * Total TX_RTT By Population Type "&amp;N8&amp;" "&amp;O9&amp;" is Not equal to Total TX_RTT By Duration of Treatment"&amp;CHAR(10),""),IF(P29&lt;&gt;SUM(P16,P17,P18)," * Total TX_RTT By Population Type "&amp;P8&amp;" "&amp;P9&amp;" is Not equal to Total TX_RTT By Duration of Treatment"&amp;CHAR(10),""),IF(Q29&lt;&gt;SUM(Q16,Q17,Q18)," * Total TX_RTT By Population Type "&amp;P8&amp;" "&amp;Q9&amp;" is Not equal to Total TX_RTT By Duration of Treatment"&amp;CHAR(10),""),IF(R29&lt;&gt;SUM(R16,R17,R18)," * Total TX_RTT By Population Type "&amp;R8&amp;" "&amp;R9&amp;" is Not equal to Total TX_RTT By Duration of Treatment"&amp;CHAR(10),""),IF(S29&lt;&gt;SUM(S16,S17,S18)," * Total TX_RTT By Population Type "&amp;R8&amp;" "&amp;S9&amp;" is Not equal to Total TX_RTT By Duration of Treatment"&amp;CHAR(10),""),IF(T29&lt;&gt;SUM(T16,T17,T18)," * Total TX_RTT By Population Type "&amp;T8&amp;" "&amp;T9&amp;" is Not equal to Total TX_RTT By Duration of Treatment"&amp;CHAR(10),""),IF(U29&lt;&gt;SUM(U16,U17,U18)," * Total TX_RTT By Population Type "&amp;T8&amp;" "&amp;U9&amp;" is Not equal to Total TX_RTT By Duration of Treatment"&amp;CHAR(10),""),IF(V29&lt;&gt;SUM(V16,V17,V18)," * Total TX_RTT By Population Type "&amp;V8&amp;" "&amp;V9&amp;" is Not equal to Total TX_RTT By Duration of Treatment"&amp;CHAR(10),""),IF(W29&lt;&gt;SUM(W16,W17,W18)," * Total TX_RTT By Population Type "&amp;V8&amp;" "&amp;W9&amp;" is Not equal to Total TX_RTT By Duration of Treatment"&amp;CHAR(10),""),IF(X29&lt;&gt;SUM(X16,X17,X18)," * Total TX_RTT By Population Type "&amp;X8&amp;" "&amp;X9&amp;" is Not equal to Total TX_RTT By Duration of Treatment"&amp;CHAR(10),""),IF(Y29&lt;&gt;SUM(Y16,Y17,Y18)," * Total TX_RTT By Population Type "&amp;X8&amp;" "&amp;Y9&amp;" is Not equal to Total TX_RTT By Duration of Treatment"&amp;CHAR(10),""),IF(Z29&lt;&gt;SUM(Z16,Z17,Z18)," * Total TX_RTT By Population Type "&amp;Z8&amp;" "&amp;Z9&amp;" is Not equal to Total TX_RTT By Duration of Treatment"&amp;CHAR(10),""),IF(AA29&lt;&gt;SUM(AA16,AA17,AA18)," * Total TX_RTT By Population Type "&amp;Z8&amp;" "&amp;AA9&amp;" is Not equal to Total TX_RTT By Duration of Treatment"&amp;CHAR(10),""))</f>
        <v/>
      </c>
      <c r="AL10" s="294" t="str">
        <f>CONCATENATE(AK36,AK40,AK42,AK43,AK44,AK45,AK46,AK47,AK48,AK49,AK10,AK27,AK28,AK29,AK32,AK33,AK34,AK11,AK12,AK13,AK14,AK15,AK16,AK17,AK18,AK19,AK20,AK30,AK31,AK37,AK38,AK41,AK21)</f>
        <v/>
      </c>
      <c r="AM10" s="41"/>
      <c r="AN10" s="372" t="str">
        <f>CONCATENATE(AM36,AM40,AM42,AM43,AM44,AM45,AM46,AM47,AM48,AM49)</f>
        <v/>
      </c>
      <c r="AO10" s="33"/>
      <c r="AP10" s="34"/>
    </row>
    <row r="11" spans="1:42" ht="38.25" customHeight="1">
      <c r="A11" s="362"/>
      <c r="B11" s="132" t="s">
        <v>62</v>
      </c>
      <c r="C11" s="231" t="s">
        <v>69</v>
      </c>
      <c r="D11" s="133"/>
      <c r="E11" s="134"/>
      <c r="F11" s="134"/>
      <c r="G11" s="134"/>
      <c r="H11" s="134"/>
      <c r="I11" s="134"/>
      <c r="J11" s="134"/>
      <c r="K11" s="134"/>
      <c r="L11" s="134"/>
      <c r="M11" s="134"/>
      <c r="N11" s="134"/>
      <c r="O11" s="134"/>
      <c r="P11" s="134"/>
      <c r="Q11" s="134"/>
      <c r="R11" s="134"/>
      <c r="S11" s="134"/>
      <c r="T11" s="134"/>
      <c r="U11" s="134"/>
      <c r="V11" s="134"/>
      <c r="W11" s="134"/>
      <c r="X11" s="134"/>
      <c r="Y11" s="135"/>
      <c r="Z11" s="136">
        <f t="shared" ref="Z11:Z20" si="1">SUM(AB11,AD11,AF11,AH11)</f>
        <v>0</v>
      </c>
      <c r="AA11" s="137">
        <f t="shared" ref="AA11:AA20" si="2">SUM(AC11,AE11,AG11,AI11)</f>
        <v>0</v>
      </c>
      <c r="AB11" s="138"/>
      <c r="AC11" s="134"/>
      <c r="AD11" s="134"/>
      <c r="AE11" s="134"/>
      <c r="AF11" s="134"/>
      <c r="AG11" s="134"/>
      <c r="AH11" s="134"/>
      <c r="AI11" s="139"/>
      <c r="AJ11" s="140">
        <f t="shared" si="0"/>
        <v>0</v>
      </c>
      <c r="AK11" s="40"/>
      <c r="AL11" s="295"/>
      <c r="AM11" s="41"/>
      <c r="AN11" s="373"/>
      <c r="AO11" s="33"/>
      <c r="AP11" s="34"/>
    </row>
    <row r="12" spans="1:42" ht="38.25" customHeight="1">
      <c r="A12" s="362"/>
      <c r="B12" s="132" t="s">
        <v>63</v>
      </c>
      <c r="C12" s="231" t="s">
        <v>70</v>
      </c>
      <c r="D12" s="133"/>
      <c r="E12" s="134"/>
      <c r="F12" s="134"/>
      <c r="G12" s="134"/>
      <c r="H12" s="134"/>
      <c r="I12" s="134"/>
      <c r="J12" s="134"/>
      <c r="K12" s="134"/>
      <c r="L12" s="134"/>
      <c r="M12" s="134"/>
      <c r="N12" s="134"/>
      <c r="O12" s="134"/>
      <c r="P12" s="134"/>
      <c r="Q12" s="134"/>
      <c r="R12" s="134"/>
      <c r="S12" s="134"/>
      <c r="T12" s="134"/>
      <c r="U12" s="134"/>
      <c r="V12" s="134"/>
      <c r="W12" s="134"/>
      <c r="X12" s="134"/>
      <c r="Y12" s="135"/>
      <c r="Z12" s="136">
        <f t="shared" si="1"/>
        <v>0</v>
      </c>
      <c r="AA12" s="137">
        <f t="shared" si="2"/>
        <v>0</v>
      </c>
      <c r="AB12" s="138"/>
      <c r="AC12" s="134"/>
      <c r="AD12" s="134"/>
      <c r="AE12" s="134"/>
      <c r="AF12" s="134"/>
      <c r="AG12" s="134"/>
      <c r="AH12" s="134"/>
      <c r="AI12" s="139"/>
      <c r="AJ12" s="140">
        <f t="shared" si="0"/>
        <v>0</v>
      </c>
      <c r="AK12" s="40"/>
      <c r="AL12" s="295"/>
      <c r="AM12" s="41"/>
      <c r="AN12" s="373"/>
      <c r="AO12" s="33"/>
      <c r="AP12" s="34"/>
    </row>
    <row r="13" spans="1:42" ht="38.25" customHeight="1">
      <c r="A13" s="362"/>
      <c r="B13" s="132" t="s">
        <v>64</v>
      </c>
      <c r="C13" s="231" t="s">
        <v>71</v>
      </c>
      <c r="D13" s="133"/>
      <c r="E13" s="134"/>
      <c r="F13" s="134"/>
      <c r="G13" s="134"/>
      <c r="H13" s="134"/>
      <c r="I13" s="134"/>
      <c r="J13" s="134"/>
      <c r="K13" s="134"/>
      <c r="L13" s="134"/>
      <c r="M13" s="134"/>
      <c r="N13" s="134"/>
      <c r="O13" s="134"/>
      <c r="P13" s="134"/>
      <c r="Q13" s="134"/>
      <c r="R13" s="134"/>
      <c r="S13" s="134"/>
      <c r="T13" s="134"/>
      <c r="U13" s="134"/>
      <c r="V13" s="134"/>
      <c r="W13" s="134"/>
      <c r="X13" s="134"/>
      <c r="Y13" s="135"/>
      <c r="Z13" s="136">
        <f t="shared" si="1"/>
        <v>0</v>
      </c>
      <c r="AA13" s="137">
        <f t="shared" si="2"/>
        <v>0</v>
      </c>
      <c r="AB13" s="138"/>
      <c r="AC13" s="134"/>
      <c r="AD13" s="134"/>
      <c r="AE13" s="134"/>
      <c r="AF13" s="134"/>
      <c r="AG13" s="134"/>
      <c r="AH13" s="134"/>
      <c r="AI13" s="139"/>
      <c r="AJ13" s="140">
        <f t="shared" si="0"/>
        <v>0</v>
      </c>
      <c r="AK13" s="40"/>
      <c r="AL13" s="295"/>
      <c r="AM13" s="41"/>
      <c r="AN13" s="373"/>
      <c r="AO13" s="33"/>
      <c r="AP13" s="34"/>
    </row>
    <row r="14" spans="1:42" ht="38.25" customHeight="1">
      <c r="A14" s="362"/>
      <c r="B14" s="132" t="s">
        <v>65</v>
      </c>
      <c r="C14" s="231" t="s">
        <v>72</v>
      </c>
      <c r="D14" s="133"/>
      <c r="E14" s="134"/>
      <c r="F14" s="134"/>
      <c r="G14" s="134"/>
      <c r="H14" s="134"/>
      <c r="I14" s="134"/>
      <c r="J14" s="134"/>
      <c r="K14" s="134"/>
      <c r="L14" s="134"/>
      <c r="M14" s="134"/>
      <c r="N14" s="134"/>
      <c r="O14" s="134"/>
      <c r="P14" s="134"/>
      <c r="Q14" s="134"/>
      <c r="R14" s="134"/>
      <c r="S14" s="134"/>
      <c r="T14" s="134"/>
      <c r="U14" s="134"/>
      <c r="V14" s="134"/>
      <c r="W14" s="134"/>
      <c r="X14" s="134"/>
      <c r="Y14" s="135"/>
      <c r="Z14" s="136">
        <f t="shared" si="1"/>
        <v>0</v>
      </c>
      <c r="AA14" s="137">
        <f t="shared" si="2"/>
        <v>0</v>
      </c>
      <c r="AB14" s="138"/>
      <c r="AC14" s="134"/>
      <c r="AD14" s="134"/>
      <c r="AE14" s="134"/>
      <c r="AF14" s="134"/>
      <c r="AG14" s="134"/>
      <c r="AH14" s="134"/>
      <c r="AI14" s="139"/>
      <c r="AJ14" s="140">
        <f t="shared" si="0"/>
        <v>0</v>
      </c>
      <c r="AK14" s="40"/>
      <c r="AL14" s="295"/>
      <c r="AM14" s="41"/>
      <c r="AN14" s="373"/>
      <c r="AO14" s="33"/>
      <c r="AP14" s="34"/>
    </row>
    <row r="15" spans="1:42" ht="38.25" customHeight="1" thickBot="1">
      <c r="A15" s="363"/>
      <c r="B15" s="141" t="s">
        <v>66</v>
      </c>
      <c r="C15" s="232" t="s">
        <v>73</v>
      </c>
      <c r="D15" s="142"/>
      <c r="E15" s="143"/>
      <c r="F15" s="143"/>
      <c r="G15" s="143"/>
      <c r="H15" s="143"/>
      <c r="I15" s="143"/>
      <c r="J15" s="143"/>
      <c r="K15" s="143"/>
      <c r="L15" s="143"/>
      <c r="M15" s="143"/>
      <c r="N15" s="143"/>
      <c r="O15" s="143"/>
      <c r="P15" s="143"/>
      <c r="Q15" s="143"/>
      <c r="R15" s="143"/>
      <c r="S15" s="143"/>
      <c r="T15" s="143"/>
      <c r="U15" s="143"/>
      <c r="V15" s="143"/>
      <c r="W15" s="143"/>
      <c r="X15" s="143"/>
      <c r="Y15" s="144"/>
      <c r="Z15" s="145">
        <f t="shared" si="1"/>
        <v>0</v>
      </c>
      <c r="AA15" s="146">
        <f t="shared" si="2"/>
        <v>0</v>
      </c>
      <c r="AB15" s="147"/>
      <c r="AC15" s="143"/>
      <c r="AD15" s="143"/>
      <c r="AE15" s="143"/>
      <c r="AF15" s="143"/>
      <c r="AG15" s="143"/>
      <c r="AH15" s="143"/>
      <c r="AI15" s="148"/>
      <c r="AJ15" s="140">
        <f t="shared" si="0"/>
        <v>0</v>
      </c>
      <c r="AK15" s="40"/>
      <c r="AL15" s="295"/>
      <c r="AM15" s="41"/>
      <c r="AN15" s="373"/>
      <c r="AO15" s="33"/>
      <c r="AP15" s="34"/>
    </row>
    <row r="16" spans="1:42" ht="38.25" customHeight="1">
      <c r="A16" s="364" t="s">
        <v>130</v>
      </c>
      <c r="B16" s="132" t="s">
        <v>127</v>
      </c>
      <c r="C16" s="231" t="s">
        <v>124</v>
      </c>
      <c r="D16" s="149"/>
      <c r="E16" s="149"/>
      <c r="F16" s="149"/>
      <c r="G16" s="149"/>
      <c r="H16" s="149"/>
      <c r="I16" s="149"/>
      <c r="J16" s="149"/>
      <c r="K16" s="149"/>
      <c r="L16" s="149"/>
      <c r="M16" s="149"/>
      <c r="N16" s="149"/>
      <c r="O16" s="149"/>
      <c r="P16" s="149"/>
      <c r="Q16" s="149"/>
      <c r="R16" s="149"/>
      <c r="S16" s="149"/>
      <c r="T16" s="149"/>
      <c r="U16" s="149"/>
      <c r="V16" s="149"/>
      <c r="W16" s="149"/>
      <c r="X16" s="149"/>
      <c r="Y16" s="149"/>
      <c r="Z16" s="150">
        <f t="shared" si="1"/>
        <v>0</v>
      </c>
      <c r="AA16" s="151">
        <f t="shared" si="2"/>
        <v>0</v>
      </c>
      <c r="AB16" s="149"/>
      <c r="AC16" s="149"/>
      <c r="AD16" s="149"/>
      <c r="AE16" s="149"/>
      <c r="AF16" s="149"/>
      <c r="AG16" s="149"/>
      <c r="AH16" s="149"/>
      <c r="AI16" s="149"/>
      <c r="AJ16" s="140">
        <f t="shared" ref="AJ16:AJ19" si="3">SUM(D16:AA16)</f>
        <v>0</v>
      </c>
      <c r="AK16" s="40"/>
      <c r="AL16" s="295"/>
      <c r="AM16" s="41"/>
      <c r="AN16" s="373"/>
      <c r="AO16" s="33"/>
      <c r="AP16" s="34"/>
    </row>
    <row r="17" spans="1:42" ht="38.25" customHeight="1">
      <c r="A17" s="365"/>
      <c r="B17" s="132" t="s">
        <v>128</v>
      </c>
      <c r="C17" s="231" t="s">
        <v>125</v>
      </c>
      <c r="D17" s="138"/>
      <c r="E17" s="138"/>
      <c r="F17" s="138"/>
      <c r="G17" s="138"/>
      <c r="H17" s="138"/>
      <c r="I17" s="138"/>
      <c r="J17" s="138"/>
      <c r="K17" s="138"/>
      <c r="L17" s="138"/>
      <c r="M17" s="138"/>
      <c r="N17" s="138"/>
      <c r="O17" s="138"/>
      <c r="P17" s="138"/>
      <c r="Q17" s="138"/>
      <c r="R17" s="138"/>
      <c r="S17" s="138"/>
      <c r="T17" s="138"/>
      <c r="U17" s="138"/>
      <c r="V17" s="138"/>
      <c r="W17" s="138"/>
      <c r="X17" s="138"/>
      <c r="Y17" s="138"/>
      <c r="Z17" s="136">
        <f t="shared" si="1"/>
        <v>0</v>
      </c>
      <c r="AA17" s="137">
        <f t="shared" si="2"/>
        <v>0</v>
      </c>
      <c r="AB17" s="138"/>
      <c r="AC17" s="138"/>
      <c r="AD17" s="138"/>
      <c r="AE17" s="138"/>
      <c r="AF17" s="138"/>
      <c r="AG17" s="138"/>
      <c r="AH17" s="138"/>
      <c r="AI17" s="138"/>
      <c r="AJ17" s="140">
        <f t="shared" si="3"/>
        <v>0</v>
      </c>
      <c r="AK17" s="40"/>
      <c r="AL17" s="295"/>
      <c r="AM17" s="41"/>
      <c r="AN17" s="373"/>
      <c r="AO17" s="33"/>
      <c r="AP17" s="34"/>
    </row>
    <row r="18" spans="1:42" ht="38.25" customHeight="1" thickBot="1">
      <c r="A18" s="365"/>
      <c r="B18" s="152" t="s">
        <v>129</v>
      </c>
      <c r="C18" s="233" t="s">
        <v>126</v>
      </c>
      <c r="D18" s="153"/>
      <c r="E18" s="153"/>
      <c r="F18" s="153"/>
      <c r="G18" s="153"/>
      <c r="H18" s="153"/>
      <c r="I18" s="153"/>
      <c r="J18" s="153"/>
      <c r="K18" s="153"/>
      <c r="L18" s="153"/>
      <c r="M18" s="153"/>
      <c r="N18" s="153"/>
      <c r="O18" s="153"/>
      <c r="P18" s="153"/>
      <c r="Q18" s="153"/>
      <c r="R18" s="153"/>
      <c r="S18" s="153"/>
      <c r="T18" s="153"/>
      <c r="U18" s="153"/>
      <c r="V18" s="153"/>
      <c r="W18" s="153"/>
      <c r="X18" s="153"/>
      <c r="Y18" s="153"/>
      <c r="Z18" s="156">
        <f t="shared" si="1"/>
        <v>0</v>
      </c>
      <c r="AA18" s="157">
        <f t="shared" si="2"/>
        <v>0</v>
      </c>
      <c r="AB18" s="153"/>
      <c r="AC18" s="153"/>
      <c r="AD18" s="153"/>
      <c r="AE18" s="153"/>
      <c r="AF18" s="153"/>
      <c r="AG18" s="153"/>
      <c r="AH18" s="153"/>
      <c r="AI18" s="153"/>
      <c r="AJ18" s="140">
        <f t="shared" si="3"/>
        <v>0</v>
      </c>
      <c r="AK18" s="40"/>
      <c r="AL18" s="295"/>
      <c r="AM18" s="41"/>
      <c r="AN18" s="373"/>
      <c r="AO18" s="33"/>
      <c r="AP18" s="34"/>
    </row>
    <row r="19" spans="1:42" ht="38.25" customHeight="1" thickBot="1">
      <c r="A19" s="222" t="s">
        <v>160</v>
      </c>
      <c r="B19" s="158" t="s">
        <v>181</v>
      </c>
      <c r="C19" s="233" t="s">
        <v>140</v>
      </c>
      <c r="D19" s="159"/>
      <c r="E19" s="160"/>
      <c r="F19" s="160"/>
      <c r="G19" s="160"/>
      <c r="H19" s="160"/>
      <c r="I19" s="160"/>
      <c r="J19" s="160"/>
      <c r="K19" s="160"/>
      <c r="L19" s="160"/>
      <c r="M19" s="160"/>
      <c r="N19" s="160"/>
      <c r="O19" s="160"/>
      <c r="P19" s="160"/>
      <c r="Q19" s="160"/>
      <c r="R19" s="160"/>
      <c r="S19" s="160"/>
      <c r="T19" s="160"/>
      <c r="U19" s="160"/>
      <c r="V19" s="160"/>
      <c r="W19" s="160"/>
      <c r="X19" s="160"/>
      <c r="Y19" s="161"/>
      <c r="Z19" s="162">
        <f t="shared" si="1"/>
        <v>0</v>
      </c>
      <c r="AA19" s="163">
        <f t="shared" si="2"/>
        <v>0</v>
      </c>
      <c r="AB19" s="164"/>
      <c r="AC19" s="160"/>
      <c r="AD19" s="160"/>
      <c r="AE19" s="160"/>
      <c r="AF19" s="160"/>
      <c r="AG19" s="160"/>
      <c r="AH19" s="160"/>
      <c r="AI19" s="165"/>
      <c r="AJ19" s="140">
        <f t="shared" si="3"/>
        <v>0</v>
      </c>
      <c r="AK19" s="37"/>
      <c r="AL19" s="295"/>
      <c r="AM19" s="38"/>
      <c r="AN19" s="373"/>
      <c r="AO19" s="51"/>
      <c r="AP19" s="34"/>
    </row>
    <row r="20" spans="1:42" ht="60.75" customHeight="1" thickBot="1">
      <c r="A20" s="222" t="s">
        <v>142</v>
      </c>
      <c r="B20" s="158" t="s">
        <v>161</v>
      </c>
      <c r="C20" s="232" t="s">
        <v>141</v>
      </c>
      <c r="D20" s="166"/>
      <c r="E20" s="167"/>
      <c r="F20" s="167"/>
      <c r="G20" s="167"/>
      <c r="H20" s="167"/>
      <c r="I20" s="167"/>
      <c r="J20" s="167"/>
      <c r="K20" s="167"/>
      <c r="L20" s="167"/>
      <c r="M20" s="167"/>
      <c r="N20" s="167"/>
      <c r="O20" s="167"/>
      <c r="P20" s="167"/>
      <c r="Q20" s="167"/>
      <c r="R20" s="167"/>
      <c r="S20" s="167"/>
      <c r="T20" s="167"/>
      <c r="U20" s="167"/>
      <c r="V20" s="167"/>
      <c r="W20" s="167"/>
      <c r="X20" s="167"/>
      <c r="Y20" s="168"/>
      <c r="Z20" s="169">
        <f t="shared" si="1"/>
        <v>0</v>
      </c>
      <c r="AA20" s="170">
        <f t="shared" si="2"/>
        <v>0</v>
      </c>
      <c r="AB20" s="166"/>
      <c r="AC20" s="167"/>
      <c r="AD20" s="167"/>
      <c r="AE20" s="167"/>
      <c r="AF20" s="167"/>
      <c r="AG20" s="167"/>
      <c r="AH20" s="167"/>
      <c r="AI20" s="167"/>
      <c r="AJ20" s="171">
        <f t="shared" ref="AJ20:AJ24" si="4">SUM(D20:AA20)</f>
        <v>0</v>
      </c>
      <c r="AK20" s="37"/>
      <c r="AL20" s="295"/>
      <c r="AM20" s="38"/>
      <c r="AN20" s="373"/>
      <c r="AO20" s="51"/>
      <c r="AP20" s="34"/>
    </row>
    <row r="21" spans="1:42" s="122" customFormat="1" ht="38.25" customHeight="1" thickBot="1">
      <c r="A21" s="306" t="s">
        <v>193</v>
      </c>
      <c r="B21" s="226" t="s">
        <v>194</v>
      </c>
      <c r="C21" s="231" t="s">
        <v>186</v>
      </c>
      <c r="D21" s="244">
        <f>SUM(D22:D25)</f>
        <v>0</v>
      </c>
      <c r="E21" s="244">
        <f t="shared" ref="E21:AH21" si="5">SUM(E22:E25)</f>
        <v>0</v>
      </c>
      <c r="F21" s="244">
        <f t="shared" si="5"/>
        <v>0</v>
      </c>
      <c r="G21" s="244">
        <f t="shared" si="5"/>
        <v>0</v>
      </c>
      <c r="H21" s="244">
        <f t="shared" si="5"/>
        <v>0</v>
      </c>
      <c r="I21" s="244">
        <f t="shared" si="5"/>
        <v>0</v>
      </c>
      <c r="J21" s="244">
        <f t="shared" si="5"/>
        <v>0</v>
      </c>
      <c r="K21" s="244">
        <f t="shared" si="5"/>
        <v>0</v>
      </c>
      <c r="L21" s="244">
        <f t="shared" si="5"/>
        <v>0</v>
      </c>
      <c r="M21" s="244">
        <f t="shared" si="5"/>
        <v>0</v>
      </c>
      <c r="N21" s="244">
        <f t="shared" si="5"/>
        <v>0</v>
      </c>
      <c r="O21" s="244">
        <f t="shared" si="5"/>
        <v>0</v>
      </c>
      <c r="P21" s="244">
        <f t="shared" si="5"/>
        <v>0</v>
      </c>
      <c r="Q21" s="244">
        <f t="shared" si="5"/>
        <v>0</v>
      </c>
      <c r="R21" s="244">
        <f t="shared" si="5"/>
        <v>0</v>
      </c>
      <c r="S21" s="244">
        <f t="shared" si="5"/>
        <v>0</v>
      </c>
      <c r="T21" s="244">
        <f t="shared" si="5"/>
        <v>0</v>
      </c>
      <c r="U21" s="244">
        <f t="shared" si="5"/>
        <v>0</v>
      </c>
      <c r="V21" s="244">
        <f t="shared" si="5"/>
        <v>0</v>
      </c>
      <c r="W21" s="244">
        <f t="shared" si="5"/>
        <v>0</v>
      </c>
      <c r="X21" s="244">
        <f t="shared" si="5"/>
        <v>0</v>
      </c>
      <c r="Y21" s="244">
        <f t="shared" si="5"/>
        <v>0</v>
      </c>
      <c r="Z21" s="244">
        <f>SUM(Z22:Z25)</f>
        <v>0</v>
      </c>
      <c r="AA21" s="244">
        <f>SUM(AA22:AA25)</f>
        <v>0</v>
      </c>
      <c r="AB21" s="244">
        <f>SUM(AB22:AB25)</f>
        <v>0</v>
      </c>
      <c r="AC21" s="244">
        <f t="shared" si="5"/>
        <v>0</v>
      </c>
      <c r="AD21" s="244">
        <f t="shared" si="5"/>
        <v>0</v>
      </c>
      <c r="AE21" s="244">
        <f t="shared" si="5"/>
        <v>0</v>
      </c>
      <c r="AF21" s="244">
        <f t="shared" si="5"/>
        <v>0</v>
      </c>
      <c r="AG21" s="244">
        <f t="shared" si="5"/>
        <v>0</v>
      </c>
      <c r="AH21" s="244">
        <f t="shared" si="5"/>
        <v>0</v>
      </c>
      <c r="AI21" s="244">
        <f>SUM(AI22:AI25)</f>
        <v>0</v>
      </c>
      <c r="AJ21" s="245">
        <f>SUM(D21:AA21)</f>
        <v>0</v>
      </c>
      <c r="AK21" s="40" t="str">
        <f>CONCATENATE(IF(D21&lt;&gt;SUM(D16,D17,D18)," * Total TX_RTT Done for CD_4 "&amp;D8&amp;" "&amp;D9&amp;" Should be equal to  Total TX_RTT"&amp;CHAR(10),""),IF(E21&lt;&gt;SUM(E16,E17,E18)," * Total TX_RTT Done for CD_4 "&amp;D8&amp;" "&amp;E9&amp;" Should be equal to  Total TX_RTT"&amp;CHAR(10),""),IF(F21&lt;&gt;SUM(F16,F17,F18)," * Total TX_RTT Done for CD_4 "&amp;F8&amp;" "&amp;F9&amp;" Should be equal to  Total TX_RTT"&amp;CHAR(10),""),IF(G21&lt;&gt;SUM(G16,G17,G18)," * Total TX_RTT Done for CD_4 "&amp;F8&amp;" "&amp;G9&amp;" Should be equal to  Total TX_RTT"&amp;CHAR(10),""),IF(H21&lt;&gt;SUM(H16,H17,H18)," * Total TX_RTT Done for CD_4 "&amp;H8&amp;" "&amp;H9&amp;" Should be equal to  Total TX_RTT"&amp;CHAR(10),""),IF(I21&lt;&gt;SUM(I16,I17,I18)," * Total TX_RTT Done for CD_4 "&amp;H8&amp;" "&amp;I9&amp;" Should be equal to  Total TX_RTT"&amp;CHAR(10),""),IF(J21&lt;&gt;SUM(J16,J17,J18)," * Total TX_RTT Done for CD_4 "&amp;J8&amp;" "&amp;J9&amp;" Should be equal to  Total TX_RTT"&amp;CHAR(10),""),IF(K21&lt;&gt;SUM(K16,K17,K18)," * Total TX_RTT Done for CD_4 "&amp;J8&amp;" "&amp;K9&amp;" Should be equal to  Total TX_RTT"&amp;CHAR(10),""),IF(L21&lt;&gt;SUM(L16,L17,L18)," * Total TX_RTT Done for CD_4 "&amp;L8&amp;" "&amp;L9&amp;" Should be equal to  Total TX_RTT"&amp;CHAR(10),""),IF(M21&lt;&gt;SUM(M16,M17,M18)," * Total TX_RTT Done for CD_4 "&amp;L8&amp;" "&amp;M9&amp;" Should be equal to  Total TX_RTT"&amp;CHAR(10),""),IF(N21&lt;&gt;SUM(N16,N17,N18)," * Total TX_RTT Done for CD_4 "&amp;N8&amp;" "&amp;N9&amp;" Should be equal to  Total TX_RTT"&amp;CHAR(10),""),IF(O21&lt;&gt;SUM(O16,O17,O18)," * Total TX_RTT Done for CD_4 "&amp;N8&amp;" "&amp;O9&amp;" Should be equal to  Total TX_RTT"&amp;CHAR(10),""),IF(P21&lt;&gt;SUM(P16,P17,P18)," * Total TX_RTT Done for CD_4 "&amp;P8&amp;" "&amp;P9&amp;" Should be equal to  Total TX_RTT"&amp;CHAR(10),""),IF(Q21&lt;&gt;SUM(Q16,Q17,Q18)," * Total TX_RTT Done for CD_4 "&amp;P8&amp;" "&amp;Q9&amp;" Should be equal to  Total TX_RTT"&amp;CHAR(10),""),IF(R21&lt;&gt;SUM(R16,R17,R18)," * Total TX_RTT Done for CD_4 "&amp;R8&amp;" "&amp;R9&amp;" Should be equal to  Total TX_RTT"&amp;CHAR(10),""),IF(S21&lt;&gt;SUM(S16,S17,S18)," * Total TX_RTT Done for CD_4 "&amp;R8&amp;" "&amp;S9&amp;" Should be equal to  Total TX_RTT"&amp;CHAR(10),""),IF(T21&lt;&gt;SUM(T16,T17,T18)," * Total TX_RTT Done for CD_4 "&amp;T8&amp;" "&amp;T9&amp;" Should be equal to  Total TX_RTT"&amp;CHAR(10),""),IF(U21&lt;&gt;SUM(U16,U17,U18)," * Total TX_RTT Done for CD_4 "&amp;T8&amp;" "&amp;U9&amp;" Should be equal to  Total TX_RTT"&amp;CHAR(10),""),IF(V21&lt;&gt;SUM(V16,V17,V18)," * Total TX_RTT Done for CD_4 "&amp;V8&amp;" "&amp;V9&amp;" Should be equal to  Total TX_RTT"&amp;CHAR(10),""),IF(W21&lt;&gt;SUM(W16,W17,W18)," * Total TX_RTT Done for CD_4 "&amp;V8&amp;" "&amp;W9&amp;" Should be equal to  Total TX_RTT"&amp;CHAR(10),""),IF(X21&lt;&gt;SUM(X16,X17,X18)," * Total TX_RTT Done for CD_4 "&amp;X8&amp;" "&amp;X9&amp;" Should be equal to  Total TX_RTT"&amp;CHAR(10),""),IF(Y21&lt;&gt;SUM(Y16,Y17,Y18)," * Total TX_RTT Done for CD_4 "&amp;X8&amp;" "&amp;Y9&amp;" Should be equal to  Total TX_RTT"&amp;CHAR(10),""),IF(Z21&lt;&gt;SUM(Z16,Z17,Z18)," * Total TX_RTT Done for CD_4 "&amp;Z8&amp;" "&amp;Z9&amp;" Should be equal to  Total TX_RTT"&amp;CHAR(10),""),IF(AA21&lt;&gt;SUM(AA16,AA17,AA18)," * Total TX_RTT Done for CD_4 "&amp;Z8&amp;" "&amp;AA9&amp;" Should be equal to  Total TX_RTT"&amp;CHAR(10),""))</f>
        <v/>
      </c>
      <c r="AL21" s="295"/>
      <c r="AM21" s="53"/>
      <c r="AN21" s="373"/>
      <c r="AO21" s="33"/>
      <c r="AP21" s="34"/>
    </row>
    <row r="22" spans="1:42" s="122" customFormat="1" ht="38.25" customHeight="1">
      <c r="A22" s="307"/>
      <c r="B22" s="132" t="s">
        <v>183</v>
      </c>
      <c r="C22" s="231" t="s">
        <v>187</v>
      </c>
      <c r="D22" s="246"/>
      <c r="E22" s="247"/>
      <c r="F22" s="247"/>
      <c r="G22" s="247"/>
      <c r="H22" s="134"/>
      <c r="I22" s="134"/>
      <c r="J22" s="134"/>
      <c r="K22" s="134"/>
      <c r="L22" s="134"/>
      <c r="M22" s="134"/>
      <c r="N22" s="134"/>
      <c r="O22" s="134"/>
      <c r="P22" s="134"/>
      <c r="Q22" s="134"/>
      <c r="R22" s="134"/>
      <c r="S22" s="134"/>
      <c r="T22" s="134"/>
      <c r="U22" s="134"/>
      <c r="V22" s="134"/>
      <c r="W22" s="134"/>
      <c r="X22" s="134"/>
      <c r="Y22" s="135"/>
      <c r="Z22" s="136">
        <f>SUM(AB22,AD22,AF22,AH22)</f>
        <v>0</v>
      </c>
      <c r="AA22" s="137">
        <f t="shared" ref="AA22" si="6">SUM(AC22,AE22,AG22,AI22)</f>
        <v>0</v>
      </c>
      <c r="AB22" s="138"/>
      <c r="AC22" s="134"/>
      <c r="AD22" s="134"/>
      <c r="AE22" s="134"/>
      <c r="AF22" s="134"/>
      <c r="AG22" s="134"/>
      <c r="AH22" s="134"/>
      <c r="AI22" s="134"/>
      <c r="AJ22" s="245">
        <f>SUM(D22:AA22)</f>
        <v>0</v>
      </c>
      <c r="AK22" s="40"/>
      <c r="AL22" s="295"/>
      <c r="AM22" s="53"/>
      <c r="AN22" s="373"/>
      <c r="AO22" s="33"/>
      <c r="AP22" s="34"/>
    </row>
    <row r="23" spans="1:42" s="122" customFormat="1" ht="38.25" customHeight="1">
      <c r="A23" s="307"/>
      <c r="B23" s="132" t="s">
        <v>184</v>
      </c>
      <c r="C23" s="233" t="s">
        <v>188</v>
      </c>
      <c r="D23" s="248"/>
      <c r="E23" s="249"/>
      <c r="F23" s="249"/>
      <c r="G23" s="249"/>
      <c r="H23" s="154"/>
      <c r="I23" s="154"/>
      <c r="J23" s="154"/>
      <c r="K23" s="154"/>
      <c r="L23" s="154"/>
      <c r="M23" s="154"/>
      <c r="N23" s="154"/>
      <c r="O23" s="154"/>
      <c r="P23" s="154"/>
      <c r="Q23" s="154"/>
      <c r="R23" s="154"/>
      <c r="S23" s="154"/>
      <c r="T23" s="154"/>
      <c r="U23" s="154"/>
      <c r="V23" s="154"/>
      <c r="W23" s="154"/>
      <c r="X23" s="154"/>
      <c r="Y23" s="155"/>
      <c r="Z23" s="136">
        <f t="shared" ref="Z23:Z24" si="7">SUM(AB23,AD23,AF23,AH23)</f>
        <v>0</v>
      </c>
      <c r="AA23" s="137">
        <f>SUM(AC23,AE23,AG23,AI23)</f>
        <v>0</v>
      </c>
      <c r="AB23" s="153"/>
      <c r="AC23" s="154"/>
      <c r="AD23" s="154"/>
      <c r="AE23" s="154"/>
      <c r="AF23" s="154"/>
      <c r="AG23" s="154"/>
      <c r="AH23" s="154"/>
      <c r="AI23" s="154"/>
      <c r="AJ23" s="140">
        <f t="shared" si="4"/>
        <v>0</v>
      </c>
      <c r="AK23" s="40"/>
      <c r="AL23" s="295"/>
      <c r="AM23" s="53"/>
      <c r="AN23" s="373"/>
      <c r="AO23" s="33"/>
      <c r="AP23" s="34"/>
    </row>
    <row r="24" spans="1:42" s="122" customFormat="1" ht="38.25" customHeight="1">
      <c r="A24" s="307"/>
      <c r="B24" s="132" t="s">
        <v>185</v>
      </c>
      <c r="C24" s="233" t="s">
        <v>189</v>
      </c>
      <c r="D24" s="153"/>
      <c r="E24" s="154"/>
      <c r="F24" s="154"/>
      <c r="G24" s="154"/>
      <c r="H24" s="154"/>
      <c r="I24" s="154"/>
      <c r="J24" s="154"/>
      <c r="K24" s="154"/>
      <c r="L24" s="154"/>
      <c r="M24" s="154"/>
      <c r="N24" s="154"/>
      <c r="O24" s="154"/>
      <c r="P24" s="154"/>
      <c r="Q24" s="154"/>
      <c r="R24" s="154"/>
      <c r="S24" s="154"/>
      <c r="T24" s="154"/>
      <c r="U24" s="154"/>
      <c r="V24" s="154"/>
      <c r="W24" s="154"/>
      <c r="X24" s="154"/>
      <c r="Y24" s="155"/>
      <c r="Z24" s="136">
        <f t="shared" si="7"/>
        <v>0</v>
      </c>
      <c r="AA24" s="137">
        <f t="shared" ref="AA24" si="8">SUM(AC24,AE24,AG24,AI24)</f>
        <v>0</v>
      </c>
      <c r="AB24" s="153"/>
      <c r="AC24" s="154"/>
      <c r="AD24" s="154"/>
      <c r="AE24" s="154"/>
      <c r="AF24" s="154"/>
      <c r="AG24" s="154"/>
      <c r="AH24" s="154"/>
      <c r="AI24" s="154"/>
      <c r="AJ24" s="140">
        <f t="shared" si="4"/>
        <v>0</v>
      </c>
      <c r="AK24" s="37"/>
      <c r="AL24" s="295"/>
      <c r="AM24" s="38"/>
      <c r="AN24" s="373"/>
      <c r="AO24" s="51"/>
      <c r="AP24" s="34"/>
    </row>
    <row r="25" spans="1:42" s="229" customFormat="1" ht="38.25" customHeight="1" thickBot="1">
      <c r="A25" s="308"/>
      <c r="B25" s="243" t="s">
        <v>191</v>
      </c>
      <c r="C25" s="233" t="s">
        <v>192</v>
      </c>
      <c r="D25" s="153"/>
      <c r="E25" s="154"/>
      <c r="F25" s="154"/>
      <c r="G25" s="154"/>
      <c r="H25" s="154"/>
      <c r="I25" s="154"/>
      <c r="J25" s="154"/>
      <c r="K25" s="154"/>
      <c r="L25" s="154"/>
      <c r="M25" s="154"/>
      <c r="N25" s="154"/>
      <c r="O25" s="154"/>
      <c r="P25" s="154"/>
      <c r="Q25" s="154"/>
      <c r="R25" s="154"/>
      <c r="S25" s="154"/>
      <c r="T25" s="154"/>
      <c r="U25" s="154"/>
      <c r="V25" s="154"/>
      <c r="W25" s="154"/>
      <c r="X25" s="154"/>
      <c r="Y25" s="155"/>
      <c r="Z25" s="136">
        <f t="shared" ref="Z25" si="9">SUM(AB25,AD25,AF25,AH25)</f>
        <v>0</v>
      </c>
      <c r="AA25" s="137">
        <f t="shared" ref="AA25" si="10">SUM(AC25,AE25,AG25,AI25)</f>
        <v>0</v>
      </c>
      <c r="AB25" s="153"/>
      <c r="AC25" s="154"/>
      <c r="AD25" s="154"/>
      <c r="AE25" s="154"/>
      <c r="AF25" s="154"/>
      <c r="AG25" s="154"/>
      <c r="AH25" s="154"/>
      <c r="AI25" s="154"/>
      <c r="AJ25" s="245">
        <f>SUM(D25:AA25)</f>
        <v>0</v>
      </c>
      <c r="AK25" s="37"/>
      <c r="AL25" s="295"/>
      <c r="AM25" s="38"/>
      <c r="AN25" s="373"/>
      <c r="AO25" s="51"/>
      <c r="AP25" s="34"/>
    </row>
    <row r="26" spans="1:42" ht="33.4" customHeight="1" thickBot="1">
      <c r="A26" s="300" t="s">
        <v>175</v>
      </c>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2"/>
      <c r="AA26" s="302"/>
      <c r="AB26" s="302"/>
      <c r="AC26" s="302"/>
      <c r="AD26" s="302"/>
      <c r="AE26" s="302"/>
      <c r="AF26" s="302"/>
      <c r="AG26" s="302"/>
      <c r="AH26" s="302"/>
      <c r="AI26" s="302"/>
      <c r="AJ26" s="302"/>
      <c r="AK26" s="60"/>
      <c r="AL26" s="295"/>
      <c r="AM26" s="60"/>
      <c r="AN26" s="373"/>
      <c r="AO26" s="33"/>
      <c r="AP26" s="34"/>
    </row>
    <row r="27" spans="1:42" ht="41.25" customHeight="1">
      <c r="A27" s="297" t="s">
        <v>172</v>
      </c>
      <c r="B27" s="115" t="s">
        <v>108</v>
      </c>
      <c r="C27" s="234" t="s">
        <v>148</v>
      </c>
      <c r="D27" s="172"/>
      <c r="E27" s="173"/>
      <c r="F27" s="173"/>
      <c r="G27" s="173"/>
      <c r="H27" s="173"/>
      <c r="I27" s="173"/>
      <c r="J27" s="173"/>
      <c r="K27" s="173"/>
      <c r="L27" s="173"/>
      <c r="M27" s="173"/>
      <c r="N27" s="173"/>
      <c r="O27" s="173"/>
      <c r="P27" s="173"/>
      <c r="Q27" s="173"/>
      <c r="R27" s="173"/>
      <c r="S27" s="173"/>
      <c r="T27" s="173"/>
      <c r="U27" s="173"/>
      <c r="V27" s="173"/>
      <c r="W27" s="173"/>
      <c r="X27" s="173"/>
      <c r="Y27" s="174"/>
      <c r="Z27" s="127">
        <f t="shared" ref="Z27" si="11">SUM(AB27,AD27,AF27,AH27)</f>
        <v>0</v>
      </c>
      <c r="AA27" s="128">
        <f t="shared" ref="AA27" si="12">SUM(AC27,AE27,AG27,AI27)</f>
        <v>0</v>
      </c>
      <c r="AB27" s="172"/>
      <c r="AC27" s="173"/>
      <c r="AD27" s="173"/>
      <c r="AE27" s="173"/>
      <c r="AF27" s="173"/>
      <c r="AG27" s="173"/>
      <c r="AH27" s="173"/>
      <c r="AI27" s="174"/>
      <c r="AJ27" s="131">
        <f>SUM(D27:AA27)</f>
        <v>0</v>
      </c>
      <c r="AK27" s="31"/>
      <c r="AL27" s="295"/>
      <c r="AM27" s="32"/>
      <c r="AN27" s="373"/>
      <c r="AO27" s="33"/>
      <c r="AP27" s="34"/>
    </row>
    <row r="28" spans="1:42" s="36" customFormat="1" ht="41.25" customHeight="1">
      <c r="A28" s="298"/>
      <c r="B28" s="116" t="s">
        <v>158</v>
      </c>
      <c r="C28" s="235" t="s">
        <v>149</v>
      </c>
      <c r="D28" s="175"/>
      <c r="E28" s="176"/>
      <c r="F28" s="176"/>
      <c r="G28" s="176"/>
      <c r="H28" s="176"/>
      <c r="I28" s="176"/>
      <c r="J28" s="176"/>
      <c r="K28" s="176"/>
      <c r="L28" s="176"/>
      <c r="M28" s="176"/>
      <c r="N28" s="176"/>
      <c r="O28" s="176"/>
      <c r="P28" s="176"/>
      <c r="Q28" s="176"/>
      <c r="R28" s="176"/>
      <c r="S28" s="176"/>
      <c r="T28" s="176"/>
      <c r="U28" s="176"/>
      <c r="V28" s="176"/>
      <c r="W28" s="176"/>
      <c r="X28" s="176"/>
      <c r="Y28" s="177"/>
      <c r="Z28" s="136">
        <f t="shared" ref="Z28:Z33" si="13">SUM(AB28,AD28,AF28,AH28)</f>
        <v>0</v>
      </c>
      <c r="AA28" s="137">
        <f t="shared" ref="AA28:AA33" si="14">SUM(AC28,AE28,AG28,AI28)</f>
        <v>0</v>
      </c>
      <c r="AB28" s="175"/>
      <c r="AC28" s="176"/>
      <c r="AD28" s="176"/>
      <c r="AE28" s="176"/>
      <c r="AF28" s="176"/>
      <c r="AG28" s="176"/>
      <c r="AH28" s="176"/>
      <c r="AI28" s="177"/>
      <c r="AJ28" s="140">
        <f>SUM(D28:AA28)</f>
        <v>0</v>
      </c>
      <c r="AK28" s="31"/>
      <c r="AL28" s="295"/>
      <c r="AM28" s="32"/>
      <c r="AN28" s="373"/>
      <c r="AO28" s="33"/>
      <c r="AP28" s="34"/>
    </row>
    <row r="29" spans="1:42" s="36" customFormat="1" ht="41.25" customHeight="1">
      <c r="A29" s="298"/>
      <c r="B29" s="116" t="s">
        <v>159</v>
      </c>
      <c r="C29" s="235" t="s">
        <v>150</v>
      </c>
      <c r="D29" s="178">
        <f t="shared" ref="D29:Y29" si="15">SUM(D10:D15)</f>
        <v>0</v>
      </c>
      <c r="E29" s="179">
        <f t="shared" si="15"/>
        <v>0</v>
      </c>
      <c r="F29" s="179">
        <f t="shared" si="15"/>
        <v>0</v>
      </c>
      <c r="G29" s="179">
        <f t="shared" si="15"/>
        <v>0</v>
      </c>
      <c r="H29" s="179">
        <f t="shared" si="15"/>
        <v>0</v>
      </c>
      <c r="I29" s="179">
        <f t="shared" si="15"/>
        <v>0</v>
      </c>
      <c r="J29" s="179">
        <f t="shared" si="15"/>
        <v>0</v>
      </c>
      <c r="K29" s="179">
        <f t="shared" si="15"/>
        <v>0</v>
      </c>
      <c r="L29" s="179">
        <f t="shared" si="15"/>
        <v>0</v>
      </c>
      <c r="M29" s="179">
        <f t="shared" si="15"/>
        <v>0</v>
      </c>
      <c r="N29" s="179">
        <f t="shared" si="15"/>
        <v>0</v>
      </c>
      <c r="O29" s="179">
        <f t="shared" si="15"/>
        <v>0</v>
      </c>
      <c r="P29" s="179">
        <f t="shared" si="15"/>
        <v>0</v>
      </c>
      <c r="Q29" s="179">
        <f t="shared" si="15"/>
        <v>0</v>
      </c>
      <c r="R29" s="179">
        <f t="shared" si="15"/>
        <v>0</v>
      </c>
      <c r="S29" s="179">
        <f t="shared" si="15"/>
        <v>0</v>
      </c>
      <c r="T29" s="179">
        <f t="shared" si="15"/>
        <v>0</v>
      </c>
      <c r="U29" s="179">
        <f t="shared" si="15"/>
        <v>0</v>
      </c>
      <c r="V29" s="179">
        <f t="shared" si="15"/>
        <v>0</v>
      </c>
      <c r="W29" s="179">
        <f t="shared" si="15"/>
        <v>0</v>
      </c>
      <c r="X29" s="179">
        <f t="shared" si="15"/>
        <v>0</v>
      </c>
      <c r="Y29" s="180">
        <f t="shared" si="15"/>
        <v>0</v>
      </c>
      <c r="Z29" s="136">
        <f t="shared" si="13"/>
        <v>0</v>
      </c>
      <c r="AA29" s="137">
        <f t="shared" si="14"/>
        <v>0</v>
      </c>
      <c r="AB29" s="178">
        <f t="shared" ref="AB29:AI29" si="16">SUM(AB10:AB15)</f>
        <v>0</v>
      </c>
      <c r="AC29" s="179">
        <f t="shared" si="16"/>
        <v>0</v>
      </c>
      <c r="AD29" s="179">
        <f t="shared" si="16"/>
        <v>0</v>
      </c>
      <c r="AE29" s="179">
        <f t="shared" si="16"/>
        <v>0</v>
      </c>
      <c r="AF29" s="179">
        <f t="shared" si="16"/>
        <v>0</v>
      </c>
      <c r="AG29" s="179">
        <f t="shared" si="16"/>
        <v>0</v>
      </c>
      <c r="AH29" s="179">
        <f t="shared" si="16"/>
        <v>0</v>
      </c>
      <c r="AI29" s="180">
        <f t="shared" si="16"/>
        <v>0</v>
      </c>
      <c r="AJ29" s="140">
        <f>SUM(D29:AA29)</f>
        <v>0</v>
      </c>
      <c r="AK29" s="31"/>
      <c r="AL29" s="295"/>
      <c r="AM29" s="32"/>
      <c r="AN29" s="373"/>
      <c r="AO29" s="33"/>
      <c r="AP29" s="34"/>
    </row>
    <row r="30" spans="1:42" s="36" customFormat="1" ht="41.25" customHeight="1">
      <c r="A30" s="298"/>
      <c r="B30" s="116" t="s">
        <v>173</v>
      </c>
      <c r="C30" s="235" t="s">
        <v>151</v>
      </c>
      <c r="D30" s="178">
        <f t="shared" ref="D30:Y30" si="17">D19</f>
        <v>0</v>
      </c>
      <c r="E30" s="179">
        <f t="shared" si="17"/>
        <v>0</v>
      </c>
      <c r="F30" s="179">
        <f t="shared" si="17"/>
        <v>0</v>
      </c>
      <c r="G30" s="179">
        <f t="shared" si="17"/>
        <v>0</v>
      </c>
      <c r="H30" s="179">
        <f t="shared" si="17"/>
        <v>0</v>
      </c>
      <c r="I30" s="179">
        <f t="shared" si="17"/>
        <v>0</v>
      </c>
      <c r="J30" s="179">
        <f t="shared" si="17"/>
        <v>0</v>
      </c>
      <c r="K30" s="179">
        <f t="shared" si="17"/>
        <v>0</v>
      </c>
      <c r="L30" s="179">
        <f t="shared" si="17"/>
        <v>0</v>
      </c>
      <c r="M30" s="179">
        <f t="shared" si="17"/>
        <v>0</v>
      </c>
      <c r="N30" s="179">
        <f t="shared" si="17"/>
        <v>0</v>
      </c>
      <c r="O30" s="179">
        <f t="shared" si="17"/>
        <v>0</v>
      </c>
      <c r="P30" s="179">
        <f t="shared" si="17"/>
        <v>0</v>
      </c>
      <c r="Q30" s="179">
        <f t="shared" si="17"/>
        <v>0</v>
      </c>
      <c r="R30" s="179">
        <f t="shared" si="17"/>
        <v>0</v>
      </c>
      <c r="S30" s="179">
        <f t="shared" si="17"/>
        <v>0</v>
      </c>
      <c r="T30" s="179">
        <f t="shared" si="17"/>
        <v>0</v>
      </c>
      <c r="U30" s="179">
        <f t="shared" si="17"/>
        <v>0</v>
      </c>
      <c r="V30" s="179">
        <f t="shared" si="17"/>
        <v>0</v>
      </c>
      <c r="W30" s="179">
        <f t="shared" si="17"/>
        <v>0</v>
      </c>
      <c r="X30" s="179">
        <f t="shared" si="17"/>
        <v>0</v>
      </c>
      <c r="Y30" s="180">
        <f t="shared" si="17"/>
        <v>0</v>
      </c>
      <c r="Z30" s="136">
        <f t="shared" si="13"/>
        <v>0</v>
      </c>
      <c r="AA30" s="137">
        <f t="shared" si="14"/>
        <v>0</v>
      </c>
      <c r="AB30" s="178">
        <f t="shared" ref="AB30:AI31" si="18">AB19</f>
        <v>0</v>
      </c>
      <c r="AC30" s="179">
        <f t="shared" si="18"/>
        <v>0</v>
      </c>
      <c r="AD30" s="179">
        <f t="shared" si="18"/>
        <v>0</v>
      </c>
      <c r="AE30" s="179">
        <f t="shared" si="18"/>
        <v>0</v>
      </c>
      <c r="AF30" s="179">
        <f t="shared" si="18"/>
        <v>0</v>
      </c>
      <c r="AG30" s="179">
        <f t="shared" si="18"/>
        <v>0</v>
      </c>
      <c r="AH30" s="179">
        <f t="shared" si="18"/>
        <v>0</v>
      </c>
      <c r="AI30" s="180">
        <f t="shared" si="18"/>
        <v>0</v>
      </c>
      <c r="AJ30" s="140">
        <f t="shared" ref="AJ30:AJ31" si="19">SUM(D30:AA30)</f>
        <v>0</v>
      </c>
      <c r="AK30" s="37"/>
      <c r="AL30" s="295"/>
      <c r="AM30" s="38"/>
      <c r="AN30" s="373"/>
      <c r="AO30" s="33"/>
      <c r="AP30" s="34"/>
    </row>
    <row r="31" spans="1:42" s="36" customFormat="1" ht="41.25" customHeight="1">
      <c r="A31" s="298"/>
      <c r="B31" s="116" t="s">
        <v>171</v>
      </c>
      <c r="C31" s="235" t="s">
        <v>152</v>
      </c>
      <c r="D31" s="178">
        <f t="shared" ref="D31:Y31" si="20">D20</f>
        <v>0</v>
      </c>
      <c r="E31" s="179">
        <f t="shared" si="20"/>
        <v>0</v>
      </c>
      <c r="F31" s="179">
        <f t="shared" si="20"/>
        <v>0</v>
      </c>
      <c r="G31" s="179">
        <f t="shared" si="20"/>
        <v>0</v>
      </c>
      <c r="H31" s="179">
        <f t="shared" si="20"/>
        <v>0</v>
      </c>
      <c r="I31" s="179">
        <f t="shared" si="20"/>
        <v>0</v>
      </c>
      <c r="J31" s="179">
        <f t="shared" si="20"/>
        <v>0</v>
      </c>
      <c r="K31" s="179">
        <f t="shared" si="20"/>
        <v>0</v>
      </c>
      <c r="L31" s="179">
        <f t="shared" si="20"/>
        <v>0</v>
      </c>
      <c r="M31" s="179">
        <f t="shared" si="20"/>
        <v>0</v>
      </c>
      <c r="N31" s="179">
        <f t="shared" si="20"/>
        <v>0</v>
      </c>
      <c r="O31" s="179">
        <f t="shared" si="20"/>
        <v>0</v>
      </c>
      <c r="P31" s="179">
        <f t="shared" si="20"/>
        <v>0</v>
      </c>
      <c r="Q31" s="179">
        <f t="shared" si="20"/>
        <v>0</v>
      </c>
      <c r="R31" s="179">
        <f t="shared" si="20"/>
        <v>0</v>
      </c>
      <c r="S31" s="179">
        <f t="shared" si="20"/>
        <v>0</v>
      </c>
      <c r="T31" s="179">
        <f t="shared" si="20"/>
        <v>0</v>
      </c>
      <c r="U31" s="179">
        <f t="shared" si="20"/>
        <v>0</v>
      </c>
      <c r="V31" s="179">
        <f t="shared" si="20"/>
        <v>0</v>
      </c>
      <c r="W31" s="179">
        <f t="shared" si="20"/>
        <v>0</v>
      </c>
      <c r="X31" s="179">
        <f t="shared" si="20"/>
        <v>0</v>
      </c>
      <c r="Y31" s="180">
        <f t="shared" si="20"/>
        <v>0</v>
      </c>
      <c r="Z31" s="136">
        <f t="shared" si="13"/>
        <v>0</v>
      </c>
      <c r="AA31" s="137">
        <f t="shared" si="14"/>
        <v>0</v>
      </c>
      <c r="AB31" s="178">
        <f t="shared" si="18"/>
        <v>0</v>
      </c>
      <c r="AC31" s="179">
        <f t="shared" si="18"/>
        <v>0</v>
      </c>
      <c r="AD31" s="179">
        <f t="shared" si="18"/>
        <v>0</v>
      </c>
      <c r="AE31" s="179">
        <f t="shared" si="18"/>
        <v>0</v>
      </c>
      <c r="AF31" s="179">
        <f t="shared" si="18"/>
        <v>0</v>
      </c>
      <c r="AG31" s="179">
        <f t="shared" si="18"/>
        <v>0</v>
      </c>
      <c r="AH31" s="179">
        <f t="shared" si="18"/>
        <v>0</v>
      </c>
      <c r="AI31" s="180">
        <f t="shared" si="18"/>
        <v>0</v>
      </c>
      <c r="AJ31" s="140">
        <f t="shared" si="19"/>
        <v>0</v>
      </c>
      <c r="AK31" s="37"/>
      <c r="AL31" s="295"/>
      <c r="AM31" s="38"/>
      <c r="AN31" s="373"/>
      <c r="AO31" s="33"/>
      <c r="AP31" s="34"/>
    </row>
    <row r="32" spans="1:42" ht="41.25" customHeight="1">
      <c r="A32" s="298"/>
      <c r="B32" s="116" t="s">
        <v>146</v>
      </c>
      <c r="C32" s="235" t="s">
        <v>153</v>
      </c>
      <c r="D32" s="181">
        <f>SUM(D27,D28,D29,D30,D31)</f>
        <v>0</v>
      </c>
      <c r="E32" s="182">
        <f t="shared" ref="E32:Y32" si="21">SUM(E27,E28,E29,E30,E31)</f>
        <v>0</v>
      </c>
      <c r="F32" s="182">
        <f t="shared" si="21"/>
        <v>0</v>
      </c>
      <c r="G32" s="182">
        <f t="shared" si="21"/>
        <v>0</v>
      </c>
      <c r="H32" s="182">
        <f t="shared" si="21"/>
        <v>0</v>
      </c>
      <c r="I32" s="182">
        <f t="shared" si="21"/>
        <v>0</v>
      </c>
      <c r="J32" s="182">
        <f t="shared" si="21"/>
        <v>0</v>
      </c>
      <c r="K32" s="182">
        <f t="shared" si="21"/>
        <v>0</v>
      </c>
      <c r="L32" s="182">
        <f t="shared" si="21"/>
        <v>0</v>
      </c>
      <c r="M32" s="182">
        <f t="shared" si="21"/>
        <v>0</v>
      </c>
      <c r="N32" s="182">
        <f t="shared" si="21"/>
        <v>0</v>
      </c>
      <c r="O32" s="182">
        <f t="shared" si="21"/>
        <v>0</v>
      </c>
      <c r="P32" s="182">
        <f t="shared" si="21"/>
        <v>0</v>
      </c>
      <c r="Q32" s="182">
        <f t="shared" si="21"/>
        <v>0</v>
      </c>
      <c r="R32" s="182">
        <f t="shared" si="21"/>
        <v>0</v>
      </c>
      <c r="S32" s="182">
        <f t="shared" si="21"/>
        <v>0</v>
      </c>
      <c r="T32" s="182">
        <f t="shared" si="21"/>
        <v>0</v>
      </c>
      <c r="U32" s="182">
        <f t="shared" si="21"/>
        <v>0</v>
      </c>
      <c r="V32" s="182">
        <f t="shared" si="21"/>
        <v>0</v>
      </c>
      <c r="W32" s="182">
        <f t="shared" si="21"/>
        <v>0</v>
      </c>
      <c r="X32" s="182">
        <f t="shared" si="21"/>
        <v>0</v>
      </c>
      <c r="Y32" s="183">
        <f t="shared" si="21"/>
        <v>0</v>
      </c>
      <c r="Z32" s="136">
        <f t="shared" si="13"/>
        <v>0</v>
      </c>
      <c r="AA32" s="137">
        <f t="shared" si="14"/>
        <v>0</v>
      </c>
      <c r="AB32" s="181">
        <f t="shared" ref="AB32:AI32" si="22">SUM(AB27,AB28,AB29,AB30,AB31)</f>
        <v>0</v>
      </c>
      <c r="AC32" s="182">
        <f t="shared" si="22"/>
        <v>0</v>
      </c>
      <c r="AD32" s="182">
        <f t="shared" si="22"/>
        <v>0</v>
      </c>
      <c r="AE32" s="182">
        <f t="shared" si="22"/>
        <v>0</v>
      </c>
      <c r="AF32" s="182">
        <f t="shared" si="22"/>
        <v>0</v>
      </c>
      <c r="AG32" s="182">
        <f t="shared" si="22"/>
        <v>0</v>
      </c>
      <c r="AH32" s="182">
        <f t="shared" si="22"/>
        <v>0</v>
      </c>
      <c r="AI32" s="183">
        <f t="shared" si="22"/>
        <v>0</v>
      </c>
      <c r="AJ32" s="140">
        <f>SUM(D32:AA32)</f>
        <v>0</v>
      </c>
      <c r="AK32" s="37" t="str">
        <f>CONCATENATE(IF(AJ34&gt;0,IF(AJ34&lt;&gt;AJ42,CONCATENATE("Accounted Patients Under LTFU [",AJ42,"] is not equal to expected patients to account for [",AJ34,"] "),""),""))</f>
        <v/>
      </c>
      <c r="AL32" s="295"/>
      <c r="AM32" s="38" t="str">
        <f>CONCATENATE(IF(SUM(AJ10:AJ15)&gt;AJ34,IF(AJ34&lt;0,CONCATENATE("You seem to have acounted for more patients under LTFU returning to Care [",SUM(AJ10:AJ15),"] than what you should account for [",AJ34,"] "),""),""))</f>
        <v/>
      </c>
      <c r="AN32" s="373"/>
      <c r="AO32" s="33"/>
      <c r="AP32" s="34"/>
    </row>
    <row r="33" spans="1:42" ht="41.25" customHeight="1" thickBot="1">
      <c r="A33" s="298"/>
      <c r="B33" s="117" t="s">
        <v>157</v>
      </c>
      <c r="C33" s="236" t="s">
        <v>154</v>
      </c>
      <c r="D33" s="184"/>
      <c r="E33" s="185"/>
      <c r="F33" s="185"/>
      <c r="G33" s="185"/>
      <c r="H33" s="185"/>
      <c r="I33" s="185"/>
      <c r="J33" s="185"/>
      <c r="K33" s="185"/>
      <c r="L33" s="185"/>
      <c r="M33" s="185"/>
      <c r="N33" s="185"/>
      <c r="O33" s="185"/>
      <c r="P33" s="185"/>
      <c r="Q33" s="185"/>
      <c r="R33" s="185"/>
      <c r="S33" s="185"/>
      <c r="T33" s="185"/>
      <c r="U33" s="185"/>
      <c r="V33" s="185"/>
      <c r="W33" s="185"/>
      <c r="X33" s="185"/>
      <c r="Y33" s="186"/>
      <c r="Z33" s="145">
        <f t="shared" si="13"/>
        <v>0</v>
      </c>
      <c r="AA33" s="146">
        <f t="shared" si="14"/>
        <v>0</v>
      </c>
      <c r="AB33" s="184"/>
      <c r="AC33" s="185"/>
      <c r="AD33" s="185"/>
      <c r="AE33" s="185"/>
      <c r="AF33" s="185"/>
      <c r="AG33" s="185"/>
      <c r="AH33" s="185"/>
      <c r="AI33" s="186"/>
      <c r="AJ33" s="171">
        <f t="shared" ref="AJ33" si="23">SUM(D33:AA33)</f>
        <v>0</v>
      </c>
      <c r="AK33" s="31"/>
      <c r="AL33" s="295"/>
      <c r="AM33" s="32"/>
      <c r="AN33" s="373"/>
      <c r="AO33" s="33"/>
      <c r="AP33" s="34"/>
    </row>
    <row r="34" spans="1:42" ht="41.25" customHeight="1" thickBot="1">
      <c r="A34" s="299"/>
      <c r="B34" s="118" t="s">
        <v>147</v>
      </c>
      <c r="C34" s="237" t="s">
        <v>155</v>
      </c>
      <c r="D34" s="187">
        <f t="shared" ref="D34:AI34" si="24">D32-D33</f>
        <v>0</v>
      </c>
      <c r="E34" s="187">
        <f t="shared" si="24"/>
        <v>0</v>
      </c>
      <c r="F34" s="187">
        <f t="shared" si="24"/>
        <v>0</v>
      </c>
      <c r="G34" s="187">
        <f t="shared" si="24"/>
        <v>0</v>
      </c>
      <c r="H34" s="187">
        <f t="shared" si="24"/>
        <v>0</v>
      </c>
      <c r="I34" s="187">
        <f t="shared" si="24"/>
        <v>0</v>
      </c>
      <c r="J34" s="187">
        <f t="shared" si="24"/>
        <v>0</v>
      </c>
      <c r="K34" s="187">
        <f t="shared" si="24"/>
        <v>0</v>
      </c>
      <c r="L34" s="187">
        <f t="shared" si="24"/>
        <v>0</v>
      </c>
      <c r="M34" s="187">
        <f t="shared" si="24"/>
        <v>0</v>
      </c>
      <c r="N34" s="187">
        <f t="shared" si="24"/>
        <v>0</v>
      </c>
      <c r="O34" s="187">
        <f t="shared" si="24"/>
        <v>0</v>
      </c>
      <c r="P34" s="187">
        <f t="shared" si="24"/>
        <v>0</v>
      </c>
      <c r="Q34" s="187">
        <f t="shared" si="24"/>
        <v>0</v>
      </c>
      <c r="R34" s="187">
        <f t="shared" si="24"/>
        <v>0</v>
      </c>
      <c r="S34" s="187">
        <f t="shared" si="24"/>
        <v>0</v>
      </c>
      <c r="T34" s="187">
        <f t="shared" si="24"/>
        <v>0</v>
      </c>
      <c r="U34" s="187">
        <f t="shared" si="24"/>
        <v>0</v>
      </c>
      <c r="V34" s="187">
        <f t="shared" si="24"/>
        <v>0</v>
      </c>
      <c r="W34" s="187">
        <f t="shared" si="24"/>
        <v>0</v>
      </c>
      <c r="X34" s="187">
        <f t="shared" si="24"/>
        <v>0</v>
      </c>
      <c r="Y34" s="188">
        <f t="shared" si="24"/>
        <v>0</v>
      </c>
      <c r="Z34" s="162">
        <f t="shared" ref="Z34" si="25">SUM(AB34,AD34,AF34,AH34)</f>
        <v>0</v>
      </c>
      <c r="AA34" s="163">
        <f t="shared" ref="AA34" si="26">SUM(AC34,AE34,AG34,AI34)</f>
        <v>0</v>
      </c>
      <c r="AB34" s="187">
        <f t="shared" si="24"/>
        <v>0</v>
      </c>
      <c r="AC34" s="187">
        <f t="shared" si="24"/>
        <v>0</v>
      </c>
      <c r="AD34" s="187">
        <f t="shared" si="24"/>
        <v>0</v>
      </c>
      <c r="AE34" s="187">
        <f t="shared" si="24"/>
        <v>0</v>
      </c>
      <c r="AF34" s="187">
        <f t="shared" si="24"/>
        <v>0</v>
      </c>
      <c r="AG34" s="187">
        <f t="shared" si="24"/>
        <v>0</v>
      </c>
      <c r="AH34" s="187">
        <f t="shared" si="24"/>
        <v>0</v>
      </c>
      <c r="AI34" s="187">
        <f t="shared" si="24"/>
        <v>0</v>
      </c>
      <c r="AJ34" s="189">
        <f>SUM(D34:AA34)</f>
        <v>0</v>
      </c>
      <c r="AK34" s="37"/>
      <c r="AL34" s="295"/>
      <c r="AM34" s="38" t="str">
        <f>CONCATENATE(IF(SUM(AJ10:AJ15)&gt;AJ34,IF(AJ34&gt;0,"You seem to have Gains that have not been accounted for under LTFU returning to Care",""),""))</f>
        <v/>
      </c>
      <c r="AN34" s="373"/>
      <c r="AO34" s="33"/>
      <c r="AP34" s="34"/>
    </row>
    <row r="35" spans="1:42" s="47" customFormat="1" ht="31.15" customHeight="1" thickBot="1">
      <c r="A35" s="289" t="s">
        <v>176</v>
      </c>
      <c r="B35" s="290"/>
      <c r="C35" s="290"/>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2"/>
      <c r="AC35" s="292"/>
      <c r="AD35" s="292"/>
      <c r="AE35" s="292"/>
      <c r="AF35" s="292"/>
      <c r="AG35" s="292"/>
      <c r="AH35" s="292"/>
      <c r="AI35" s="292"/>
      <c r="AJ35" s="293"/>
      <c r="AK35" s="40"/>
      <c r="AL35" s="295"/>
      <c r="AM35" s="53"/>
      <c r="AN35" s="373"/>
      <c r="AO35" s="58"/>
      <c r="AP35" s="59"/>
    </row>
    <row r="36" spans="1:42" ht="33.950000000000003" customHeight="1">
      <c r="A36" s="303" t="s">
        <v>113</v>
      </c>
      <c r="B36" s="54" t="s">
        <v>95</v>
      </c>
      <c r="C36" s="238" t="s">
        <v>33</v>
      </c>
      <c r="D36" s="190"/>
      <c r="E36" s="191"/>
      <c r="F36" s="191"/>
      <c r="G36" s="191"/>
      <c r="H36" s="191"/>
      <c r="I36" s="191"/>
      <c r="J36" s="191"/>
      <c r="K36" s="191"/>
      <c r="L36" s="191"/>
      <c r="M36" s="191"/>
      <c r="N36" s="191"/>
      <c r="O36" s="191"/>
      <c r="P36" s="191"/>
      <c r="Q36" s="191"/>
      <c r="R36" s="191"/>
      <c r="S36" s="191"/>
      <c r="T36" s="191"/>
      <c r="U36" s="191"/>
      <c r="V36" s="191"/>
      <c r="W36" s="191"/>
      <c r="X36" s="191"/>
      <c r="Y36" s="192"/>
      <c r="Z36" s="127">
        <f t="shared" ref="Z36:Z41" si="27">SUM(AB36,AD36,AF36,AH36)</f>
        <v>0</v>
      </c>
      <c r="AA36" s="128">
        <f t="shared" ref="AA36:AA41" si="28">SUM(AC36,AE36,AG36,AI36)</f>
        <v>0</v>
      </c>
      <c r="AB36" s="193"/>
      <c r="AC36" s="192"/>
      <c r="AD36" s="191"/>
      <c r="AE36" s="192"/>
      <c r="AF36" s="191"/>
      <c r="AG36" s="192"/>
      <c r="AH36" s="191"/>
      <c r="AI36" s="194"/>
      <c r="AJ36" s="195">
        <f t="shared" si="0"/>
        <v>0</v>
      </c>
      <c r="AK36" s="31" t="str">
        <f>CONCATENATE(IF(D36&lt;SUM(D43,D44,D45,D46,D47,D48,D49)," * Total Died  for Age "&amp;D8&amp;" "&amp;D9&amp;" is less than sum of Total Causes of Death F08-05 to F08-11"&amp;CHAR(10),""),IF(E36&lt;SUM(E43,E44,E45,E46,E47,E48,E49)," * Total Died  for Age "&amp;D8&amp;" "&amp;E9&amp;" is less than sum of Total Causes of Death F08-05 to F08-11"&amp;CHAR(10),""),IF(F36&lt;SUM(F43,F44,F45,F46,F47,F48,F49)," * Total Died  for Age "&amp;F8&amp;" "&amp;F9&amp;" is less than sum of Total Causes of Death F08-05 to F08-11"&amp;CHAR(10),""),IF(G36&lt;SUM(G43,G44,G45,G46,G47,G48,G49)," * Total Died  for Age "&amp;F8&amp;" "&amp;G9&amp;" is less than sum of Total Causes of Death F08-05 to F08-11"&amp;CHAR(10),""),IF(H36&lt;SUM(H43,H44,H45,H46,H47,H48,H49)," * Total Died  for Age "&amp;H8&amp;" "&amp;H9&amp;" is less than sum of Total Causes of Death F08-05 to F08-11"&amp;CHAR(10),""),IF(I36&lt;SUM(I43,I44,I45,I46,I47,I48,I49)," * Total Died  for Age "&amp;H8&amp;" "&amp;I9&amp;" is less than sum of Total Causes of Death F08-05 to F08-11"&amp;CHAR(10),""),IF(J36&lt;SUM(J43,J44,J45,J46,J47,J48,J49)," * Total Died  for Age "&amp;J8&amp;" "&amp;J9&amp;" is less than sum of Total Causes of Death F08-05 to F08-11"&amp;CHAR(10),""),IF(K36&lt;SUM(K43,K44,K45,K46,K47,K48,K49)," * Total Died  for Age "&amp;J8&amp;" "&amp;K9&amp;" is less than sum of Total Causes of Death F08-05 to F08-11"&amp;CHAR(10),""),IF(L36&lt;SUM(L43,L44,L45,L46,L47,L48,L49)," * Total Died  for Age "&amp;L8&amp;" "&amp;L9&amp;" is less than sum of Total Causes of Death F08-05 to F08-11"&amp;CHAR(10),""),IF(M36&lt;SUM(M43,M44,M45,M46,M47,M48,M49)," * Total Died  for Age "&amp;L8&amp;" "&amp;M9&amp;" is less than sum of Total Causes of Death F08-05 to F08-11"&amp;CHAR(10),""),IF(N36&lt;SUM(N43,N44,N45,N46,N47,N48,N49)," * Total Died  for Age "&amp;N8&amp;" "&amp;N9&amp;" is less than sum of Total Causes of Death F08-05 to F08-11"&amp;CHAR(10),""),IF(O36&lt;SUM(O43,O44,O45,O46,O47,O48,O49)," * Total Died  for Age "&amp;N8&amp;" "&amp;O9&amp;" is less than sum of Total Causes of Death F08-05 to F08-11"&amp;CHAR(10),""),IF(P36&lt;SUM(P43,P44,P45,P46,P47,P48,P49)," * Total Died  for Age "&amp;P8&amp;" "&amp;P9&amp;" is less than sum of Total Causes of Death F08-05 to F08-11"&amp;CHAR(10),""),IF(Q36&lt;SUM(Q43,Q44,Q45,Q46,Q47,Q48,Q49)," * Total Died  for Age "&amp;P8&amp;" "&amp;Q9&amp;" is less than sum of Total Causes of Death F08-05 to F08-11"&amp;CHAR(10),""),IF(R36&lt;SUM(R43,R44,R45,R46,R47,R48,R49)," * Total Died  for Age "&amp;R8&amp;" "&amp;R9&amp;" is less than sum of Total Causes of Death F08-05 to F08-11"&amp;CHAR(10),""),IF(S36&lt;SUM(S43,S44,S45,S46,S47,S48,S49)," * Total Died  for Age "&amp;R8&amp;" "&amp;S9&amp;" is less than sum of Total Causes of Death F08-05 to F08-11"&amp;CHAR(10),""),IF(T36&lt;SUM(T43,T44,T45,T46,T47,T48,T49)," * Total Died  for Age "&amp;T8&amp;" "&amp;T9&amp;" is less than sum of Total Causes of Death F08-05 to F08-11"&amp;CHAR(10),""),IF(U36&lt;SUM(U43,U44,U45,U46,U47,U48,U49)," * Total Died  for Age "&amp;T8&amp;" "&amp;U9&amp;" is less than sum of Total Causes of Death F08-05 to F08-11"&amp;CHAR(10),""),IF(V36&lt;SUM(V43,V44,V45,V46,V47,V48,V49)," * Total Died  for Age "&amp;V8&amp;" "&amp;V9&amp;" is less than sum of Total Causes of Death F08-05 to F08-11"&amp;CHAR(10),""),IF(W36&lt;SUM(W43,W44,W45,W46,W47,W48,W49)," * Total Died  for Age "&amp;V8&amp;" "&amp;W9&amp;" is less than sum of Total Causes of Death F08-05 to F08-11"&amp;CHAR(10),""),IF(X36&lt;SUM(X43,X44,X45,X46,X47,X48,X49)," * Total Died  for Age "&amp;X8&amp;" "&amp;X9&amp;" is less than sum of Total Causes of Death F08-05 to F08-11"&amp;CHAR(10),""),IF(Y36&lt;SUM(Y43,Y44,Y45,Y46,Y47,Y48,Y49)," * Total Died  for Age "&amp;X8&amp;" "&amp;Y9&amp;" is less than sum of Total Causes of Death F08-05 to F08-11"&amp;CHAR(10),""),IF(Z36&lt;SUM(Z43,Z44,Z45,Z46,Z47,Z48,Z49)," * Total Died  for Age "&amp;Z8&amp;" "&amp;Z9&amp;" is less than sum of Total Causes of Death F08-05 to F08-11"&amp;CHAR(10),""),IF(AA36&lt;SUM(AA43,AA44,AA45,AA46,AA47,AA48,AA49)," * Total Died  for Age "&amp;Z8&amp;" "&amp;AA9&amp;" is less than sum of Total Causes of Death F08-05 to F08-11"&amp;CHAR(10),""))</f>
        <v/>
      </c>
      <c r="AL36" s="295"/>
      <c r="AM36" s="32"/>
      <c r="AN36" s="373"/>
      <c r="AO36" s="33"/>
      <c r="AP36" s="34"/>
    </row>
    <row r="37" spans="1:42" s="44" customFormat="1" ht="33.950000000000003" customHeight="1">
      <c r="A37" s="304"/>
      <c r="B37" s="42" t="s">
        <v>138</v>
      </c>
      <c r="C37" s="239" t="s">
        <v>77</v>
      </c>
      <c r="D37" s="196"/>
      <c r="E37" s="197"/>
      <c r="F37" s="197"/>
      <c r="G37" s="197"/>
      <c r="H37" s="197"/>
      <c r="I37" s="197"/>
      <c r="J37" s="197"/>
      <c r="K37" s="197"/>
      <c r="L37" s="197"/>
      <c r="M37" s="197"/>
      <c r="N37" s="197"/>
      <c r="O37" s="197"/>
      <c r="P37" s="197"/>
      <c r="Q37" s="197"/>
      <c r="R37" s="197"/>
      <c r="S37" s="197"/>
      <c r="T37" s="197"/>
      <c r="U37" s="197"/>
      <c r="V37" s="197"/>
      <c r="W37" s="197"/>
      <c r="X37" s="197"/>
      <c r="Y37" s="198"/>
      <c r="Z37" s="136">
        <f t="shared" si="27"/>
        <v>0</v>
      </c>
      <c r="AA37" s="137">
        <f t="shared" si="28"/>
        <v>0</v>
      </c>
      <c r="AB37" s="199"/>
      <c r="AC37" s="198"/>
      <c r="AD37" s="197"/>
      <c r="AE37" s="198"/>
      <c r="AF37" s="197"/>
      <c r="AG37" s="198"/>
      <c r="AH37" s="197"/>
      <c r="AI37" s="200"/>
      <c r="AJ37" s="201">
        <f t="shared" si="0"/>
        <v>0</v>
      </c>
      <c r="AK37" s="31"/>
      <c r="AL37" s="295"/>
      <c r="AM37" s="43"/>
      <c r="AN37" s="373"/>
      <c r="AO37" s="33"/>
      <c r="AP37" s="34"/>
    </row>
    <row r="38" spans="1:42" ht="33.950000000000003" customHeight="1">
      <c r="A38" s="304"/>
      <c r="B38" s="42" t="s">
        <v>136</v>
      </c>
      <c r="C38" s="240" t="s">
        <v>78</v>
      </c>
      <c r="D38" s="196"/>
      <c r="E38" s="197"/>
      <c r="F38" s="197"/>
      <c r="G38" s="197"/>
      <c r="H38" s="197"/>
      <c r="I38" s="197"/>
      <c r="J38" s="197"/>
      <c r="K38" s="197"/>
      <c r="L38" s="197"/>
      <c r="M38" s="197"/>
      <c r="N38" s="197"/>
      <c r="O38" s="197"/>
      <c r="P38" s="197"/>
      <c r="Q38" s="197"/>
      <c r="R38" s="197"/>
      <c r="S38" s="197"/>
      <c r="T38" s="197"/>
      <c r="U38" s="197"/>
      <c r="V38" s="197"/>
      <c r="W38" s="197"/>
      <c r="X38" s="197"/>
      <c r="Y38" s="198"/>
      <c r="Z38" s="136">
        <f t="shared" si="27"/>
        <v>0</v>
      </c>
      <c r="AA38" s="137">
        <f t="shared" si="28"/>
        <v>0</v>
      </c>
      <c r="AB38" s="199"/>
      <c r="AC38" s="198"/>
      <c r="AD38" s="197"/>
      <c r="AE38" s="198"/>
      <c r="AF38" s="197"/>
      <c r="AG38" s="198"/>
      <c r="AH38" s="197"/>
      <c r="AI38" s="200"/>
      <c r="AJ38" s="201">
        <f t="shared" si="0"/>
        <v>0</v>
      </c>
      <c r="AK38" s="31"/>
      <c r="AL38" s="295"/>
      <c r="AM38" s="32"/>
      <c r="AN38" s="373"/>
      <c r="AO38" s="33"/>
      <c r="AP38" s="34"/>
    </row>
    <row r="39" spans="1:42" ht="33.950000000000003" customHeight="1">
      <c r="A39" s="304"/>
      <c r="B39" s="42" t="s">
        <v>137</v>
      </c>
      <c r="C39" s="240" t="s">
        <v>135</v>
      </c>
      <c r="D39" s="196"/>
      <c r="E39" s="197"/>
      <c r="F39" s="197"/>
      <c r="G39" s="197"/>
      <c r="H39" s="197"/>
      <c r="I39" s="197"/>
      <c r="J39" s="197"/>
      <c r="K39" s="197"/>
      <c r="L39" s="197"/>
      <c r="M39" s="197"/>
      <c r="N39" s="197"/>
      <c r="O39" s="197"/>
      <c r="P39" s="197"/>
      <c r="Q39" s="197"/>
      <c r="R39" s="197"/>
      <c r="S39" s="197"/>
      <c r="T39" s="197"/>
      <c r="U39" s="197"/>
      <c r="V39" s="197"/>
      <c r="W39" s="197"/>
      <c r="X39" s="197"/>
      <c r="Y39" s="198"/>
      <c r="Z39" s="136">
        <f t="shared" si="27"/>
        <v>0</v>
      </c>
      <c r="AA39" s="137">
        <f t="shared" si="28"/>
        <v>0</v>
      </c>
      <c r="AB39" s="199"/>
      <c r="AC39" s="198"/>
      <c r="AD39" s="197"/>
      <c r="AE39" s="198"/>
      <c r="AF39" s="197"/>
      <c r="AG39" s="198"/>
      <c r="AH39" s="197"/>
      <c r="AI39" s="200"/>
      <c r="AJ39" s="201">
        <f t="shared" si="0"/>
        <v>0</v>
      </c>
      <c r="AK39" s="31"/>
      <c r="AL39" s="295"/>
      <c r="AM39" s="32"/>
      <c r="AN39" s="373"/>
      <c r="AO39" s="33"/>
      <c r="AP39" s="34"/>
    </row>
    <row r="40" spans="1:42" ht="33.950000000000003" customHeight="1">
      <c r="A40" s="304"/>
      <c r="B40" s="42" t="s">
        <v>96</v>
      </c>
      <c r="C40" s="240" t="s">
        <v>79</v>
      </c>
      <c r="D40" s="196"/>
      <c r="E40" s="197"/>
      <c r="F40" s="197"/>
      <c r="G40" s="197"/>
      <c r="H40" s="197"/>
      <c r="I40" s="197"/>
      <c r="J40" s="197"/>
      <c r="K40" s="197"/>
      <c r="L40" s="197"/>
      <c r="M40" s="197"/>
      <c r="N40" s="197"/>
      <c r="O40" s="197"/>
      <c r="P40" s="197"/>
      <c r="Q40" s="197"/>
      <c r="R40" s="197"/>
      <c r="S40" s="197"/>
      <c r="T40" s="197"/>
      <c r="U40" s="197"/>
      <c r="V40" s="197"/>
      <c r="W40" s="197"/>
      <c r="X40" s="197"/>
      <c r="Y40" s="198"/>
      <c r="Z40" s="136">
        <f t="shared" si="27"/>
        <v>0</v>
      </c>
      <c r="AA40" s="137">
        <f t="shared" si="28"/>
        <v>0</v>
      </c>
      <c r="AB40" s="199"/>
      <c r="AC40" s="198"/>
      <c r="AD40" s="197"/>
      <c r="AE40" s="198"/>
      <c r="AF40" s="197"/>
      <c r="AG40" s="198"/>
      <c r="AH40" s="197"/>
      <c r="AI40" s="200"/>
      <c r="AJ40" s="201">
        <f t="shared" si="0"/>
        <v>0</v>
      </c>
      <c r="AK40" s="31"/>
      <c r="AL40" s="295"/>
      <c r="AM40" s="32"/>
      <c r="AN40" s="373"/>
      <c r="AO40" s="33"/>
      <c r="AP40" s="34"/>
    </row>
    <row r="41" spans="1:42" ht="33.950000000000003" customHeight="1" thickBot="1">
      <c r="A41" s="304"/>
      <c r="B41" s="42" t="s">
        <v>76</v>
      </c>
      <c r="C41" s="241" t="s">
        <v>80</v>
      </c>
      <c r="D41" s="202"/>
      <c r="E41" s="203"/>
      <c r="F41" s="203"/>
      <c r="G41" s="203"/>
      <c r="H41" s="203"/>
      <c r="I41" s="203"/>
      <c r="J41" s="203"/>
      <c r="K41" s="203"/>
      <c r="L41" s="203"/>
      <c r="M41" s="203"/>
      <c r="N41" s="203"/>
      <c r="O41" s="203"/>
      <c r="P41" s="203"/>
      <c r="Q41" s="203"/>
      <c r="R41" s="203"/>
      <c r="S41" s="203"/>
      <c r="T41" s="203"/>
      <c r="U41" s="203"/>
      <c r="V41" s="203"/>
      <c r="W41" s="203"/>
      <c r="X41" s="203"/>
      <c r="Y41" s="204"/>
      <c r="Z41" s="136">
        <f t="shared" si="27"/>
        <v>0</v>
      </c>
      <c r="AA41" s="137">
        <f t="shared" si="28"/>
        <v>0</v>
      </c>
      <c r="AB41" s="205"/>
      <c r="AC41" s="204"/>
      <c r="AD41" s="203"/>
      <c r="AE41" s="204"/>
      <c r="AF41" s="203"/>
      <c r="AG41" s="204"/>
      <c r="AH41" s="203"/>
      <c r="AI41" s="206"/>
      <c r="AJ41" s="201">
        <f t="shared" si="0"/>
        <v>0</v>
      </c>
      <c r="AK41" s="31"/>
      <c r="AL41" s="295"/>
      <c r="AM41" s="32"/>
      <c r="AN41" s="373"/>
      <c r="AO41" s="33"/>
      <c r="AP41" s="34"/>
    </row>
    <row r="42" spans="1:42" ht="33.950000000000003" customHeight="1" thickBot="1">
      <c r="A42" s="305"/>
      <c r="B42" s="207" t="s">
        <v>114</v>
      </c>
      <c r="C42" s="208" t="s">
        <v>35</v>
      </c>
      <c r="D42" s="209">
        <f>SUM(D36:D41)</f>
        <v>0</v>
      </c>
      <c r="E42" s="210">
        <f t="shared" ref="E42:AJ42" si="29">SUM(E36:E41)</f>
        <v>0</v>
      </c>
      <c r="F42" s="210">
        <f t="shared" si="29"/>
        <v>0</v>
      </c>
      <c r="G42" s="210">
        <f t="shared" si="29"/>
        <v>0</v>
      </c>
      <c r="H42" s="210">
        <f t="shared" si="29"/>
        <v>0</v>
      </c>
      <c r="I42" s="210">
        <f t="shared" si="29"/>
        <v>0</v>
      </c>
      <c r="J42" s="210">
        <f t="shared" si="29"/>
        <v>0</v>
      </c>
      <c r="K42" s="210">
        <f t="shared" si="29"/>
        <v>0</v>
      </c>
      <c r="L42" s="210">
        <f t="shared" si="29"/>
        <v>0</v>
      </c>
      <c r="M42" s="210">
        <f t="shared" si="29"/>
        <v>0</v>
      </c>
      <c r="N42" s="210">
        <f t="shared" si="29"/>
        <v>0</v>
      </c>
      <c r="O42" s="210">
        <f t="shared" si="29"/>
        <v>0</v>
      </c>
      <c r="P42" s="210">
        <f t="shared" si="29"/>
        <v>0</v>
      </c>
      <c r="Q42" s="210">
        <f t="shared" si="29"/>
        <v>0</v>
      </c>
      <c r="R42" s="210">
        <f t="shared" si="29"/>
        <v>0</v>
      </c>
      <c r="S42" s="210">
        <f t="shared" si="29"/>
        <v>0</v>
      </c>
      <c r="T42" s="210">
        <f t="shared" si="29"/>
        <v>0</v>
      </c>
      <c r="U42" s="210">
        <f t="shared" si="29"/>
        <v>0</v>
      </c>
      <c r="V42" s="210">
        <f t="shared" si="29"/>
        <v>0</v>
      </c>
      <c r="W42" s="210">
        <f t="shared" si="29"/>
        <v>0</v>
      </c>
      <c r="X42" s="210">
        <f t="shared" si="29"/>
        <v>0</v>
      </c>
      <c r="Y42" s="211">
        <f t="shared" si="29"/>
        <v>0</v>
      </c>
      <c r="Z42" s="212">
        <f t="shared" si="29"/>
        <v>0</v>
      </c>
      <c r="AA42" s="213">
        <f t="shared" si="29"/>
        <v>0</v>
      </c>
      <c r="AB42" s="211">
        <f t="shared" si="29"/>
        <v>0</v>
      </c>
      <c r="AC42" s="211">
        <f t="shared" si="29"/>
        <v>0</v>
      </c>
      <c r="AD42" s="211">
        <f t="shared" si="29"/>
        <v>0</v>
      </c>
      <c r="AE42" s="211">
        <f t="shared" si="29"/>
        <v>0</v>
      </c>
      <c r="AF42" s="211">
        <f t="shared" si="29"/>
        <v>0</v>
      </c>
      <c r="AG42" s="211">
        <f t="shared" si="29"/>
        <v>0</v>
      </c>
      <c r="AH42" s="211">
        <f t="shared" si="29"/>
        <v>0</v>
      </c>
      <c r="AI42" s="211">
        <f t="shared" si="29"/>
        <v>0</v>
      </c>
      <c r="AJ42" s="214">
        <f t="shared" si="29"/>
        <v>0</v>
      </c>
      <c r="AK42" s="31"/>
      <c r="AL42" s="295"/>
      <c r="AM42" s="32"/>
      <c r="AN42" s="373"/>
      <c r="AO42" s="33"/>
      <c r="AP42" s="34"/>
    </row>
    <row r="43" spans="1:42" ht="33" customHeight="1">
      <c r="A43" s="360" t="s">
        <v>139</v>
      </c>
      <c r="B43" s="55" t="s">
        <v>45</v>
      </c>
      <c r="C43" s="230" t="s">
        <v>36</v>
      </c>
      <c r="D43" s="215"/>
      <c r="E43" s="216"/>
      <c r="F43" s="216"/>
      <c r="G43" s="216"/>
      <c r="H43" s="216"/>
      <c r="I43" s="216"/>
      <c r="J43" s="216"/>
      <c r="K43" s="216"/>
      <c r="L43" s="216"/>
      <c r="M43" s="216"/>
      <c r="N43" s="216"/>
      <c r="O43" s="216"/>
      <c r="P43" s="216"/>
      <c r="Q43" s="216"/>
      <c r="R43" s="216"/>
      <c r="S43" s="216"/>
      <c r="T43" s="216"/>
      <c r="U43" s="216"/>
      <c r="V43" s="216"/>
      <c r="W43" s="216"/>
      <c r="X43" s="216"/>
      <c r="Y43" s="217"/>
      <c r="Z43" s="136">
        <f t="shared" ref="Z43:Z49" si="30">SUM(AB43,AD43,AF43,AH43)</f>
        <v>0</v>
      </c>
      <c r="AA43" s="137">
        <f t="shared" ref="AA43:AA49" si="31">SUM(AC43,AE43,AG43,AI43)</f>
        <v>0</v>
      </c>
      <c r="AB43" s="215"/>
      <c r="AC43" s="216"/>
      <c r="AD43" s="216"/>
      <c r="AE43" s="216"/>
      <c r="AF43" s="216"/>
      <c r="AG43" s="216"/>
      <c r="AH43" s="216"/>
      <c r="AI43" s="216"/>
      <c r="AJ43" s="131">
        <f t="shared" ref="AJ43:AJ49" si="32">SUM(D43:AA43)</f>
        <v>0</v>
      </c>
      <c r="AK43" s="31"/>
      <c r="AL43" s="295"/>
      <c r="AM43" s="32"/>
      <c r="AN43" s="373"/>
      <c r="AO43" s="33"/>
      <c r="AP43" s="34"/>
    </row>
    <row r="44" spans="1:42" ht="33" customHeight="1">
      <c r="A44" s="304"/>
      <c r="B44" s="56" t="s">
        <v>93</v>
      </c>
      <c r="C44" s="231" t="s">
        <v>37</v>
      </c>
      <c r="D44" s="199"/>
      <c r="E44" s="197"/>
      <c r="F44" s="197"/>
      <c r="G44" s="197"/>
      <c r="H44" s="197"/>
      <c r="I44" s="197"/>
      <c r="J44" s="197"/>
      <c r="K44" s="197"/>
      <c r="L44" s="197"/>
      <c r="M44" s="197"/>
      <c r="N44" s="197"/>
      <c r="O44" s="197"/>
      <c r="P44" s="197"/>
      <c r="Q44" s="197"/>
      <c r="R44" s="197"/>
      <c r="S44" s="197"/>
      <c r="T44" s="197"/>
      <c r="U44" s="197"/>
      <c r="V44" s="197"/>
      <c r="W44" s="197"/>
      <c r="X44" s="197"/>
      <c r="Y44" s="198"/>
      <c r="Z44" s="136">
        <f t="shared" si="30"/>
        <v>0</v>
      </c>
      <c r="AA44" s="137">
        <f t="shared" si="31"/>
        <v>0</v>
      </c>
      <c r="AB44" s="199"/>
      <c r="AC44" s="197"/>
      <c r="AD44" s="197"/>
      <c r="AE44" s="197"/>
      <c r="AF44" s="197"/>
      <c r="AG44" s="197"/>
      <c r="AH44" s="197"/>
      <c r="AI44" s="197"/>
      <c r="AJ44" s="140">
        <f t="shared" si="32"/>
        <v>0</v>
      </c>
      <c r="AK44" s="31"/>
      <c r="AL44" s="295"/>
      <c r="AM44" s="32"/>
      <c r="AN44" s="373"/>
      <c r="AO44" s="33"/>
      <c r="AP44" s="34"/>
    </row>
    <row r="45" spans="1:42" ht="33" customHeight="1">
      <c r="A45" s="304"/>
      <c r="B45" s="56" t="s">
        <v>97</v>
      </c>
      <c r="C45" s="231" t="s">
        <v>38</v>
      </c>
      <c r="D45" s="199"/>
      <c r="E45" s="197"/>
      <c r="F45" s="197"/>
      <c r="G45" s="197"/>
      <c r="H45" s="197"/>
      <c r="I45" s="197"/>
      <c r="J45" s="197"/>
      <c r="K45" s="197"/>
      <c r="L45" s="197"/>
      <c r="M45" s="197"/>
      <c r="N45" s="197"/>
      <c r="O45" s="197"/>
      <c r="P45" s="197"/>
      <c r="Q45" s="197"/>
      <c r="R45" s="197"/>
      <c r="S45" s="197"/>
      <c r="T45" s="197"/>
      <c r="U45" s="197"/>
      <c r="V45" s="197"/>
      <c r="W45" s="197"/>
      <c r="X45" s="197"/>
      <c r="Y45" s="198"/>
      <c r="Z45" s="136">
        <f t="shared" si="30"/>
        <v>0</v>
      </c>
      <c r="AA45" s="137">
        <f t="shared" si="31"/>
        <v>0</v>
      </c>
      <c r="AB45" s="199"/>
      <c r="AC45" s="197"/>
      <c r="AD45" s="197"/>
      <c r="AE45" s="197"/>
      <c r="AF45" s="197"/>
      <c r="AG45" s="197"/>
      <c r="AH45" s="197"/>
      <c r="AI45" s="197"/>
      <c r="AJ45" s="140">
        <f t="shared" si="32"/>
        <v>0</v>
      </c>
      <c r="AK45" s="31"/>
      <c r="AL45" s="295"/>
      <c r="AM45" s="32"/>
      <c r="AN45" s="373"/>
      <c r="AO45" s="33"/>
      <c r="AP45" s="34"/>
    </row>
    <row r="46" spans="1:42" s="44" customFormat="1" ht="33" customHeight="1">
      <c r="A46" s="304"/>
      <c r="B46" s="221" t="s">
        <v>46</v>
      </c>
      <c r="C46" s="242" t="s">
        <v>39</v>
      </c>
      <c r="D46" s="199"/>
      <c r="E46" s="197"/>
      <c r="F46" s="197"/>
      <c r="G46" s="197"/>
      <c r="H46" s="197"/>
      <c r="I46" s="197"/>
      <c r="J46" s="197"/>
      <c r="K46" s="197"/>
      <c r="L46" s="197"/>
      <c r="M46" s="197"/>
      <c r="N46" s="197"/>
      <c r="O46" s="197"/>
      <c r="P46" s="197"/>
      <c r="Q46" s="197"/>
      <c r="R46" s="197"/>
      <c r="S46" s="197"/>
      <c r="T46" s="197"/>
      <c r="U46" s="197"/>
      <c r="V46" s="197"/>
      <c r="W46" s="197"/>
      <c r="X46" s="197"/>
      <c r="Y46" s="198"/>
      <c r="Z46" s="136">
        <f t="shared" si="30"/>
        <v>0</v>
      </c>
      <c r="AA46" s="137">
        <f t="shared" si="31"/>
        <v>0</v>
      </c>
      <c r="AB46" s="199"/>
      <c r="AC46" s="197"/>
      <c r="AD46" s="197"/>
      <c r="AE46" s="197"/>
      <c r="AF46" s="197"/>
      <c r="AG46" s="197"/>
      <c r="AH46" s="197"/>
      <c r="AI46" s="197"/>
      <c r="AJ46" s="140">
        <f t="shared" si="32"/>
        <v>0</v>
      </c>
      <c r="AK46" s="31"/>
      <c r="AL46" s="295"/>
      <c r="AM46" s="43"/>
      <c r="AN46" s="373"/>
      <c r="AO46" s="33"/>
      <c r="AP46" s="34"/>
    </row>
    <row r="47" spans="1:42" ht="33" customHeight="1">
      <c r="A47" s="304"/>
      <c r="B47" s="56" t="s">
        <v>94</v>
      </c>
      <c r="C47" s="231" t="s">
        <v>40</v>
      </c>
      <c r="D47" s="199"/>
      <c r="E47" s="197"/>
      <c r="F47" s="197"/>
      <c r="G47" s="197"/>
      <c r="H47" s="197"/>
      <c r="I47" s="197"/>
      <c r="J47" s="197"/>
      <c r="K47" s="197"/>
      <c r="L47" s="197"/>
      <c r="M47" s="197"/>
      <c r="N47" s="197"/>
      <c r="O47" s="197"/>
      <c r="P47" s="197"/>
      <c r="Q47" s="197"/>
      <c r="R47" s="197"/>
      <c r="S47" s="197"/>
      <c r="T47" s="197"/>
      <c r="U47" s="197"/>
      <c r="V47" s="197"/>
      <c r="W47" s="197"/>
      <c r="X47" s="197"/>
      <c r="Y47" s="198"/>
      <c r="Z47" s="136">
        <f t="shared" si="30"/>
        <v>0</v>
      </c>
      <c r="AA47" s="137">
        <f t="shared" si="31"/>
        <v>0</v>
      </c>
      <c r="AB47" s="199"/>
      <c r="AC47" s="197"/>
      <c r="AD47" s="197"/>
      <c r="AE47" s="197"/>
      <c r="AF47" s="197"/>
      <c r="AG47" s="197"/>
      <c r="AH47" s="197"/>
      <c r="AI47" s="197"/>
      <c r="AJ47" s="140">
        <f t="shared" si="32"/>
        <v>0</v>
      </c>
      <c r="AK47" s="31"/>
      <c r="AL47" s="295"/>
      <c r="AM47" s="32"/>
      <c r="AN47" s="373"/>
      <c r="AO47" s="33"/>
      <c r="AP47" s="34"/>
    </row>
    <row r="48" spans="1:42" ht="33" customHeight="1">
      <c r="A48" s="304"/>
      <c r="B48" s="56" t="s">
        <v>47</v>
      </c>
      <c r="C48" s="231" t="s">
        <v>41</v>
      </c>
      <c r="D48" s="199"/>
      <c r="E48" s="197"/>
      <c r="F48" s="197"/>
      <c r="G48" s="197"/>
      <c r="H48" s="197"/>
      <c r="I48" s="197"/>
      <c r="J48" s="197"/>
      <c r="K48" s="197"/>
      <c r="L48" s="197"/>
      <c r="M48" s="197"/>
      <c r="N48" s="197"/>
      <c r="O48" s="197"/>
      <c r="P48" s="197"/>
      <c r="Q48" s="197"/>
      <c r="R48" s="197"/>
      <c r="S48" s="197"/>
      <c r="T48" s="197"/>
      <c r="U48" s="197"/>
      <c r="V48" s="197"/>
      <c r="W48" s="197"/>
      <c r="X48" s="197"/>
      <c r="Y48" s="198"/>
      <c r="Z48" s="136">
        <f t="shared" si="30"/>
        <v>0</v>
      </c>
      <c r="AA48" s="137">
        <f t="shared" si="31"/>
        <v>0</v>
      </c>
      <c r="AB48" s="199"/>
      <c r="AC48" s="197"/>
      <c r="AD48" s="197"/>
      <c r="AE48" s="197"/>
      <c r="AF48" s="197"/>
      <c r="AG48" s="197"/>
      <c r="AH48" s="197"/>
      <c r="AI48" s="197"/>
      <c r="AJ48" s="140">
        <f t="shared" si="32"/>
        <v>0</v>
      </c>
      <c r="AK48" s="31"/>
      <c r="AL48" s="295"/>
      <c r="AM48" s="32"/>
      <c r="AN48" s="373"/>
      <c r="AO48" s="33"/>
      <c r="AP48" s="34"/>
    </row>
    <row r="49" spans="1:42" ht="33" customHeight="1" thickBot="1">
      <c r="A49" s="305"/>
      <c r="B49" s="57" t="s">
        <v>48</v>
      </c>
      <c r="C49" s="232" t="s">
        <v>42</v>
      </c>
      <c r="D49" s="218"/>
      <c r="E49" s="219"/>
      <c r="F49" s="219"/>
      <c r="G49" s="219"/>
      <c r="H49" s="219"/>
      <c r="I49" s="219"/>
      <c r="J49" s="219"/>
      <c r="K49" s="219"/>
      <c r="L49" s="219"/>
      <c r="M49" s="219"/>
      <c r="N49" s="219"/>
      <c r="O49" s="219"/>
      <c r="P49" s="219"/>
      <c r="Q49" s="219"/>
      <c r="R49" s="219"/>
      <c r="S49" s="219"/>
      <c r="T49" s="219"/>
      <c r="U49" s="219"/>
      <c r="V49" s="219"/>
      <c r="W49" s="219"/>
      <c r="X49" s="219"/>
      <c r="Y49" s="220"/>
      <c r="Z49" s="145">
        <f t="shared" si="30"/>
        <v>0</v>
      </c>
      <c r="AA49" s="146">
        <f t="shared" si="31"/>
        <v>0</v>
      </c>
      <c r="AB49" s="218"/>
      <c r="AC49" s="219"/>
      <c r="AD49" s="219"/>
      <c r="AE49" s="219"/>
      <c r="AF49" s="219"/>
      <c r="AG49" s="219"/>
      <c r="AH49" s="219"/>
      <c r="AI49" s="219"/>
      <c r="AJ49" s="171">
        <f t="shared" si="32"/>
        <v>0</v>
      </c>
      <c r="AK49" s="31"/>
      <c r="AL49" s="296"/>
      <c r="AM49" s="32"/>
      <c r="AN49" s="373"/>
      <c r="AO49" s="33"/>
      <c r="AP49" s="34"/>
    </row>
    <row r="50" spans="1:42" ht="63" customHeight="1" thickBot="1">
      <c r="A50" s="45" t="s">
        <v>92</v>
      </c>
      <c r="B50" s="52"/>
      <c r="F50" s="12"/>
      <c r="G50" s="12"/>
      <c r="I50" s="12"/>
      <c r="J50" s="12"/>
      <c r="M50" s="12"/>
      <c r="N50" s="12"/>
      <c r="O50" s="12"/>
      <c r="Q50" s="12"/>
      <c r="X50" s="12"/>
    </row>
    <row r="52" spans="1:42">
      <c r="A52" s="14"/>
      <c r="B52" s="46"/>
      <c r="E52" s="12"/>
      <c r="F52" s="12"/>
      <c r="G52" s="12"/>
      <c r="H52" s="12"/>
      <c r="I52" s="12"/>
      <c r="J52" s="12"/>
      <c r="K52" s="12"/>
      <c r="L52" s="12"/>
      <c r="M52" s="12"/>
    </row>
    <row r="53" spans="1:42" ht="21.4" thickBot="1">
      <c r="A53" s="276"/>
      <c r="B53" s="277"/>
      <c r="C53" s="278"/>
      <c r="D53" s="279"/>
      <c r="E53" s="279"/>
      <c r="F53" s="279"/>
      <c r="G53" s="279"/>
      <c r="H53" s="279"/>
      <c r="I53" s="279"/>
      <c r="J53" s="279"/>
      <c r="K53" s="279"/>
      <c r="L53" s="279"/>
      <c r="M53" s="279"/>
      <c r="N53" s="279"/>
      <c r="O53" s="279"/>
      <c r="P53" s="279"/>
      <c r="Q53" s="279"/>
      <c r="R53" s="279"/>
      <c r="S53" s="279"/>
      <c r="T53" s="279"/>
      <c r="U53" s="279"/>
      <c r="V53" s="279"/>
      <c r="W53" s="279"/>
      <c r="X53" s="279"/>
      <c r="Y53" s="279"/>
      <c r="Z53" s="279"/>
      <c r="AA53" s="279"/>
      <c r="AB53" s="279"/>
      <c r="AC53" s="279"/>
      <c r="AD53" s="279"/>
      <c r="AE53" s="279"/>
      <c r="AF53" s="279"/>
      <c r="AG53" s="279"/>
      <c r="AH53" s="279"/>
      <c r="AI53" s="279"/>
      <c r="AJ53" s="279"/>
      <c r="AK53" s="280"/>
      <c r="AL53" s="281"/>
      <c r="AM53" s="279"/>
      <c r="AN53" s="279"/>
    </row>
    <row r="54" spans="1:42" ht="30.75" customHeight="1">
      <c r="A54" s="336" t="str">
        <f>CONCATENATE(AL10,AL27)</f>
        <v/>
      </c>
      <c r="B54" s="337"/>
      <c r="C54" s="337"/>
      <c r="D54" s="337"/>
      <c r="E54" s="337"/>
      <c r="F54" s="337"/>
      <c r="G54" s="337"/>
      <c r="H54" s="337"/>
      <c r="I54" s="337"/>
      <c r="J54" s="337"/>
      <c r="K54" s="337"/>
      <c r="L54" s="338"/>
      <c r="M54" s="345" t="str">
        <f>IF(LEN(A54)&lt;=0,"","Please ensure you solve the errors appearing on the left . However, In the cases where the errors are valid and can be explained ( We expect this to be very rare cases), Please delete this message and type the  justification for the error here)")</f>
        <v/>
      </c>
      <c r="N54" s="346"/>
      <c r="O54" s="346"/>
      <c r="P54" s="346"/>
      <c r="Q54" s="346"/>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7"/>
    </row>
    <row r="55" spans="1:42" ht="25.5" customHeight="1">
      <c r="A55" s="339"/>
      <c r="B55" s="340"/>
      <c r="C55" s="340"/>
      <c r="D55" s="340"/>
      <c r="E55" s="340"/>
      <c r="F55" s="340"/>
      <c r="G55" s="340"/>
      <c r="H55" s="340"/>
      <c r="I55" s="340"/>
      <c r="J55" s="340"/>
      <c r="K55" s="340"/>
      <c r="L55" s="341"/>
      <c r="M55" s="348"/>
      <c r="N55" s="349"/>
      <c r="O55" s="349"/>
      <c r="P55" s="349"/>
      <c r="Q55" s="349"/>
      <c r="R55" s="349"/>
      <c r="S55" s="349"/>
      <c r="T55" s="349"/>
      <c r="U55" s="349"/>
      <c r="V55" s="349"/>
      <c r="W55" s="349"/>
      <c r="X55" s="349"/>
      <c r="Y55" s="349"/>
      <c r="Z55" s="349"/>
      <c r="AA55" s="349"/>
      <c r="AB55" s="349"/>
      <c r="AC55" s="349"/>
      <c r="AD55" s="349"/>
      <c r="AE55" s="349"/>
      <c r="AF55" s="349"/>
      <c r="AG55" s="349"/>
      <c r="AH55" s="349"/>
      <c r="AI55" s="349"/>
      <c r="AJ55" s="349"/>
      <c r="AK55" s="349"/>
      <c r="AL55" s="349"/>
      <c r="AM55" s="349"/>
      <c r="AN55" s="350"/>
    </row>
    <row r="56" spans="1:42" ht="30.75" customHeight="1">
      <c r="A56" s="339"/>
      <c r="B56" s="340"/>
      <c r="C56" s="340"/>
      <c r="D56" s="340"/>
      <c r="E56" s="340"/>
      <c r="F56" s="340"/>
      <c r="G56" s="340"/>
      <c r="H56" s="340"/>
      <c r="I56" s="340"/>
      <c r="J56" s="340"/>
      <c r="K56" s="340"/>
      <c r="L56" s="341"/>
      <c r="M56" s="348"/>
      <c r="N56" s="349"/>
      <c r="O56" s="349"/>
      <c r="P56" s="349"/>
      <c r="Q56" s="349"/>
      <c r="R56" s="349"/>
      <c r="S56" s="349"/>
      <c r="T56" s="349"/>
      <c r="U56" s="349"/>
      <c r="V56" s="349"/>
      <c r="W56" s="349"/>
      <c r="X56" s="349"/>
      <c r="Y56" s="349"/>
      <c r="Z56" s="349"/>
      <c r="AA56" s="349"/>
      <c r="AB56" s="349"/>
      <c r="AC56" s="349"/>
      <c r="AD56" s="349"/>
      <c r="AE56" s="349"/>
      <c r="AF56" s="349"/>
      <c r="AG56" s="349"/>
      <c r="AH56" s="349"/>
      <c r="AI56" s="349"/>
      <c r="AJ56" s="349"/>
      <c r="AK56" s="349"/>
      <c r="AL56" s="349"/>
      <c r="AM56" s="349"/>
      <c r="AN56" s="350"/>
    </row>
    <row r="57" spans="1:42" ht="25.5" customHeight="1">
      <c r="A57" s="339"/>
      <c r="B57" s="340"/>
      <c r="C57" s="340"/>
      <c r="D57" s="340"/>
      <c r="E57" s="340"/>
      <c r="F57" s="340"/>
      <c r="G57" s="340"/>
      <c r="H57" s="340"/>
      <c r="I57" s="340"/>
      <c r="J57" s="340"/>
      <c r="K57" s="340"/>
      <c r="L57" s="341"/>
      <c r="M57" s="348"/>
      <c r="N57" s="349"/>
      <c r="O57" s="349"/>
      <c r="P57" s="349"/>
      <c r="Q57" s="349"/>
      <c r="R57" s="349"/>
      <c r="S57" s="349"/>
      <c r="T57" s="349"/>
      <c r="U57" s="349"/>
      <c r="V57" s="349"/>
      <c r="W57" s="349"/>
      <c r="X57" s="349"/>
      <c r="Y57" s="349"/>
      <c r="Z57" s="349"/>
      <c r="AA57" s="349"/>
      <c r="AB57" s="349"/>
      <c r="AC57" s="349"/>
      <c r="AD57" s="349"/>
      <c r="AE57" s="349"/>
      <c r="AF57" s="349"/>
      <c r="AG57" s="349"/>
      <c r="AH57" s="349"/>
      <c r="AI57" s="349"/>
      <c r="AJ57" s="349"/>
      <c r="AK57" s="349"/>
      <c r="AL57" s="349"/>
      <c r="AM57" s="349"/>
      <c r="AN57" s="350"/>
    </row>
    <row r="58" spans="1:42" ht="25.5" customHeight="1">
      <c r="A58" s="339"/>
      <c r="B58" s="340"/>
      <c r="C58" s="340"/>
      <c r="D58" s="340"/>
      <c r="E58" s="340"/>
      <c r="F58" s="340"/>
      <c r="G58" s="340"/>
      <c r="H58" s="340"/>
      <c r="I58" s="340"/>
      <c r="J58" s="340"/>
      <c r="K58" s="340"/>
      <c r="L58" s="341"/>
      <c r="M58" s="348"/>
      <c r="N58" s="349"/>
      <c r="O58" s="349"/>
      <c r="P58" s="349"/>
      <c r="Q58" s="349"/>
      <c r="R58" s="349"/>
      <c r="S58" s="349"/>
      <c r="T58" s="349"/>
      <c r="U58" s="349"/>
      <c r="V58" s="349"/>
      <c r="W58" s="349"/>
      <c r="X58" s="349"/>
      <c r="Y58" s="349"/>
      <c r="Z58" s="349"/>
      <c r="AA58" s="349"/>
      <c r="AB58" s="349"/>
      <c r="AC58" s="349"/>
      <c r="AD58" s="349"/>
      <c r="AE58" s="349"/>
      <c r="AF58" s="349"/>
      <c r="AG58" s="349"/>
      <c r="AH58" s="349"/>
      <c r="AI58" s="349"/>
      <c r="AJ58" s="349"/>
      <c r="AK58" s="349"/>
      <c r="AL58" s="349"/>
      <c r="AM58" s="349"/>
      <c r="AN58" s="350"/>
    </row>
    <row r="59" spans="1:42" ht="25.5" customHeight="1">
      <c r="A59" s="339"/>
      <c r="B59" s="340"/>
      <c r="C59" s="340"/>
      <c r="D59" s="340"/>
      <c r="E59" s="340"/>
      <c r="F59" s="340"/>
      <c r="G59" s="340"/>
      <c r="H59" s="340"/>
      <c r="I59" s="340"/>
      <c r="J59" s="340"/>
      <c r="K59" s="340"/>
      <c r="L59" s="341"/>
      <c r="M59" s="348"/>
      <c r="N59" s="349"/>
      <c r="O59" s="349"/>
      <c r="P59" s="349"/>
      <c r="Q59" s="349"/>
      <c r="R59" s="349"/>
      <c r="S59" s="349"/>
      <c r="T59" s="349"/>
      <c r="U59" s="349"/>
      <c r="V59" s="349"/>
      <c r="W59" s="349"/>
      <c r="X59" s="349"/>
      <c r="Y59" s="349"/>
      <c r="Z59" s="349"/>
      <c r="AA59" s="349"/>
      <c r="AB59" s="349"/>
      <c r="AC59" s="349"/>
      <c r="AD59" s="349"/>
      <c r="AE59" s="349"/>
      <c r="AF59" s="349"/>
      <c r="AG59" s="349"/>
      <c r="AH59" s="349"/>
      <c r="AI59" s="349"/>
      <c r="AJ59" s="349"/>
      <c r="AK59" s="349"/>
      <c r="AL59" s="349"/>
      <c r="AM59" s="349"/>
      <c r="AN59" s="350"/>
    </row>
    <row r="60" spans="1:42" ht="25.5" customHeight="1">
      <c r="A60" s="339"/>
      <c r="B60" s="340"/>
      <c r="C60" s="340"/>
      <c r="D60" s="340"/>
      <c r="E60" s="340"/>
      <c r="F60" s="340"/>
      <c r="G60" s="340"/>
      <c r="H60" s="340"/>
      <c r="I60" s="340"/>
      <c r="J60" s="340"/>
      <c r="K60" s="340"/>
      <c r="L60" s="341"/>
      <c r="M60" s="348"/>
      <c r="N60" s="349"/>
      <c r="O60" s="349"/>
      <c r="P60" s="349"/>
      <c r="Q60" s="349"/>
      <c r="R60" s="349"/>
      <c r="S60" s="349"/>
      <c r="T60" s="349"/>
      <c r="U60" s="349"/>
      <c r="V60" s="349"/>
      <c r="W60" s="349"/>
      <c r="X60" s="349"/>
      <c r="Y60" s="349"/>
      <c r="Z60" s="349"/>
      <c r="AA60" s="349"/>
      <c r="AB60" s="349"/>
      <c r="AC60" s="349"/>
      <c r="AD60" s="349"/>
      <c r="AE60" s="349"/>
      <c r="AF60" s="349"/>
      <c r="AG60" s="349"/>
      <c r="AH60" s="349"/>
      <c r="AI60" s="349"/>
      <c r="AJ60" s="349"/>
      <c r="AK60" s="349"/>
      <c r="AL60" s="349"/>
      <c r="AM60" s="349"/>
      <c r="AN60" s="350"/>
    </row>
    <row r="61" spans="1:42" ht="25.5" customHeight="1">
      <c r="A61" s="339"/>
      <c r="B61" s="340"/>
      <c r="C61" s="340"/>
      <c r="D61" s="340"/>
      <c r="E61" s="340"/>
      <c r="F61" s="340"/>
      <c r="G61" s="340"/>
      <c r="H61" s="340"/>
      <c r="I61" s="340"/>
      <c r="J61" s="340"/>
      <c r="K61" s="340"/>
      <c r="L61" s="341"/>
      <c r="M61" s="348"/>
      <c r="N61" s="349"/>
      <c r="O61" s="349"/>
      <c r="P61" s="349"/>
      <c r="Q61" s="349"/>
      <c r="R61" s="349"/>
      <c r="S61" s="349"/>
      <c r="T61" s="349"/>
      <c r="U61" s="349"/>
      <c r="V61" s="349"/>
      <c r="W61" s="349"/>
      <c r="X61" s="349"/>
      <c r="Y61" s="349"/>
      <c r="Z61" s="349"/>
      <c r="AA61" s="349"/>
      <c r="AB61" s="349"/>
      <c r="AC61" s="349"/>
      <c r="AD61" s="349"/>
      <c r="AE61" s="349"/>
      <c r="AF61" s="349"/>
      <c r="AG61" s="349"/>
      <c r="AH61" s="349"/>
      <c r="AI61" s="349"/>
      <c r="AJ61" s="349"/>
      <c r="AK61" s="349"/>
      <c r="AL61" s="349"/>
      <c r="AM61" s="349"/>
      <c r="AN61" s="350"/>
    </row>
    <row r="62" spans="1:42" ht="25.5" customHeight="1">
      <c r="A62" s="339"/>
      <c r="B62" s="340"/>
      <c r="C62" s="340"/>
      <c r="D62" s="340"/>
      <c r="E62" s="340"/>
      <c r="F62" s="340"/>
      <c r="G62" s="340"/>
      <c r="H62" s="340"/>
      <c r="I62" s="340"/>
      <c r="J62" s="340"/>
      <c r="K62" s="340"/>
      <c r="L62" s="341"/>
      <c r="M62" s="348"/>
      <c r="N62" s="349"/>
      <c r="O62" s="349"/>
      <c r="P62" s="349"/>
      <c r="Q62" s="349"/>
      <c r="R62" s="349"/>
      <c r="S62" s="349"/>
      <c r="T62" s="349"/>
      <c r="U62" s="349"/>
      <c r="V62" s="349"/>
      <c r="W62" s="349"/>
      <c r="X62" s="349"/>
      <c r="Y62" s="349"/>
      <c r="Z62" s="349"/>
      <c r="AA62" s="349"/>
      <c r="AB62" s="349"/>
      <c r="AC62" s="349"/>
      <c r="AD62" s="349"/>
      <c r="AE62" s="349"/>
      <c r="AF62" s="349"/>
      <c r="AG62" s="349"/>
      <c r="AH62" s="349"/>
      <c r="AI62" s="349"/>
      <c r="AJ62" s="349"/>
      <c r="AK62" s="349"/>
      <c r="AL62" s="349"/>
      <c r="AM62" s="349"/>
      <c r="AN62" s="350"/>
    </row>
    <row r="63" spans="1:42" ht="25.5" customHeight="1">
      <c r="A63" s="339"/>
      <c r="B63" s="340"/>
      <c r="C63" s="340"/>
      <c r="D63" s="340"/>
      <c r="E63" s="340"/>
      <c r="F63" s="340"/>
      <c r="G63" s="340"/>
      <c r="H63" s="340"/>
      <c r="I63" s="340"/>
      <c r="J63" s="340"/>
      <c r="K63" s="340"/>
      <c r="L63" s="341"/>
      <c r="M63" s="348"/>
      <c r="N63" s="349"/>
      <c r="O63" s="349"/>
      <c r="P63" s="349"/>
      <c r="Q63" s="349"/>
      <c r="R63" s="349"/>
      <c r="S63" s="349"/>
      <c r="T63" s="349"/>
      <c r="U63" s="349"/>
      <c r="V63" s="349"/>
      <c r="W63" s="349"/>
      <c r="X63" s="349"/>
      <c r="Y63" s="349"/>
      <c r="Z63" s="349"/>
      <c r="AA63" s="349"/>
      <c r="AB63" s="349"/>
      <c r="AC63" s="349"/>
      <c r="AD63" s="349"/>
      <c r="AE63" s="349"/>
      <c r="AF63" s="349"/>
      <c r="AG63" s="349"/>
      <c r="AH63" s="349"/>
      <c r="AI63" s="349"/>
      <c r="AJ63" s="349"/>
      <c r="AK63" s="349"/>
      <c r="AL63" s="349"/>
      <c r="AM63" s="349"/>
      <c r="AN63" s="350"/>
    </row>
    <row r="64" spans="1:42" ht="25.5" customHeight="1">
      <c r="A64" s="339"/>
      <c r="B64" s="340"/>
      <c r="C64" s="340"/>
      <c r="D64" s="340"/>
      <c r="E64" s="340"/>
      <c r="F64" s="340"/>
      <c r="G64" s="340"/>
      <c r="H64" s="340"/>
      <c r="I64" s="340"/>
      <c r="J64" s="340"/>
      <c r="K64" s="340"/>
      <c r="L64" s="341"/>
      <c r="M64" s="348"/>
      <c r="N64" s="349"/>
      <c r="O64" s="349"/>
      <c r="P64" s="349"/>
      <c r="Q64" s="349"/>
      <c r="R64" s="349"/>
      <c r="S64" s="349"/>
      <c r="T64" s="349"/>
      <c r="U64" s="349"/>
      <c r="V64" s="349"/>
      <c r="W64" s="349"/>
      <c r="X64" s="349"/>
      <c r="Y64" s="349"/>
      <c r="Z64" s="349"/>
      <c r="AA64" s="349"/>
      <c r="AB64" s="349"/>
      <c r="AC64" s="349"/>
      <c r="AD64" s="349"/>
      <c r="AE64" s="349"/>
      <c r="AF64" s="349"/>
      <c r="AG64" s="349"/>
      <c r="AH64" s="349"/>
      <c r="AI64" s="349"/>
      <c r="AJ64" s="349"/>
      <c r="AK64" s="349"/>
      <c r="AL64" s="349"/>
      <c r="AM64" s="349"/>
      <c r="AN64" s="350"/>
    </row>
    <row r="65" spans="1:40" ht="25.5" customHeight="1">
      <c r="A65" s="339"/>
      <c r="B65" s="340"/>
      <c r="C65" s="340"/>
      <c r="D65" s="340"/>
      <c r="E65" s="340"/>
      <c r="F65" s="340"/>
      <c r="G65" s="340"/>
      <c r="H65" s="340"/>
      <c r="I65" s="340"/>
      <c r="J65" s="340"/>
      <c r="K65" s="340"/>
      <c r="L65" s="341"/>
      <c r="M65" s="348"/>
      <c r="N65" s="349"/>
      <c r="O65" s="349"/>
      <c r="P65" s="349"/>
      <c r="Q65" s="349"/>
      <c r="R65" s="349"/>
      <c r="S65" s="349"/>
      <c r="T65" s="349"/>
      <c r="U65" s="349"/>
      <c r="V65" s="349"/>
      <c r="W65" s="349"/>
      <c r="X65" s="349"/>
      <c r="Y65" s="349"/>
      <c r="Z65" s="349"/>
      <c r="AA65" s="349"/>
      <c r="AB65" s="349"/>
      <c r="AC65" s="349"/>
      <c r="AD65" s="349"/>
      <c r="AE65" s="349"/>
      <c r="AF65" s="349"/>
      <c r="AG65" s="349"/>
      <c r="AH65" s="349"/>
      <c r="AI65" s="349"/>
      <c r="AJ65" s="349"/>
      <c r="AK65" s="349"/>
      <c r="AL65" s="349"/>
      <c r="AM65" s="349"/>
      <c r="AN65" s="350"/>
    </row>
    <row r="66" spans="1:40" ht="25.5" customHeight="1">
      <c r="A66" s="339"/>
      <c r="B66" s="340"/>
      <c r="C66" s="340"/>
      <c r="D66" s="340"/>
      <c r="E66" s="340"/>
      <c r="F66" s="340"/>
      <c r="G66" s="340"/>
      <c r="H66" s="340"/>
      <c r="I66" s="340"/>
      <c r="J66" s="340"/>
      <c r="K66" s="340"/>
      <c r="L66" s="341"/>
      <c r="M66" s="348"/>
      <c r="N66" s="349"/>
      <c r="O66" s="349"/>
      <c r="P66" s="349"/>
      <c r="Q66" s="349"/>
      <c r="R66" s="349"/>
      <c r="S66" s="349"/>
      <c r="T66" s="349"/>
      <c r="U66" s="349"/>
      <c r="V66" s="349"/>
      <c r="W66" s="349"/>
      <c r="X66" s="349"/>
      <c r="Y66" s="349"/>
      <c r="Z66" s="349"/>
      <c r="AA66" s="349"/>
      <c r="AB66" s="349"/>
      <c r="AC66" s="349"/>
      <c r="AD66" s="349"/>
      <c r="AE66" s="349"/>
      <c r="AF66" s="349"/>
      <c r="AG66" s="349"/>
      <c r="AH66" s="349"/>
      <c r="AI66" s="349"/>
      <c r="AJ66" s="349"/>
      <c r="AK66" s="349"/>
      <c r="AL66" s="349"/>
      <c r="AM66" s="349"/>
      <c r="AN66" s="350"/>
    </row>
    <row r="67" spans="1:40" ht="25.5" customHeight="1">
      <c r="A67" s="339"/>
      <c r="B67" s="340"/>
      <c r="C67" s="340"/>
      <c r="D67" s="340"/>
      <c r="E67" s="340"/>
      <c r="F67" s="340"/>
      <c r="G67" s="340"/>
      <c r="H67" s="340"/>
      <c r="I67" s="340"/>
      <c r="J67" s="340"/>
      <c r="K67" s="340"/>
      <c r="L67" s="341"/>
      <c r="M67" s="348"/>
      <c r="N67" s="349"/>
      <c r="O67" s="349"/>
      <c r="P67" s="349"/>
      <c r="Q67" s="349"/>
      <c r="R67" s="349"/>
      <c r="S67" s="349"/>
      <c r="T67" s="349"/>
      <c r="U67" s="349"/>
      <c r="V67" s="349"/>
      <c r="W67" s="349"/>
      <c r="X67" s="349"/>
      <c r="Y67" s="349"/>
      <c r="Z67" s="349"/>
      <c r="AA67" s="349"/>
      <c r="AB67" s="349"/>
      <c r="AC67" s="349"/>
      <c r="AD67" s="349"/>
      <c r="AE67" s="349"/>
      <c r="AF67" s="349"/>
      <c r="AG67" s="349"/>
      <c r="AH67" s="349"/>
      <c r="AI67" s="349"/>
      <c r="AJ67" s="349"/>
      <c r="AK67" s="349"/>
      <c r="AL67" s="349"/>
      <c r="AM67" s="349"/>
      <c r="AN67" s="350"/>
    </row>
    <row r="68" spans="1:40" ht="25.5" customHeight="1">
      <c r="A68" s="339"/>
      <c r="B68" s="340"/>
      <c r="C68" s="340"/>
      <c r="D68" s="340"/>
      <c r="E68" s="340"/>
      <c r="F68" s="340"/>
      <c r="G68" s="340"/>
      <c r="H68" s="340"/>
      <c r="I68" s="340"/>
      <c r="J68" s="340"/>
      <c r="K68" s="340"/>
      <c r="L68" s="341"/>
      <c r="M68" s="348"/>
      <c r="N68" s="349"/>
      <c r="O68" s="349"/>
      <c r="P68" s="349"/>
      <c r="Q68" s="349"/>
      <c r="R68" s="349"/>
      <c r="S68" s="349"/>
      <c r="T68" s="349"/>
      <c r="U68" s="349"/>
      <c r="V68" s="349"/>
      <c r="W68" s="349"/>
      <c r="X68" s="349"/>
      <c r="Y68" s="349"/>
      <c r="Z68" s="349"/>
      <c r="AA68" s="349"/>
      <c r="AB68" s="349"/>
      <c r="AC68" s="349"/>
      <c r="AD68" s="349"/>
      <c r="AE68" s="349"/>
      <c r="AF68" s="349"/>
      <c r="AG68" s="349"/>
      <c r="AH68" s="349"/>
      <c r="AI68" s="349"/>
      <c r="AJ68" s="349"/>
      <c r="AK68" s="349"/>
      <c r="AL68" s="349"/>
      <c r="AM68" s="349"/>
      <c r="AN68" s="350"/>
    </row>
    <row r="69" spans="1:40" ht="25.5" customHeight="1">
      <c r="A69" s="339"/>
      <c r="B69" s="340"/>
      <c r="C69" s="340"/>
      <c r="D69" s="340"/>
      <c r="E69" s="340"/>
      <c r="F69" s="340"/>
      <c r="G69" s="340"/>
      <c r="H69" s="340"/>
      <c r="I69" s="340"/>
      <c r="J69" s="340"/>
      <c r="K69" s="340"/>
      <c r="L69" s="341"/>
      <c r="M69" s="348"/>
      <c r="N69" s="349"/>
      <c r="O69" s="349"/>
      <c r="P69" s="349"/>
      <c r="Q69" s="349"/>
      <c r="R69" s="349"/>
      <c r="S69" s="349"/>
      <c r="T69" s="349"/>
      <c r="U69" s="349"/>
      <c r="V69" s="349"/>
      <c r="W69" s="349"/>
      <c r="X69" s="349"/>
      <c r="Y69" s="349"/>
      <c r="Z69" s="349"/>
      <c r="AA69" s="349"/>
      <c r="AB69" s="349"/>
      <c r="AC69" s="349"/>
      <c r="AD69" s="349"/>
      <c r="AE69" s="349"/>
      <c r="AF69" s="349"/>
      <c r="AG69" s="349"/>
      <c r="AH69" s="349"/>
      <c r="AI69" s="349"/>
      <c r="AJ69" s="349"/>
      <c r="AK69" s="349"/>
      <c r="AL69" s="349"/>
      <c r="AM69" s="349"/>
      <c r="AN69" s="350"/>
    </row>
    <row r="70" spans="1:40" ht="25.5" customHeight="1">
      <c r="A70" s="339"/>
      <c r="B70" s="340"/>
      <c r="C70" s="340"/>
      <c r="D70" s="340"/>
      <c r="E70" s="340"/>
      <c r="F70" s="340"/>
      <c r="G70" s="340"/>
      <c r="H70" s="340"/>
      <c r="I70" s="340"/>
      <c r="J70" s="340"/>
      <c r="K70" s="340"/>
      <c r="L70" s="341"/>
      <c r="M70" s="348"/>
      <c r="N70" s="349"/>
      <c r="O70" s="349"/>
      <c r="P70" s="349"/>
      <c r="Q70" s="349"/>
      <c r="R70" s="349"/>
      <c r="S70" s="349"/>
      <c r="T70" s="349"/>
      <c r="U70" s="349"/>
      <c r="V70" s="349"/>
      <c r="W70" s="349"/>
      <c r="X70" s="349"/>
      <c r="Y70" s="349"/>
      <c r="Z70" s="349"/>
      <c r="AA70" s="349"/>
      <c r="AB70" s="349"/>
      <c r="AC70" s="349"/>
      <c r="AD70" s="349"/>
      <c r="AE70" s="349"/>
      <c r="AF70" s="349"/>
      <c r="AG70" s="349"/>
      <c r="AH70" s="349"/>
      <c r="AI70" s="349"/>
      <c r="AJ70" s="349"/>
      <c r="AK70" s="349"/>
      <c r="AL70" s="349"/>
      <c r="AM70" s="349"/>
      <c r="AN70" s="350"/>
    </row>
    <row r="71" spans="1:40" ht="25.5" customHeight="1">
      <c r="A71" s="339"/>
      <c r="B71" s="340"/>
      <c r="C71" s="340"/>
      <c r="D71" s="340"/>
      <c r="E71" s="340"/>
      <c r="F71" s="340"/>
      <c r="G71" s="340"/>
      <c r="H71" s="340"/>
      <c r="I71" s="340"/>
      <c r="J71" s="340"/>
      <c r="K71" s="340"/>
      <c r="L71" s="341"/>
      <c r="M71" s="348"/>
      <c r="N71" s="349"/>
      <c r="O71" s="349"/>
      <c r="P71" s="349"/>
      <c r="Q71" s="349"/>
      <c r="R71" s="349"/>
      <c r="S71" s="349"/>
      <c r="T71" s="349"/>
      <c r="U71" s="349"/>
      <c r="V71" s="349"/>
      <c r="W71" s="349"/>
      <c r="X71" s="349"/>
      <c r="Y71" s="349"/>
      <c r="Z71" s="349"/>
      <c r="AA71" s="349"/>
      <c r="AB71" s="349"/>
      <c r="AC71" s="349"/>
      <c r="AD71" s="349"/>
      <c r="AE71" s="349"/>
      <c r="AF71" s="349"/>
      <c r="AG71" s="349"/>
      <c r="AH71" s="349"/>
      <c r="AI71" s="349"/>
      <c r="AJ71" s="349"/>
      <c r="AK71" s="349"/>
      <c r="AL71" s="349"/>
      <c r="AM71" s="349"/>
      <c r="AN71" s="350"/>
    </row>
    <row r="72" spans="1:40" ht="25.5" customHeight="1">
      <c r="A72" s="339"/>
      <c r="B72" s="340"/>
      <c r="C72" s="340"/>
      <c r="D72" s="340"/>
      <c r="E72" s="340"/>
      <c r="F72" s="340"/>
      <c r="G72" s="340"/>
      <c r="H72" s="340"/>
      <c r="I72" s="340"/>
      <c r="J72" s="340"/>
      <c r="K72" s="340"/>
      <c r="L72" s="341"/>
      <c r="M72" s="348"/>
      <c r="N72" s="349"/>
      <c r="O72" s="349"/>
      <c r="P72" s="349"/>
      <c r="Q72" s="349"/>
      <c r="R72" s="349"/>
      <c r="S72" s="349"/>
      <c r="T72" s="349"/>
      <c r="U72" s="349"/>
      <c r="V72" s="349"/>
      <c r="W72" s="349"/>
      <c r="X72" s="349"/>
      <c r="Y72" s="349"/>
      <c r="Z72" s="349"/>
      <c r="AA72" s="349"/>
      <c r="AB72" s="349"/>
      <c r="AC72" s="349"/>
      <c r="AD72" s="349"/>
      <c r="AE72" s="349"/>
      <c r="AF72" s="349"/>
      <c r="AG72" s="349"/>
      <c r="AH72" s="349"/>
      <c r="AI72" s="349"/>
      <c r="AJ72" s="349"/>
      <c r="AK72" s="349"/>
      <c r="AL72" s="349"/>
      <c r="AM72" s="349"/>
      <c r="AN72" s="350"/>
    </row>
    <row r="73" spans="1:40" ht="25.5" customHeight="1">
      <c r="A73" s="339"/>
      <c r="B73" s="340"/>
      <c r="C73" s="340"/>
      <c r="D73" s="340"/>
      <c r="E73" s="340"/>
      <c r="F73" s="340"/>
      <c r="G73" s="340"/>
      <c r="H73" s="340"/>
      <c r="I73" s="340"/>
      <c r="J73" s="340"/>
      <c r="K73" s="340"/>
      <c r="L73" s="341"/>
      <c r="M73" s="348"/>
      <c r="N73" s="349"/>
      <c r="O73" s="349"/>
      <c r="P73" s="349"/>
      <c r="Q73" s="349"/>
      <c r="R73" s="349"/>
      <c r="S73" s="349"/>
      <c r="T73" s="349"/>
      <c r="U73" s="349"/>
      <c r="V73" s="349"/>
      <c r="W73" s="349"/>
      <c r="X73" s="349"/>
      <c r="Y73" s="349"/>
      <c r="Z73" s="349"/>
      <c r="AA73" s="349"/>
      <c r="AB73" s="349"/>
      <c r="AC73" s="349"/>
      <c r="AD73" s="349"/>
      <c r="AE73" s="349"/>
      <c r="AF73" s="349"/>
      <c r="AG73" s="349"/>
      <c r="AH73" s="349"/>
      <c r="AI73" s="349"/>
      <c r="AJ73" s="349"/>
      <c r="AK73" s="349"/>
      <c r="AL73" s="349"/>
      <c r="AM73" s="349"/>
      <c r="AN73" s="350"/>
    </row>
    <row r="74" spans="1:40" ht="26.25" customHeight="1" thickBot="1">
      <c r="A74" s="342"/>
      <c r="B74" s="343"/>
      <c r="C74" s="343"/>
      <c r="D74" s="343"/>
      <c r="E74" s="343"/>
      <c r="F74" s="343"/>
      <c r="G74" s="343"/>
      <c r="H74" s="343"/>
      <c r="I74" s="343"/>
      <c r="J74" s="343"/>
      <c r="K74" s="343"/>
      <c r="L74" s="344"/>
      <c r="M74" s="351"/>
      <c r="N74" s="352"/>
      <c r="O74" s="352"/>
      <c r="P74" s="352"/>
      <c r="Q74" s="352"/>
      <c r="R74" s="352"/>
      <c r="S74" s="352"/>
      <c r="T74" s="352"/>
      <c r="U74" s="352"/>
      <c r="V74" s="352"/>
      <c r="W74" s="352"/>
      <c r="X74" s="352"/>
      <c r="Y74" s="352"/>
      <c r="Z74" s="352"/>
      <c r="AA74" s="352"/>
      <c r="AB74" s="352"/>
      <c r="AC74" s="352"/>
      <c r="AD74" s="352"/>
      <c r="AE74" s="352"/>
      <c r="AF74" s="352"/>
      <c r="AG74" s="352"/>
      <c r="AH74" s="352"/>
      <c r="AI74" s="352"/>
      <c r="AJ74" s="352"/>
      <c r="AK74" s="352"/>
      <c r="AL74" s="352"/>
      <c r="AM74" s="352"/>
      <c r="AN74" s="353"/>
    </row>
    <row r="75" spans="1:40" ht="41.25" customHeight="1" thickBot="1">
      <c r="A75" s="331" t="s">
        <v>102</v>
      </c>
      <c r="B75" s="332"/>
      <c r="C75" s="332"/>
      <c r="D75" s="332"/>
      <c r="E75" s="332"/>
      <c r="F75" s="332"/>
      <c r="G75" s="332"/>
      <c r="H75" s="332"/>
      <c r="I75" s="332"/>
      <c r="J75" s="332"/>
      <c r="K75" s="332"/>
      <c r="L75" s="333"/>
      <c r="M75" s="334" t="s">
        <v>103</v>
      </c>
      <c r="N75" s="334"/>
      <c r="O75" s="334"/>
      <c r="P75" s="334"/>
      <c r="Q75" s="334"/>
      <c r="R75" s="334"/>
      <c r="S75" s="334"/>
      <c r="T75" s="334"/>
      <c r="U75" s="334"/>
      <c r="V75" s="334"/>
      <c r="W75" s="334"/>
      <c r="X75" s="334"/>
      <c r="Y75" s="334"/>
      <c r="Z75" s="334"/>
      <c r="AA75" s="334"/>
      <c r="AB75" s="334"/>
      <c r="AC75" s="334"/>
      <c r="AD75" s="334"/>
      <c r="AE75" s="334"/>
      <c r="AF75" s="334"/>
      <c r="AG75" s="334"/>
      <c r="AH75" s="334"/>
      <c r="AI75" s="334"/>
      <c r="AJ75" s="334"/>
      <c r="AK75" s="334"/>
      <c r="AL75" s="334"/>
      <c r="AM75" s="334"/>
      <c r="AN75" s="335"/>
    </row>
    <row r="76" spans="1:40" ht="30.75" customHeight="1">
      <c r="A76" s="313" t="str">
        <f>CONCATENATE(AN10,AN27)</f>
        <v/>
      </c>
      <c r="B76" s="314"/>
      <c r="C76" s="314"/>
      <c r="D76" s="314"/>
      <c r="E76" s="314"/>
      <c r="F76" s="314"/>
      <c r="G76" s="314"/>
      <c r="H76" s="314"/>
      <c r="I76" s="314"/>
      <c r="J76" s="314"/>
      <c r="K76" s="314"/>
      <c r="L76" s="315"/>
      <c r="M76" s="322"/>
      <c r="N76" s="323"/>
      <c r="O76" s="323"/>
      <c r="P76" s="323"/>
      <c r="Q76" s="323"/>
      <c r="R76" s="323"/>
      <c r="S76" s="323"/>
      <c r="T76" s="323"/>
      <c r="U76" s="323"/>
      <c r="V76" s="323"/>
      <c r="W76" s="323"/>
      <c r="X76" s="323"/>
      <c r="Y76" s="323"/>
      <c r="Z76" s="323"/>
      <c r="AA76" s="323"/>
      <c r="AB76" s="323"/>
      <c r="AC76" s="323"/>
      <c r="AD76" s="323"/>
      <c r="AE76" s="323"/>
      <c r="AF76" s="323"/>
      <c r="AG76" s="323"/>
      <c r="AH76" s="323"/>
      <c r="AI76" s="323"/>
      <c r="AJ76" s="323"/>
      <c r="AK76" s="323"/>
      <c r="AL76" s="323"/>
      <c r="AM76" s="323"/>
      <c r="AN76" s="324"/>
    </row>
    <row r="77" spans="1:40" ht="30.75" customHeight="1">
      <c r="A77" s="316"/>
      <c r="B77" s="317"/>
      <c r="C77" s="317"/>
      <c r="D77" s="317"/>
      <c r="E77" s="317"/>
      <c r="F77" s="317"/>
      <c r="G77" s="317"/>
      <c r="H77" s="317"/>
      <c r="I77" s="317"/>
      <c r="J77" s="317"/>
      <c r="K77" s="317"/>
      <c r="L77" s="318"/>
      <c r="M77" s="325"/>
      <c r="N77" s="326"/>
      <c r="O77" s="326"/>
      <c r="P77" s="326"/>
      <c r="Q77" s="326"/>
      <c r="R77" s="326"/>
      <c r="S77" s="326"/>
      <c r="T77" s="326"/>
      <c r="U77" s="326"/>
      <c r="V77" s="326"/>
      <c r="W77" s="326"/>
      <c r="X77" s="326"/>
      <c r="Y77" s="326"/>
      <c r="Z77" s="326"/>
      <c r="AA77" s="326"/>
      <c r="AB77" s="326"/>
      <c r="AC77" s="326"/>
      <c r="AD77" s="326"/>
      <c r="AE77" s="326"/>
      <c r="AF77" s="326"/>
      <c r="AG77" s="326"/>
      <c r="AH77" s="326"/>
      <c r="AI77" s="326"/>
      <c r="AJ77" s="326"/>
      <c r="AK77" s="326"/>
      <c r="AL77" s="326"/>
      <c r="AM77" s="326"/>
      <c r="AN77" s="327"/>
    </row>
    <row r="78" spans="1:40" ht="30.75" customHeight="1">
      <c r="A78" s="316"/>
      <c r="B78" s="317"/>
      <c r="C78" s="317"/>
      <c r="D78" s="317"/>
      <c r="E78" s="317"/>
      <c r="F78" s="317"/>
      <c r="G78" s="317"/>
      <c r="H78" s="317"/>
      <c r="I78" s="317"/>
      <c r="J78" s="317"/>
      <c r="K78" s="317"/>
      <c r="L78" s="318"/>
      <c r="M78" s="325"/>
      <c r="N78" s="326"/>
      <c r="O78" s="326"/>
      <c r="P78" s="326"/>
      <c r="Q78" s="326"/>
      <c r="R78" s="326"/>
      <c r="S78" s="326"/>
      <c r="T78" s="326"/>
      <c r="U78" s="326"/>
      <c r="V78" s="326"/>
      <c r="W78" s="326"/>
      <c r="X78" s="326"/>
      <c r="Y78" s="326"/>
      <c r="Z78" s="326"/>
      <c r="AA78" s="326"/>
      <c r="AB78" s="326"/>
      <c r="AC78" s="326"/>
      <c r="AD78" s="326"/>
      <c r="AE78" s="326"/>
      <c r="AF78" s="326"/>
      <c r="AG78" s="326"/>
      <c r="AH78" s="326"/>
      <c r="AI78" s="326"/>
      <c r="AJ78" s="326"/>
      <c r="AK78" s="326"/>
      <c r="AL78" s="326"/>
      <c r="AM78" s="326"/>
      <c r="AN78" s="327"/>
    </row>
    <row r="79" spans="1:40" ht="30.75" customHeight="1">
      <c r="A79" s="316"/>
      <c r="B79" s="317"/>
      <c r="C79" s="317"/>
      <c r="D79" s="317"/>
      <c r="E79" s="317"/>
      <c r="F79" s="317"/>
      <c r="G79" s="317"/>
      <c r="H79" s="317"/>
      <c r="I79" s="317"/>
      <c r="J79" s="317"/>
      <c r="K79" s="317"/>
      <c r="L79" s="318"/>
      <c r="M79" s="325"/>
      <c r="N79" s="326"/>
      <c r="O79" s="326"/>
      <c r="P79" s="326"/>
      <c r="Q79" s="326"/>
      <c r="R79" s="326"/>
      <c r="S79" s="326"/>
      <c r="T79" s="326"/>
      <c r="U79" s="326"/>
      <c r="V79" s="326"/>
      <c r="W79" s="326"/>
      <c r="X79" s="326"/>
      <c r="Y79" s="326"/>
      <c r="Z79" s="326"/>
      <c r="AA79" s="326"/>
      <c r="AB79" s="326"/>
      <c r="AC79" s="326"/>
      <c r="AD79" s="326"/>
      <c r="AE79" s="326"/>
      <c r="AF79" s="326"/>
      <c r="AG79" s="326"/>
      <c r="AH79" s="326"/>
      <c r="AI79" s="326"/>
      <c r="AJ79" s="326"/>
      <c r="AK79" s="326"/>
      <c r="AL79" s="326"/>
      <c r="AM79" s="326"/>
      <c r="AN79" s="327"/>
    </row>
    <row r="80" spans="1:40" ht="30.75" customHeight="1">
      <c r="A80" s="316"/>
      <c r="B80" s="317"/>
      <c r="C80" s="317"/>
      <c r="D80" s="317"/>
      <c r="E80" s="317"/>
      <c r="F80" s="317"/>
      <c r="G80" s="317"/>
      <c r="H80" s="317"/>
      <c r="I80" s="317"/>
      <c r="J80" s="317"/>
      <c r="K80" s="317"/>
      <c r="L80" s="318"/>
      <c r="M80" s="325"/>
      <c r="N80" s="326"/>
      <c r="O80" s="326"/>
      <c r="P80" s="326"/>
      <c r="Q80" s="326"/>
      <c r="R80" s="326"/>
      <c r="S80" s="326"/>
      <c r="T80" s="326"/>
      <c r="U80" s="326"/>
      <c r="V80" s="326"/>
      <c r="W80" s="326"/>
      <c r="X80" s="326"/>
      <c r="Y80" s="326"/>
      <c r="Z80" s="326"/>
      <c r="AA80" s="326"/>
      <c r="AB80" s="326"/>
      <c r="AC80" s="326"/>
      <c r="AD80" s="326"/>
      <c r="AE80" s="326"/>
      <c r="AF80" s="326"/>
      <c r="AG80" s="326"/>
      <c r="AH80" s="326"/>
      <c r="AI80" s="326"/>
      <c r="AJ80" s="326"/>
      <c r="AK80" s="326"/>
      <c r="AL80" s="326"/>
      <c r="AM80" s="326"/>
      <c r="AN80" s="327"/>
    </row>
    <row r="81" spans="1:40" ht="30.75" customHeight="1">
      <c r="A81" s="316"/>
      <c r="B81" s="317"/>
      <c r="C81" s="317"/>
      <c r="D81" s="317"/>
      <c r="E81" s="317"/>
      <c r="F81" s="317"/>
      <c r="G81" s="317"/>
      <c r="H81" s="317"/>
      <c r="I81" s="317"/>
      <c r="J81" s="317"/>
      <c r="K81" s="317"/>
      <c r="L81" s="318"/>
      <c r="M81" s="325"/>
      <c r="N81" s="326"/>
      <c r="O81" s="326"/>
      <c r="P81" s="326"/>
      <c r="Q81" s="326"/>
      <c r="R81" s="326"/>
      <c r="S81" s="326"/>
      <c r="T81" s="326"/>
      <c r="U81" s="326"/>
      <c r="V81" s="326"/>
      <c r="W81" s="326"/>
      <c r="X81" s="326"/>
      <c r="Y81" s="326"/>
      <c r="Z81" s="326"/>
      <c r="AA81" s="326"/>
      <c r="AB81" s="326"/>
      <c r="AC81" s="326"/>
      <c r="AD81" s="326"/>
      <c r="AE81" s="326"/>
      <c r="AF81" s="326"/>
      <c r="AG81" s="326"/>
      <c r="AH81" s="326"/>
      <c r="AI81" s="326"/>
      <c r="AJ81" s="326"/>
      <c r="AK81" s="326"/>
      <c r="AL81" s="326"/>
      <c r="AM81" s="326"/>
      <c r="AN81" s="327"/>
    </row>
    <row r="82" spans="1:40" ht="30.75" customHeight="1">
      <c r="A82" s="316"/>
      <c r="B82" s="317"/>
      <c r="C82" s="317"/>
      <c r="D82" s="317"/>
      <c r="E82" s="317"/>
      <c r="F82" s="317"/>
      <c r="G82" s="317"/>
      <c r="H82" s="317"/>
      <c r="I82" s="317"/>
      <c r="J82" s="317"/>
      <c r="K82" s="317"/>
      <c r="L82" s="318"/>
      <c r="M82" s="325"/>
      <c r="N82" s="326"/>
      <c r="O82" s="326"/>
      <c r="P82" s="326"/>
      <c r="Q82" s="326"/>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7"/>
    </row>
    <row r="83" spans="1:40" ht="30.75" customHeight="1">
      <c r="A83" s="316"/>
      <c r="B83" s="317"/>
      <c r="C83" s="317"/>
      <c r="D83" s="317"/>
      <c r="E83" s="317"/>
      <c r="F83" s="317"/>
      <c r="G83" s="317"/>
      <c r="H83" s="317"/>
      <c r="I83" s="317"/>
      <c r="J83" s="317"/>
      <c r="K83" s="317"/>
      <c r="L83" s="318"/>
      <c r="M83" s="325"/>
      <c r="N83" s="326"/>
      <c r="O83" s="326"/>
      <c r="P83" s="326"/>
      <c r="Q83" s="326"/>
      <c r="R83" s="326"/>
      <c r="S83" s="326"/>
      <c r="T83" s="326"/>
      <c r="U83" s="326"/>
      <c r="V83" s="326"/>
      <c r="W83" s="326"/>
      <c r="X83" s="326"/>
      <c r="Y83" s="326"/>
      <c r="Z83" s="326"/>
      <c r="AA83" s="326"/>
      <c r="AB83" s="326"/>
      <c r="AC83" s="326"/>
      <c r="AD83" s="326"/>
      <c r="AE83" s="326"/>
      <c r="AF83" s="326"/>
      <c r="AG83" s="326"/>
      <c r="AH83" s="326"/>
      <c r="AI83" s="326"/>
      <c r="AJ83" s="326"/>
      <c r="AK83" s="326"/>
      <c r="AL83" s="326"/>
      <c r="AM83" s="326"/>
      <c r="AN83" s="327"/>
    </row>
    <row r="84" spans="1:40" ht="30.75" customHeight="1">
      <c r="A84" s="316"/>
      <c r="B84" s="317"/>
      <c r="C84" s="317"/>
      <c r="D84" s="317"/>
      <c r="E84" s="317"/>
      <c r="F84" s="317"/>
      <c r="G84" s="317"/>
      <c r="H84" s="317"/>
      <c r="I84" s="317"/>
      <c r="J84" s="317"/>
      <c r="K84" s="317"/>
      <c r="L84" s="318"/>
      <c r="M84" s="325"/>
      <c r="N84" s="326"/>
      <c r="O84" s="326"/>
      <c r="P84" s="326"/>
      <c r="Q84" s="326"/>
      <c r="R84" s="326"/>
      <c r="S84" s="326"/>
      <c r="T84" s="326"/>
      <c r="U84" s="326"/>
      <c r="V84" s="326"/>
      <c r="W84" s="326"/>
      <c r="X84" s="326"/>
      <c r="Y84" s="326"/>
      <c r="Z84" s="326"/>
      <c r="AA84" s="326"/>
      <c r="AB84" s="326"/>
      <c r="AC84" s="326"/>
      <c r="AD84" s="326"/>
      <c r="AE84" s="326"/>
      <c r="AF84" s="326"/>
      <c r="AG84" s="326"/>
      <c r="AH84" s="326"/>
      <c r="AI84" s="326"/>
      <c r="AJ84" s="326"/>
      <c r="AK84" s="326"/>
      <c r="AL84" s="326"/>
      <c r="AM84" s="326"/>
      <c r="AN84" s="327"/>
    </row>
    <row r="85" spans="1:40" ht="30.75" customHeight="1">
      <c r="A85" s="316"/>
      <c r="B85" s="317"/>
      <c r="C85" s="317"/>
      <c r="D85" s="317"/>
      <c r="E85" s="317"/>
      <c r="F85" s="317"/>
      <c r="G85" s="317"/>
      <c r="H85" s="317"/>
      <c r="I85" s="317"/>
      <c r="J85" s="317"/>
      <c r="K85" s="317"/>
      <c r="L85" s="318"/>
      <c r="M85" s="325"/>
      <c r="N85" s="326"/>
      <c r="O85" s="326"/>
      <c r="P85" s="326"/>
      <c r="Q85" s="326"/>
      <c r="R85" s="326"/>
      <c r="S85" s="326"/>
      <c r="T85" s="326"/>
      <c r="U85" s="326"/>
      <c r="V85" s="326"/>
      <c r="W85" s="326"/>
      <c r="X85" s="326"/>
      <c r="Y85" s="326"/>
      <c r="Z85" s="326"/>
      <c r="AA85" s="326"/>
      <c r="AB85" s="326"/>
      <c r="AC85" s="326"/>
      <c r="AD85" s="326"/>
      <c r="AE85" s="326"/>
      <c r="AF85" s="326"/>
      <c r="AG85" s="326"/>
      <c r="AH85" s="326"/>
      <c r="AI85" s="326"/>
      <c r="AJ85" s="326"/>
      <c r="AK85" s="326"/>
      <c r="AL85" s="326"/>
      <c r="AM85" s="326"/>
      <c r="AN85" s="327"/>
    </row>
    <row r="86" spans="1:40" ht="30.75" customHeight="1">
      <c r="A86" s="316"/>
      <c r="B86" s="317"/>
      <c r="C86" s="317"/>
      <c r="D86" s="317"/>
      <c r="E86" s="317"/>
      <c r="F86" s="317"/>
      <c r="G86" s="317"/>
      <c r="H86" s="317"/>
      <c r="I86" s="317"/>
      <c r="J86" s="317"/>
      <c r="K86" s="317"/>
      <c r="L86" s="318"/>
      <c r="M86" s="325"/>
      <c r="N86" s="326"/>
      <c r="O86" s="326"/>
      <c r="P86" s="326"/>
      <c r="Q86" s="326"/>
      <c r="R86" s="326"/>
      <c r="S86" s="326"/>
      <c r="T86" s="326"/>
      <c r="U86" s="326"/>
      <c r="V86" s="326"/>
      <c r="W86" s="326"/>
      <c r="X86" s="326"/>
      <c r="Y86" s="326"/>
      <c r="Z86" s="326"/>
      <c r="AA86" s="326"/>
      <c r="AB86" s="326"/>
      <c r="AC86" s="326"/>
      <c r="AD86" s="326"/>
      <c r="AE86" s="326"/>
      <c r="AF86" s="326"/>
      <c r="AG86" s="326"/>
      <c r="AH86" s="326"/>
      <c r="AI86" s="326"/>
      <c r="AJ86" s="326"/>
      <c r="AK86" s="326"/>
      <c r="AL86" s="326"/>
      <c r="AM86" s="326"/>
      <c r="AN86" s="327"/>
    </row>
    <row r="87" spans="1:40" ht="30.75" customHeight="1">
      <c r="A87" s="316"/>
      <c r="B87" s="317"/>
      <c r="C87" s="317"/>
      <c r="D87" s="317"/>
      <c r="E87" s="317"/>
      <c r="F87" s="317"/>
      <c r="G87" s="317"/>
      <c r="H87" s="317"/>
      <c r="I87" s="317"/>
      <c r="J87" s="317"/>
      <c r="K87" s="317"/>
      <c r="L87" s="318"/>
      <c r="M87" s="325"/>
      <c r="N87" s="326"/>
      <c r="O87" s="326"/>
      <c r="P87" s="326"/>
      <c r="Q87" s="326"/>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7"/>
    </row>
    <row r="88" spans="1:40" ht="30.75" customHeight="1">
      <c r="A88" s="316"/>
      <c r="B88" s="317"/>
      <c r="C88" s="317"/>
      <c r="D88" s="317"/>
      <c r="E88" s="317"/>
      <c r="F88" s="317"/>
      <c r="G88" s="317"/>
      <c r="H88" s="317"/>
      <c r="I88" s="317"/>
      <c r="J88" s="317"/>
      <c r="K88" s="317"/>
      <c r="L88" s="318"/>
      <c r="M88" s="325"/>
      <c r="N88" s="326"/>
      <c r="O88" s="326"/>
      <c r="P88" s="326"/>
      <c r="Q88" s="326"/>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7"/>
    </row>
    <row r="89" spans="1:40" ht="30.75" customHeight="1">
      <c r="A89" s="316"/>
      <c r="B89" s="317"/>
      <c r="C89" s="317"/>
      <c r="D89" s="317"/>
      <c r="E89" s="317"/>
      <c r="F89" s="317"/>
      <c r="G89" s="317"/>
      <c r="H89" s="317"/>
      <c r="I89" s="317"/>
      <c r="J89" s="317"/>
      <c r="K89" s="317"/>
      <c r="L89" s="318"/>
      <c r="M89" s="325"/>
      <c r="N89" s="326"/>
      <c r="O89" s="326"/>
      <c r="P89" s="326"/>
      <c r="Q89" s="326"/>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7"/>
    </row>
    <row r="90" spans="1:40" ht="30.75" customHeight="1">
      <c r="A90" s="316"/>
      <c r="B90" s="317"/>
      <c r="C90" s="317"/>
      <c r="D90" s="317"/>
      <c r="E90" s="317"/>
      <c r="F90" s="317"/>
      <c r="G90" s="317"/>
      <c r="H90" s="317"/>
      <c r="I90" s="317"/>
      <c r="J90" s="317"/>
      <c r="K90" s="317"/>
      <c r="L90" s="318"/>
      <c r="M90" s="325"/>
      <c r="N90" s="326"/>
      <c r="O90" s="326"/>
      <c r="P90" s="326"/>
      <c r="Q90" s="326"/>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7"/>
    </row>
    <row r="91" spans="1:40" ht="30.75" customHeight="1">
      <c r="A91" s="316"/>
      <c r="B91" s="317"/>
      <c r="C91" s="317"/>
      <c r="D91" s="317"/>
      <c r="E91" s="317"/>
      <c r="F91" s="317"/>
      <c r="G91" s="317"/>
      <c r="H91" s="317"/>
      <c r="I91" s="317"/>
      <c r="J91" s="317"/>
      <c r="K91" s="317"/>
      <c r="L91" s="318"/>
      <c r="M91" s="325"/>
      <c r="N91" s="326"/>
      <c r="O91" s="326"/>
      <c r="P91" s="326"/>
      <c r="Q91" s="326"/>
      <c r="R91" s="326"/>
      <c r="S91" s="326"/>
      <c r="T91" s="326"/>
      <c r="U91" s="326"/>
      <c r="V91" s="326"/>
      <c r="W91" s="326"/>
      <c r="X91" s="326"/>
      <c r="Y91" s="326"/>
      <c r="Z91" s="326"/>
      <c r="AA91" s="326"/>
      <c r="AB91" s="326"/>
      <c r="AC91" s="326"/>
      <c r="AD91" s="326"/>
      <c r="AE91" s="326"/>
      <c r="AF91" s="326"/>
      <c r="AG91" s="326"/>
      <c r="AH91" s="326"/>
      <c r="AI91" s="326"/>
      <c r="AJ91" s="326"/>
      <c r="AK91" s="326"/>
      <c r="AL91" s="326"/>
      <c r="AM91" s="326"/>
      <c r="AN91" s="327"/>
    </row>
    <row r="92" spans="1:40" ht="30.75" customHeight="1">
      <c r="A92" s="316"/>
      <c r="B92" s="317"/>
      <c r="C92" s="317"/>
      <c r="D92" s="317"/>
      <c r="E92" s="317"/>
      <c r="F92" s="317"/>
      <c r="G92" s="317"/>
      <c r="H92" s="317"/>
      <c r="I92" s="317"/>
      <c r="J92" s="317"/>
      <c r="K92" s="317"/>
      <c r="L92" s="318"/>
      <c r="M92" s="325"/>
      <c r="N92" s="326"/>
      <c r="O92" s="326"/>
      <c r="P92" s="326"/>
      <c r="Q92" s="326"/>
      <c r="R92" s="326"/>
      <c r="S92" s="326"/>
      <c r="T92" s="326"/>
      <c r="U92" s="326"/>
      <c r="V92" s="326"/>
      <c r="W92" s="326"/>
      <c r="X92" s="326"/>
      <c r="Y92" s="326"/>
      <c r="Z92" s="326"/>
      <c r="AA92" s="326"/>
      <c r="AB92" s="326"/>
      <c r="AC92" s="326"/>
      <c r="AD92" s="326"/>
      <c r="AE92" s="326"/>
      <c r="AF92" s="326"/>
      <c r="AG92" s="326"/>
      <c r="AH92" s="326"/>
      <c r="AI92" s="326"/>
      <c r="AJ92" s="326"/>
      <c r="AK92" s="326"/>
      <c r="AL92" s="326"/>
      <c r="AM92" s="326"/>
      <c r="AN92" s="327"/>
    </row>
    <row r="93" spans="1:40" ht="30.75" customHeight="1">
      <c r="A93" s="316"/>
      <c r="B93" s="317"/>
      <c r="C93" s="317"/>
      <c r="D93" s="317"/>
      <c r="E93" s="317"/>
      <c r="F93" s="317"/>
      <c r="G93" s="317"/>
      <c r="H93" s="317"/>
      <c r="I93" s="317"/>
      <c r="J93" s="317"/>
      <c r="K93" s="317"/>
      <c r="L93" s="318"/>
      <c r="M93" s="325"/>
      <c r="N93" s="326"/>
      <c r="O93" s="326"/>
      <c r="P93" s="326"/>
      <c r="Q93" s="326"/>
      <c r="R93" s="326"/>
      <c r="S93" s="326"/>
      <c r="T93" s="326"/>
      <c r="U93" s="326"/>
      <c r="V93" s="326"/>
      <c r="W93" s="326"/>
      <c r="X93" s="326"/>
      <c r="Y93" s="326"/>
      <c r="Z93" s="326"/>
      <c r="AA93" s="326"/>
      <c r="AB93" s="326"/>
      <c r="AC93" s="326"/>
      <c r="AD93" s="326"/>
      <c r="AE93" s="326"/>
      <c r="AF93" s="326"/>
      <c r="AG93" s="326"/>
      <c r="AH93" s="326"/>
      <c r="AI93" s="326"/>
      <c r="AJ93" s="326"/>
      <c r="AK93" s="326"/>
      <c r="AL93" s="326"/>
      <c r="AM93" s="326"/>
      <c r="AN93" s="327"/>
    </row>
    <row r="94" spans="1:40" ht="30.75" customHeight="1">
      <c r="A94" s="316"/>
      <c r="B94" s="317"/>
      <c r="C94" s="317"/>
      <c r="D94" s="317"/>
      <c r="E94" s="317"/>
      <c r="F94" s="317"/>
      <c r="G94" s="317"/>
      <c r="H94" s="317"/>
      <c r="I94" s="317"/>
      <c r="J94" s="317"/>
      <c r="K94" s="317"/>
      <c r="L94" s="318"/>
      <c r="M94" s="325"/>
      <c r="N94" s="326"/>
      <c r="O94" s="326"/>
      <c r="P94" s="326"/>
      <c r="Q94" s="326"/>
      <c r="R94" s="326"/>
      <c r="S94" s="326"/>
      <c r="T94" s="326"/>
      <c r="U94" s="326"/>
      <c r="V94" s="326"/>
      <c r="W94" s="326"/>
      <c r="X94" s="326"/>
      <c r="Y94" s="326"/>
      <c r="Z94" s="326"/>
      <c r="AA94" s="326"/>
      <c r="AB94" s="326"/>
      <c r="AC94" s="326"/>
      <c r="AD94" s="326"/>
      <c r="AE94" s="326"/>
      <c r="AF94" s="326"/>
      <c r="AG94" s="326"/>
      <c r="AH94" s="326"/>
      <c r="AI94" s="326"/>
      <c r="AJ94" s="326"/>
      <c r="AK94" s="326"/>
      <c r="AL94" s="326"/>
      <c r="AM94" s="326"/>
      <c r="AN94" s="327"/>
    </row>
    <row r="95" spans="1:40" ht="30.75" customHeight="1">
      <c r="A95" s="316"/>
      <c r="B95" s="317"/>
      <c r="C95" s="317"/>
      <c r="D95" s="317"/>
      <c r="E95" s="317"/>
      <c r="F95" s="317"/>
      <c r="G95" s="317"/>
      <c r="H95" s="317"/>
      <c r="I95" s="317"/>
      <c r="J95" s="317"/>
      <c r="K95" s="317"/>
      <c r="L95" s="318"/>
      <c r="M95" s="325"/>
      <c r="N95" s="326"/>
      <c r="O95" s="326"/>
      <c r="P95" s="326"/>
      <c r="Q95" s="326"/>
      <c r="R95" s="326"/>
      <c r="S95" s="326"/>
      <c r="T95" s="326"/>
      <c r="U95" s="326"/>
      <c r="V95" s="326"/>
      <c r="W95" s="326"/>
      <c r="X95" s="326"/>
      <c r="Y95" s="326"/>
      <c r="Z95" s="326"/>
      <c r="AA95" s="326"/>
      <c r="AB95" s="326"/>
      <c r="AC95" s="326"/>
      <c r="AD95" s="326"/>
      <c r="AE95" s="326"/>
      <c r="AF95" s="326"/>
      <c r="AG95" s="326"/>
      <c r="AH95" s="326"/>
      <c r="AI95" s="326"/>
      <c r="AJ95" s="326"/>
      <c r="AK95" s="326"/>
      <c r="AL95" s="326"/>
      <c r="AM95" s="326"/>
      <c r="AN95" s="327"/>
    </row>
    <row r="96" spans="1:40" ht="30.75" customHeight="1">
      <c r="A96" s="316"/>
      <c r="B96" s="317"/>
      <c r="C96" s="317"/>
      <c r="D96" s="317"/>
      <c r="E96" s="317"/>
      <c r="F96" s="317"/>
      <c r="G96" s="317"/>
      <c r="H96" s="317"/>
      <c r="I96" s="317"/>
      <c r="J96" s="317"/>
      <c r="K96" s="317"/>
      <c r="L96" s="318"/>
      <c r="M96" s="325"/>
      <c r="N96" s="326"/>
      <c r="O96" s="326"/>
      <c r="P96" s="326"/>
      <c r="Q96" s="326"/>
      <c r="R96" s="326"/>
      <c r="S96" s="326"/>
      <c r="T96" s="326"/>
      <c r="U96" s="326"/>
      <c r="V96" s="326"/>
      <c r="W96" s="326"/>
      <c r="X96" s="326"/>
      <c r="Y96" s="326"/>
      <c r="Z96" s="326"/>
      <c r="AA96" s="326"/>
      <c r="AB96" s="326"/>
      <c r="AC96" s="326"/>
      <c r="AD96" s="326"/>
      <c r="AE96" s="326"/>
      <c r="AF96" s="326"/>
      <c r="AG96" s="326"/>
      <c r="AH96" s="326"/>
      <c r="AI96" s="326"/>
      <c r="AJ96" s="326"/>
      <c r="AK96" s="326"/>
      <c r="AL96" s="326"/>
      <c r="AM96" s="326"/>
      <c r="AN96" s="327"/>
    </row>
    <row r="97" spans="1:40" ht="30.75" customHeight="1">
      <c r="A97" s="316"/>
      <c r="B97" s="317"/>
      <c r="C97" s="317"/>
      <c r="D97" s="317"/>
      <c r="E97" s="317"/>
      <c r="F97" s="317"/>
      <c r="G97" s="317"/>
      <c r="H97" s="317"/>
      <c r="I97" s="317"/>
      <c r="J97" s="317"/>
      <c r="K97" s="317"/>
      <c r="L97" s="318"/>
      <c r="M97" s="325"/>
      <c r="N97" s="326"/>
      <c r="O97" s="326"/>
      <c r="P97" s="326"/>
      <c r="Q97" s="326"/>
      <c r="R97" s="326"/>
      <c r="S97" s="326"/>
      <c r="T97" s="326"/>
      <c r="U97" s="326"/>
      <c r="V97" s="326"/>
      <c r="W97" s="326"/>
      <c r="X97" s="326"/>
      <c r="Y97" s="326"/>
      <c r="Z97" s="326"/>
      <c r="AA97" s="326"/>
      <c r="AB97" s="326"/>
      <c r="AC97" s="326"/>
      <c r="AD97" s="326"/>
      <c r="AE97" s="326"/>
      <c r="AF97" s="326"/>
      <c r="AG97" s="326"/>
      <c r="AH97" s="326"/>
      <c r="AI97" s="326"/>
      <c r="AJ97" s="326"/>
      <c r="AK97" s="326"/>
      <c r="AL97" s="326"/>
      <c r="AM97" s="326"/>
      <c r="AN97" s="327"/>
    </row>
    <row r="98" spans="1:40" ht="30.75" customHeight="1">
      <c r="A98" s="316"/>
      <c r="B98" s="317"/>
      <c r="C98" s="317"/>
      <c r="D98" s="317"/>
      <c r="E98" s="317"/>
      <c r="F98" s="317"/>
      <c r="G98" s="317"/>
      <c r="H98" s="317"/>
      <c r="I98" s="317"/>
      <c r="J98" s="317"/>
      <c r="K98" s="317"/>
      <c r="L98" s="318"/>
      <c r="M98" s="325"/>
      <c r="N98" s="326"/>
      <c r="O98" s="326"/>
      <c r="P98" s="326"/>
      <c r="Q98" s="326"/>
      <c r="R98" s="326"/>
      <c r="S98" s="326"/>
      <c r="T98" s="326"/>
      <c r="U98" s="326"/>
      <c r="V98" s="326"/>
      <c r="W98" s="326"/>
      <c r="X98" s="326"/>
      <c r="Y98" s="326"/>
      <c r="Z98" s="326"/>
      <c r="AA98" s="326"/>
      <c r="AB98" s="326"/>
      <c r="AC98" s="326"/>
      <c r="AD98" s="326"/>
      <c r="AE98" s="326"/>
      <c r="AF98" s="326"/>
      <c r="AG98" s="326"/>
      <c r="AH98" s="326"/>
      <c r="AI98" s="326"/>
      <c r="AJ98" s="326"/>
      <c r="AK98" s="326"/>
      <c r="AL98" s="326"/>
      <c r="AM98" s="326"/>
      <c r="AN98" s="327"/>
    </row>
    <row r="99" spans="1:40" ht="30.75" customHeight="1">
      <c r="A99" s="316"/>
      <c r="B99" s="317"/>
      <c r="C99" s="317"/>
      <c r="D99" s="317"/>
      <c r="E99" s="317"/>
      <c r="F99" s="317"/>
      <c r="G99" s="317"/>
      <c r="H99" s="317"/>
      <c r="I99" s="317"/>
      <c r="J99" s="317"/>
      <c r="K99" s="317"/>
      <c r="L99" s="318"/>
      <c r="M99" s="325"/>
      <c r="N99" s="326"/>
      <c r="O99" s="326"/>
      <c r="P99" s="326"/>
      <c r="Q99" s="326"/>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7"/>
    </row>
    <row r="100" spans="1:40" ht="30.75" customHeight="1">
      <c r="A100" s="316"/>
      <c r="B100" s="317"/>
      <c r="C100" s="317"/>
      <c r="D100" s="317"/>
      <c r="E100" s="317"/>
      <c r="F100" s="317"/>
      <c r="G100" s="317"/>
      <c r="H100" s="317"/>
      <c r="I100" s="317"/>
      <c r="J100" s="317"/>
      <c r="K100" s="317"/>
      <c r="L100" s="318"/>
      <c r="M100" s="325"/>
      <c r="N100" s="326"/>
      <c r="O100" s="326"/>
      <c r="P100" s="326"/>
      <c r="Q100" s="326"/>
      <c r="R100" s="326"/>
      <c r="S100" s="326"/>
      <c r="T100" s="326"/>
      <c r="U100" s="326"/>
      <c r="V100" s="326"/>
      <c r="W100" s="326"/>
      <c r="X100" s="326"/>
      <c r="Y100" s="326"/>
      <c r="Z100" s="326"/>
      <c r="AA100" s="326"/>
      <c r="AB100" s="326"/>
      <c r="AC100" s="326"/>
      <c r="AD100" s="326"/>
      <c r="AE100" s="326"/>
      <c r="AF100" s="326"/>
      <c r="AG100" s="326"/>
      <c r="AH100" s="326"/>
      <c r="AI100" s="326"/>
      <c r="AJ100" s="326"/>
      <c r="AK100" s="326"/>
      <c r="AL100" s="326"/>
      <c r="AM100" s="326"/>
      <c r="AN100" s="327"/>
    </row>
    <row r="101" spans="1:40" ht="30.75" customHeight="1">
      <c r="A101" s="316"/>
      <c r="B101" s="317"/>
      <c r="C101" s="317"/>
      <c r="D101" s="317"/>
      <c r="E101" s="317"/>
      <c r="F101" s="317"/>
      <c r="G101" s="317"/>
      <c r="H101" s="317"/>
      <c r="I101" s="317"/>
      <c r="J101" s="317"/>
      <c r="K101" s="317"/>
      <c r="L101" s="318"/>
      <c r="M101" s="325"/>
      <c r="N101" s="326"/>
      <c r="O101" s="326"/>
      <c r="P101" s="326"/>
      <c r="Q101" s="326"/>
      <c r="R101" s="326"/>
      <c r="S101" s="326"/>
      <c r="T101" s="326"/>
      <c r="U101" s="326"/>
      <c r="V101" s="326"/>
      <c r="W101" s="326"/>
      <c r="X101" s="326"/>
      <c r="Y101" s="326"/>
      <c r="Z101" s="326"/>
      <c r="AA101" s="326"/>
      <c r="AB101" s="326"/>
      <c r="AC101" s="326"/>
      <c r="AD101" s="326"/>
      <c r="AE101" s="326"/>
      <c r="AF101" s="326"/>
      <c r="AG101" s="326"/>
      <c r="AH101" s="326"/>
      <c r="AI101" s="326"/>
      <c r="AJ101" s="326"/>
      <c r="AK101" s="326"/>
      <c r="AL101" s="326"/>
      <c r="AM101" s="326"/>
      <c r="AN101" s="327"/>
    </row>
    <row r="102" spans="1:40" ht="30.75" customHeight="1">
      <c r="A102" s="316"/>
      <c r="B102" s="317"/>
      <c r="C102" s="317"/>
      <c r="D102" s="317"/>
      <c r="E102" s="317"/>
      <c r="F102" s="317"/>
      <c r="G102" s="317"/>
      <c r="H102" s="317"/>
      <c r="I102" s="317"/>
      <c r="J102" s="317"/>
      <c r="K102" s="317"/>
      <c r="L102" s="318"/>
      <c r="M102" s="325"/>
      <c r="N102" s="326"/>
      <c r="O102" s="326"/>
      <c r="P102" s="326"/>
      <c r="Q102" s="326"/>
      <c r="R102" s="326"/>
      <c r="S102" s="326"/>
      <c r="T102" s="326"/>
      <c r="U102" s="326"/>
      <c r="V102" s="326"/>
      <c r="W102" s="326"/>
      <c r="X102" s="326"/>
      <c r="Y102" s="326"/>
      <c r="Z102" s="326"/>
      <c r="AA102" s="326"/>
      <c r="AB102" s="326"/>
      <c r="AC102" s="326"/>
      <c r="AD102" s="326"/>
      <c r="AE102" s="326"/>
      <c r="AF102" s="326"/>
      <c r="AG102" s="326"/>
      <c r="AH102" s="326"/>
      <c r="AI102" s="326"/>
      <c r="AJ102" s="326"/>
      <c r="AK102" s="326"/>
      <c r="AL102" s="326"/>
      <c r="AM102" s="326"/>
      <c r="AN102" s="327"/>
    </row>
    <row r="103" spans="1:40" ht="30.75" customHeight="1">
      <c r="A103" s="316"/>
      <c r="B103" s="317"/>
      <c r="C103" s="317"/>
      <c r="D103" s="317"/>
      <c r="E103" s="317"/>
      <c r="F103" s="317"/>
      <c r="G103" s="317"/>
      <c r="H103" s="317"/>
      <c r="I103" s="317"/>
      <c r="J103" s="317"/>
      <c r="K103" s="317"/>
      <c r="L103" s="318"/>
      <c r="M103" s="325"/>
      <c r="N103" s="326"/>
      <c r="O103" s="326"/>
      <c r="P103" s="326"/>
      <c r="Q103" s="326"/>
      <c r="R103" s="326"/>
      <c r="S103" s="326"/>
      <c r="T103" s="326"/>
      <c r="U103" s="326"/>
      <c r="V103" s="326"/>
      <c r="W103" s="326"/>
      <c r="X103" s="326"/>
      <c r="Y103" s="326"/>
      <c r="Z103" s="326"/>
      <c r="AA103" s="326"/>
      <c r="AB103" s="326"/>
      <c r="AC103" s="326"/>
      <c r="AD103" s="326"/>
      <c r="AE103" s="326"/>
      <c r="AF103" s="326"/>
      <c r="AG103" s="326"/>
      <c r="AH103" s="326"/>
      <c r="AI103" s="326"/>
      <c r="AJ103" s="326"/>
      <c r="AK103" s="326"/>
      <c r="AL103" s="326"/>
      <c r="AM103" s="326"/>
      <c r="AN103" s="327"/>
    </row>
    <row r="104" spans="1:40" ht="30.75" customHeight="1">
      <c r="A104" s="316"/>
      <c r="B104" s="317"/>
      <c r="C104" s="317"/>
      <c r="D104" s="317"/>
      <c r="E104" s="317"/>
      <c r="F104" s="317"/>
      <c r="G104" s="317"/>
      <c r="H104" s="317"/>
      <c r="I104" s="317"/>
      <c r="J104" s="317"/>
      <c r="K104" s="317"/>
      <c r="L104" s="318"/>
      <c r="M104" s="325"/>
      <c r="N104" s="326"/>
      <c r="O104" s="326"/>
      <c r="P104" s="326"/>
      <c r="Q104" s="326"/>
      <c r="R104" s="326"/>
      <c r="S104" s="326"/>
      <c r="T104" s="326"/>
      <c r="U104" s="326"/>
      <c r="V104" s="326"/>
      <c r="W104" s="326"/>
      <c r="X104" s="326"/>
      <c r="Y104" s="326"/>
      <c r="Z104" s="326"/>
      <c r="AA104" s="326"/>
      <c r="AB104" s="326"/>
      <c r="AC104" s="326"/>
      <c r="AD104" s="326"/>
      <c r="AE104" s="326"/>
      <c r="AF104" s="326"/>
      <c r="AG104" s="326"/>
      <c r="AH104" s="326"/>
      <c r="AI104" s="326"/>
      <c r="AJ104" s="326"/>
      <c r="AK104" s="326"/>
      <c r="AL104" s="326"/>
      <c r="AM104" s="326"/>
      <c r="AN104" s="327"/>
    </row>
    <row r="105" spans="1:40" ht="30.75" customHeight="1" thickBot="1">
      <c r="A105" s="319"/>
      <c r="B105" s="320"/>
      <c r="C105" s="320"/>
      <c r="D105" s="320"/>
      <c r="E105" s="320"/>
      <c r="F105" s="320"/>
      <c r="G105" s="320"/>
      <c r="H105" s="320"/>
      <c r="I105" s="320"/>
      <c r="J105" s="320"/>
      <c r="K105" s="320"/>
      <c r="L105" s="321"/>
      <c r="M105" s="328"/>
      <c r="N105" s="329"/>
      <c r="O105" s="329"/>
      <c r="P105" s="329"/>
      <c r="Q105" s="329"/>
      <c r="R105" s="329"/>
      <c r="S105" s="329"/>
      <c r="T105" s="329"/>
      <c r="U105" s="329"/>
      <c r="V105" s="329"/>
      <c r="W105" s="329"/>
      <c r="X105" s="329"/>
      <c r="Y105" s="329"/>
      <c r="Z105" s="329"/>
      <c r="AA105" s="329"/>
      <c r="AB105" s="329"/>
      <c r="AC105" s="329"/>
      <c r="AD105" s="329"/>
      <c r="AE105" s="329"/>
      <c r="AF105" s="329"/>
      <c r="AG105" s="329"/>
      <c r="AH105" s="329"/>
      <c r="AI105" s="329"/>
      <c r="AJ105" s="329"/>
      <c r="AK105" s="329"/>
      <c r="AL105" s="329"/>
      <c r="AM105" s="329"/>
      <c r="AN105" s="330"/>
    </row>
  </sheetData>
  <sheetProtection selectLockedCells="1"/>
  <mergeCells count="75">
    <mergeCell ref="AK1:AN1"/>
    <mergeCell ref="A2:AK2"/>
    <mergeCell ref="B1:C1"/>
    <mergeCell ref="F5:G5"/>
    <mergeCell ref="H5:I5"/>
    <mergeCell ref="J5:K5"/>
    <mergeCell ref="L5:M5"/>
    <mergeCell ref="N5:O5"/>
    <mergeCell ref="P5:Q5"/>
    <mergeCell ref="AM5:AM6"/>
    <mergeCell ref="W1:X1"/>
    <mergeCell ref="AA1:AJ1"/>
    <mergeCell ref="W4:AN4"/>
    <mergeCell ref="X5:Y5"/>
    <mergeCell ref="Z5:AA5"/>
    <mergeCell ref="B5:B6"/>
    <mergeCell ref="D4:V4"/>
    <mergeCell ref="A4:C4"/>
    <mergeCell ref="R5:S5"/>
    <mergeCell ref="T5:U5"/>
    <mergeCell ref="V5:W5"/>
    <mergeCell ref="T1:V1"/>
    <mergeCell ref="AK5:AK6"/>
    <mergeCell ref="AJ5:AJ6"/>
    <mergeCell ref="AN10:AN49"/>
    <mergeCell ref="X8:Y8"/>
    <mergeCell ref="V8:W8"/>
    <mergeCell ref="T8:U8"/>
    <mergeCell ref="AN8:AN9"/>
    <mergeCell ref="AJ8:AJ9"/>
    <mergeCell ref="A7:AN7"/>
    <mergeCell ref="D1:E1"/>
    <mergeCell ref="F1:G1"/>
    <mergeCell ref="H1:J1"/>
    <mergeCell ref="K1:Q1"/>
    <mergeCell ref="R1:S1"/>
    <mergeCell ref="A5:A6"/>
    <mergeCell ref="B8:B9"/>
    <mergeCell ref="A8:A9"/>
    <mergeCell ref="A76:L105"/>
    <mergeCell ref="M76:AN105"/>
    <mergeCell ref="A75:L75"/>
    <mergeCell ref="M75:AN75"/>
    <mergeCell ref="A54:L74"/>
    <mergeCell ref="M54:AN74"/>
    <mergeCell ref="AL8:AL9"/>
    <mergeCell ref="AM8:AM9"/>
    <mergeCell ref="AK8:AK9"/>
    <mergeCell ref="Z8:AA8"/>
    <mergeCell ref="F8:G8"/>
    <mergeCell ref="A43:A49"/>
    <mergeCell ref="A10:A15"/>
    <mergeCell ref="A16:A18"/>
    <mergeCell ref="A35:AJ35"/>
    <mergeCell ref="AL10:AL49"/>
    <mergeCell ref="A27:A34"/>
    <mergeCell ref="A26:AJ26"/>
    <mergeCell ref="A36:A42"/>
    <mergeCell ref="A21:A25"/>
    <mergeCell ref="AB5:AC5"/>
    <mergeCell ref="AD5:AE5"/>
    <mergeCell ref="AF5:AG5"/>
    <mergeCell ref="AH5:AI5"/>
    <mergeCell ref="A53:L53"/>
    <mergeCell ref="M53:AN53"/>
    <mergeCell ref="C5:C6"/>
    <mergeCell ref="D5:E5"/>
    <mergeCell ref="L8:M8"/>
    <mergeCell ref="J8:K8"/>
    <mergeCell ref="H8:I8"/>
    <mergeCell ref="N8:O8"/>
    <mergeCell ref="P8:Q8"/>
    <mergeCell ref="R8:S8"/>
    <mergeCell ref="D8:E8"/>
    <mergeCell ref="C8:C9"/>
  </mergeCells>
  <phoneticPr fontId="3" type="noConversion"/>
  <conditionalFormatting sqref="AK28:AK32">
    <cfRule type="notContainsBlanks" dxfId="74" priority="1547">
      <formula>LEN(TRIM(AK28))&gt;0</formula>
    </cfRule>
  </conditionalFormatting>
  <conditionalFormatting sqref="AK36:AK39">
    <cfRule type="notContainsBlanks" dxfId="73" priority="1544">
      <formula>LEN(TRIM(AK36))&gt;0</formula>
    </cfRule>
  </conditionalFormatting>
  <conditionalFormatting sqref="AN10 AM36:AM49 AM27:AM34">
    <cfRule type="notContainsBlanks" dxfId="72" priority="1534">
      <formula>LEN(TRIM(AM10))&gt;0</formula>
    </cfRule>
  </conditionalFormatting>
  <conditionalFormatting sqref="AL10">
    <cfRule type="notContainsBlanks" dxfId="71" priority="1763">
      <formula>LEN(TRIM(AL10))&gt;0</formula>
    </cfRule>
  </conditionalFormatting>
  <conditionalFormatting sqref="A1">
    <cfRule type="cellIs" dxfId="70" priority="1516" operator="equal">
      <formula>0</formula>
    </cfRule>
  </conditionalFormatting>
  <conditionalFormatting sqref="D42:AJ42">
    <cfRule type="cellIs" dxfId="69" priority="1513" operator="equal">
      <formula>0</formula>
    </cfRule>
  </conditionalFormatting>
  <conditionalFormatting sqref="D43:Y49 AB43:AI49">
    <cfRule type="expression" dxfId="68" priority="587">
      <formula>D43&gt;D$36</formula>
    </cfRule>
  </conditionalFormatting>
  <conditionalFormatting sqref="D36:Y36 AB36:AI36">
    <cfRule type="expression" dxfId="67" priority="586">
      <formula>D43&gt;D$36</formula>
    </cfRule>
  </conditionalFormatting>
  <conditionalFormatting sqref="D27:Y33 AB27:AJ33">
    <cfRule type="cellIs" dxfId="66" priority="107" operator="equal">
      <formula>0</formula>
    </cfRule>
    <cfRule type="cellIs" dxfId="65" priority="108" operator="equal">
      <formula>0</formula>
    </cfRule>
  </conditionalFormatting>
  <conditionalFormatting sqref="D34:Y34 AJ34">
    <cfRule type="cellIs" dxfId="64" priority="106" operator="equal">
      <formula>0</formula>
    </cfRule>
  </conditionalFormatting>
  <conditionalFormatting sqref="AM19">
    <cfRule type="notContainsBlanks" dxfId="63" priority="102">
      <formula>LEN(TRIM(AM19))&gt;0</formula>
    </cfRule>
  </conditionalFormatting>
  <conditionalFormatting sqref="AM20">
    <cfRule type="notContainsBlanks" dxfId="62" priority="101">
      <formula>LEN(TRIM(AM20))&gt;0</formula>
    </cfRule>
  </conditionalFormatting>
  <conditionalFormatting sqref="C27:C1048576 C1:C4 C7:C20">
    <cfRule type="duplicateValues" dxfId="61" priority="100"/>
  </conditionalFormatting>
  <conditionalFormatting sqref="AJ10:AJ20">
    <cfRule type="cellIs" dxfId="60" priority="98" operator="equal">
      <formula>0</formula>
    </cfRule>
    <cfRule type="cellIs" dxfId="59" priority="99" operator="equal">
      <formula>0</formula>
    </cfRule>
  </conditionalFormatting>
  <conditionalFormatting sqref="AJ36:AJ41">
    <cfRule type="cellIs" dxfId="58" priority="96" operator="equal">
      <formula>0</formula>
    </cfRule>
    <cfRule type="cellIs" dxfId="57" priority="97" operator="equal">
      <formula>0</formula>
    </cfRule>
  </conditionalFormatting>
  <conditionalFormatting sqref="AJ43:AJ49">
    <cfRule type="cellIs" dxfId="56" priority="94" operator="equal">
      <formula>0</formula>
    </cfRule>
    <cfRule type="cellIs" dxfId="55" priority="95" operator="equal">
      <formula>0</formula>
    </cfRule>
  </conditionalFormatting>
  <conditionalFormatting sqref="AJ16">
    <cfRule type="expression" dxfId="54" priority="93">
      <formula>(AJ16+AJ17+AJ18)&lt;&gt;AJ29</formula>
    </cfRule>
  </conditionalFormatting>
  <conditionalFormatting sqref="AJ17">
    <cfRule type="expression" dxfId="53" priority="92">
      <formula>(AJ16+AJ17+AJ18)&lt;&gt;AJ29</formula>
    </cfRule>
  </conditionalFormatting>
  <conditionalFormatting sqref="AJ18">
    <cfRule type="expression" dxfId="52" priority="91">
      <formula>(AJ16+AJ17+AJ18)&lt;&gt;AJ29</formula>
    </cfRule>
  </conditionalFormatting>
  <conditionalFormatting sqref="AJ10">
    <cfRule type="expression" dxfId="51" priority="90">
      <formula>(AJ16+AJ17+AJ18)&lt;&gt;AJ29</formula>
    </cfRule>
  </conditionalFormatting>
  <conditionalFormatting sqref="Z10:Z20">
    <cfRule type="cellIs" dxfId="50" priority="70" operator="equal">
      <formula>0</formula>
    </cfRule>
    <cfRule type="cellIs" dxfId="49" priority="71" operator="equal">
      <formula>0</formula>
    </cfRule>
  </conditionalFormatting>
  <conditionalFormatting sqref="AA10:AA20">
    <cfRule type="cellIs" dxfId="48" priority="67" operator="equal">
      <formula>0</formula>
    </cfRule>
    <cfRule type="cellIs" dxfId="47" priority="68" operator="equal">
      <formula>0</formula>
    </cfRule>
  </conditionalFormatting>
  <conditionalFormatting sqref="Z27:Z34">
    <cfRule type="cellIs" dxfId="46" priority="64" operator="equal">
      <formula>0</formula>
    </cfRule>
    <cfRule type="cellIs" dxfId="45" priority="65" operator="equal">
      <formula>0</formula>
    </cfRule>
  </conditionalFormatting>
  <conditionalFormatting sqref="AA27:AA34">
    <cfRule type="cellIs" dxfId="44" priority="62" operator="equal">
      <formula>0</formula>
    </cfRule>
    <cfRule type="cellIs" dxfId="43" priority="63" operator="equal">
      <formula>0</formula>
    </cfRule>
  </conditionalFormatting>
  <conditionalFormatting sqref="AB34:AI34">
    <cfRule type="cellIs" dxfId="42" priority="61" operator="equal">
      <formula>0</formula>
    </cfRule>
  </conditionalFormatting>
  <conditionalFormatting sqref="Z36:Z41">
    <cfRule type="cellIs" dxfId="41" priority="59" operator="equal">
      <formula>0</formula>
    </cfRule>
    <cfRule type="cellIs" dxfId="40" priority="60" operator="equal">
      <formula>0</formula>
    </cfRule>
  </conditionalFormatting>
  <conditionalFormatting sqref="AA36:AA41">
    <cfRule type="cellIs" dxfId="39" priority="57" operator="equal">
      <formula>0</formula>
    </cfRule>
    <cfRule type="cellIs" dxfId="38" priority="58" operator="equal">
      <formula>0</formula>
    </cfRule>
  </conditionalFormatting>
  <conditionalFormatting sqref="Z43:Z49">
    <cfRule type="cellIs" dxfId="37" priority="55" operator="equal">
      <formula>0</formula>
    </cfRule>
    <cfRule type="cellIs" dxfId="36" priority="56" operator="equal">
      <formula>0</formula>
    </cfRule>
  </conditionalFormatting>
  <conditionalFormatting sqref="AA43:AA49">
    <cfRule type="cellIs" dxfId="35" priority="53" operator="equal">
      <formula>0</formula>
    </cfRule>
    <cfRule type="cellIs" dxfId="34" priority="54" operator="equal">
      <formula>0</formula>
    </cfRule>
  </conditionalFormatting>
  <conditionalFormatting sqref="AM24:AM25">
    <cfRule type="notContainsBlanks" dxfId="33" priority="52">
      <formula>LEN(TRIM(AM24))&gt;0</formula>
    </cfRule>
  </conditionalFormatting>
  <conditionalFormatting sqref="C21:C24">
    <cfRule type="duplicateValues" dxfId="32" priority="51"/>
  </conditionalFormatting>
  <conditionalFormatting sqref="AJ21:AJ24">
    <cfRule type="cellIs" dxfId="31" priority="49" operator="equal">
      <formula>0</formula>
    </cfRule>
    <cfRule type="cellIs" dxfId="30" priority="50" operator="equal">
      <formula>0</formula>
    </cfRule>
  </conditionalFormatting>
  <conditionalFormatting sqref="C1:C24 C26:C1048576">
    <cfRule type="duplicateValues" dxfId="29" priority="37"/>
  </conditionalFormatting>
  <conditionalFormatting sqref="D21:AI21">
    <cfRule type="cellIs" dxfId="28" priority="36" operator="equal">
      <formula>0</formula>
    </cfRule>
  </conditionalFormatting>
  <conditionalFormatting sqref="Z22">
    <cfRule type="cellIs" dxfId="27" priority="33" operator="equal">
      <formula>0</formula>
    </cfRule>
    <cfRule type="cellIs" dxfId="26" priority="34" operator="equal">
      <formula>0</formula>
    </cfRule>
  </conditionalFormatting>
  <conditionalFormatting sqref="AA22">
    <cfRule type="cellIs" dxfId="25" priority="31" operator="equal">
      <formula>0</formula>
    </cfRule>
    <cfRule type="cellIs" dxfId="24" priority="32" operator="equal">
      <formula>0</formula>
    </cfRule>
  </conditionalFormatting>
  <conditionalFormatting sqref="Z23">
    <cfRule type="cellIs" dxfId="23" priority="29" operator="equal">
      <formula>0</formula>
    </cfRule>
    <cfRule type="cellIs" dxfId="22" priority="30" operator="equal">
      <formula>0</formula>
    </cfRule>
  </conditionalFormatting>
  <conditionalFormatting sqref="AA23">
    <cfRule type="cellIs" dxfId="21" priority="27" operator="equal">
      <formula>0</formula>
    </cfRule>
    <cfRule type="cellIs" dxfId="20" priority="28" operator="equal">
      <formula>0</formula>
    </cfRule>
  </conditionalFormatting>
  <conditionalFormatting sqref="Z24">
    <cfRule type="cellIs" dxfId="19" priority="25" operator="equal">
      <formula>0</formula>
    </cfRule>
    <cfRule type="cellIs" dxfId="18" priority="26" operator="equal">
      <formula>0</formula>
    </cfRule>
  </conditionalFormatting>
  <conditionalFormatting sqref="AA24">
    <cfRule type="cellIs" dxfId="17" priority="23" operator="equal">
      <formula>0</formula>
    </cfRule>
    <cfRule type="cellIs" dxfId="16" priority="24" operator="equal">
      <formula>0</formula>
    </cfRule>
  </conditionalFormatting>
  <conditionalFormatting sqref="D21:AI21">
    <cfRule type="expression" dxfId="15" priority="18">
      <formula>D21&gt;(D18+D17+D16)</formula>
    </cfRule>
  </conditionalFormatting>
  <conditionalFormatting sqref="D16:Y16">
    <cfRule type="expression" dxfId="14" priority="17">
      <formula>D21&gt;(D18+D17+D16)</formula>
    </cfRule>
  </conditionalFormatting>
  <conditionalFormatting sqref="D17:Y17">
    <cfRule type="expression" dxfId="13" priority="16">
      <formula>D21&gt;(D18+D17+D16)</formula>
    </cfRule>
  </conditionalFormatting>
  <conditionalFormatting sqref="D18:Y18">
    <cfRule type="expression" dxfId="12" priority="15">
      <formula>D21&gt;(D18+D17+D16)</formula>
    </cfRule>
  </conditionalFormatting>
  <conditionalFormatting sqref="AB16:AI16">
    <cfRule type="expression" dxfId="11" priority="12">
      <formula>AB21&gt;(AB18+AB17+AB16)</formula>
    </cfRule>
  </conditionalFormatting>
  <conditionalFormatting sqref="AB17:AI17">
    <cfRule type="expression" dxfId="10" priority="11">
      <formula>AB21&gt;(AB18+AB17+AB16)</formula>
    </cfRule>
  </conditionalFormatting>
  <conditionalFormatting sqref="AB18:AI18">
    <cfRule type="expression" dxfId="9" priority="10">
      <formula>AB21&gt;(AB18+AB17+AB16)</formula>
    </cfRule>
  </conditionalFormatting>
  <conditionalFormatting sqref="C25">
    <cfRule type="duplicateValues" dxfId="8" priority="9"/>
  </conditionalFormatting>
  <conditionalFormatting sqref="AJ25">
    <cfRule type="cellIs" dxfId="7" priority="7" operator="equal">
      <formula>0</formula>
    </cfRule>
    <cfRule type="cellIs" dxfId="6" priority="8" operator="equal">
      <formula>0</formula>
    </cfRule>
  </conditionalFormatting>
  <conditionalFormatting sqref="C25">
    <cfRule type="duplicateValues" dxfId="5" priority="6"/>
  </conditionalFormatting>
  <conditionalFormatting sqref="Z25">
    <cfRule type="cellIs" dxfId="4" priority="4" operator="equal">
      <formula>0</formula>
    </cfRule>
    <cfRule type="cellIs" dxfId="3" priority="5" operator="equal">
      <formula>0</formula>
    </cfRule>
  </conditionalFormatting>
  <conditionalFormatting sqref="AA25">
    <cfRule type="cellIs" dxfId="2" priority="2" operator="equal">
      <formula>0</formula>
    </cfRule>
    <cfRule type="cellIs" dxfId="1" priority="3" operator="equal">
      <formula>0</formula>
    </cfRule>
  </conditionalFormatting>
  <conditionalFormatting sqref="C1:C1048576">
    <cfRule type="duplicateValues" dxfId="0" priority="1"/>
  </conditionalFormatting>
  <dataValidations count="3">
    <dataValidation type="whole" allowBlank="1" showInputMessage="1" showErrorMessage="1" errorTitle="Non-Numeric or abnormal value" error="Enter Numbers only between 0 and 99999" sqref="D36:D49 AB36:AI41 D19:Y20 AB27:AI33 AB43:AI49 E42:AJ42 D27:Y33 E36:Y41 E43:Y49 AB19:AI20 D24:D25">
      <formula1>0</formula1>
      <formula2>99999</formula2>
    </dataValidation>
    <dataValidation type="whole" allowBlank="1" showInputMessage="1" showErrorMessage="1" errorTitle="Numeric Characters Error" error="Enter Numeric Characters only between range 0 and 2000" sqref="D10:Y18 Z43:AA49 Z27:AA34 Z36:AA41 AB10:AI18 Z10:AA20 D21:D23 E21:AI25">
      <formula1>0</formula1>
      <formula2>2000</formula2>
    </dataValidation>
    <dataValidation allowBlank="1" showInputMessage="1" showErrorMessage="1" errorTitle="Non-Numeric or abnormal value" error="Enter Numbers only between 0 and 99999" sqref="D34:Y34 AB34:AI34"/>
  </dataValidations>
  <pageMargins left="0.511811023622047" right="7.8740157480315001E-2" top="0.196850393700787" bottom="0.196850393700787" header="0.2" footer="0.118110236220472"/>
  <pageSetup scale="31" fitToHeight="0" orientation="portrait" r:id="rId1"/>
  <headerFooter>
    <oddFooter>&amp;R&amp;P</oddFooter>
  </headerFooter>
  <ignoredErrors>
    <ignoredError sqref="J8"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9366B03F6EC145B189534E5AC3D6E6" ma:contentTypeVersion="14" ma:contentTypeDescription="Create a new document." ma:contentTypeScope="" ma:versionID="ffc27aaa6afa60559960f746ac0a40ab">
  <xsd:schema xmlns:xsd="http://www.w3.org/2001/XMLSchema" xmlns:xs="http://www.w3.org/2001/XMLSchema" xmlns:p="http://schemas.microsoft.com/office/2006/metadata/properties" xmlns:ns1="http://schemas.microsoft.com/sharepoint/v3" xmlns:ns3="dac3fa0a-9923-49c3-b4ba-df6390fa58ea" xmlns:ns4="1ed6e237-7a44-4d6d-bfbc-e270d277b5ad" targetNamespace="http://schemas.microsoft.com/office/2006/metadata/properties" ma:root="true" ma:fieldsID="a6816e770e34b85fcdcbb3032b3d95e9" ns1:_="" ns3:_="" ns4:_="">
    <xsd:import namespace="http://schemas.microsoft.com/sharepoint/v3"/>
    <xsd:import namespace="dac3fa0a-9923-49c3-b4ba-df6390fa58ea"/>
    <xsd:import namespace="1ed6e237-7a44-4d6d-bfbc-e270d277b5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3fa0a-9923-49c3-b4ba-df6390fa58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d6e237-7a44-4d6d-bfbc-e270d277b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F27D016-ED29-4335-8911-6427F4BFA81E}">
  <ds:schemaRefs>
    <ds:schemaRef ds:uri="http://schemas.microsoft.com/sharepoint/v3/contenttype/forms"/>
  </ds:schemaRefs>
</ds:datastoreItem>
</file>

<file path=customXml/itemProps2.xml><?xml version="1.0" encoding="utf-8"?>
<ds:datastoreItem xmlns:ds="http://schemas.openxmlformats.org/officeDocument/2006/customXml" ds:itemID="{B4331761-FFFE-4F11-AA2E-B35F1517E2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c3fa0a-9923-49c3-b4ba-df6390fa58ea"/>
    <ds:schemaRef ds:uri="1ed6e237-7a44-4d6d-bfbc-e270d277b5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757ECA-E322-4B4F-A80B-F429838D8BF7}">
  <ds:schemaRef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1ed6e237-7a44-4d6d-bfbc-e270d277b5ad"/>
    <ds:schemaRef ds:uri="http://purl.org/dc/terms/"/>
    <ds:schemaRef ds:uri="http://schemas.microsoft.com/office/2006/documentManagement/types"/>
    <ds:schemaRef ds:uri="dac3fa0a-9923-49c3-b4ba-df6390fa58ea"/>
    <ds:schemaRef ds:uri="http://schemas.microsoft.com/sharepoint/v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Instructions</vt:lpstr>
      <vt:lpstr>Feb</vt:lpstr>
      <vt:lpstr>Feb!Print_Area</vt:lpstr>
      <vt:lpstr>Instructions!Print_Area</vt:lpstr>
      <vt:lpstr>Feb!Print_Titles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dc:creator>
  <cp:lastModifiedBy>Emmanuel Kaunda</cp:lastModifiedBy>
  <cp:lastPrinted>2020-06-04T19:13:43Z</cp:lastPrinted>
  <dcterms:created xsi:type="dcterms:W3CDTF">2018-10-31T09:45:26Z</dcterms:created>
  <dcterms:modified xsi:type="dcterms:W3CDTF">2025-06-26T12:41:49Z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97562b29-1870-4619-bda6-f602bd214bc5</vt:lpwstr>
  </property>
  <property fmtid="{D5CDD505-2E9C-101B-9397-08002B2CF9AE}" pid="3" name="ConnectionInfosStorage">
    <vt:lpwstr>WorkbookXmlParts</vt:lpwstr>
  </property>
  <property fmtid="{D5CDD505-2E9C-101B-9397-08002B2CF9AE}" pid="4" name="ContentTypeId">
    <vt:lpwstr>0x010100EA9366B03F6EC145B189534E5AC3D6E6</vt:lpwstr>
  </property>
</Properties>
</file>