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projects\InternalSystem\web\"/>
    </mc:Choice>
  </mc:AlternateContent>
  <xr:revisionPtr revIDLastSave="0" documentId="13_ncr:1_{4BEFBEF1-4746-490B-99DB-3D41541FC9EE}" xr6:coauthVersionLast="47" xr6:coauthVersionMax="47" xr10:uidLastSave="{00000000-0000-0000-0000-000000000000}"/>
  <bookViews>
    <workbookView xWindow="-120" yWindow="-120" windowWidth="29040" windowHeight="15720" activeTab="1" xr2:uid="{00000000-000D-0000-FFFF-FFFF00000000}"/>
  </bookViews>
  <sheets>
    <sheet name="InstructionsForm1A" sheetId="9" r:id="rId1"/>
    <sheet name="Jul" sheetId="1" r:id="rId2"/>
  </sheets>
  <definedNames>
    <definedName name="_xlnm._FilterDatabase" localSheetId="0" hidden="1">InstructionsForm1A!$A$3:$H$295</definedName>
    <definedName name="ART">Jul!$D$225</definedName>
    <definedName name="CXCA">Jul!$M$292</definedName>
    <definedName name="GEND_GBV">Jul!$D$325</definedName>
    <definedName name="HAART">Jul!$K$185</definedName>
    <definedName name="HIV_TEST">Jul!$F$8</definedName>
    <definedName name="HTS_SELF">Jul!$J$107</definedName>
    <definedName name="IPT">Jul!$D$282</definedName>
    <definedName name="PMTCT_TST">Jul!$K$150</definedName>
    <definedName name="PREP">Jul!#REF!</definedName>
    <definedName name="_xlnm.Print_Area" localSheetId="1">Jul!$A$1:$AJ$337</definedName>
    <definedName name="_xlnm.Print_Titles" localSheetId="1">Jul!$1:$4</definedName>
    <definedName name="TB">Jul!$D$204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198" i="1" l="1"/>
  <c r="AJ201" i="1"/>
  <c r="AJ318" i="1"/>
  <c r="AJ309" i="1"/>
  <c r="AJ276" i="1"/>
  <c r="AJ277" i="1"/>
  <c r="AN292" i="1"/>
  <c r="AK302" i="1" l="1"/>
  <c r="AK286" i="1"/>
  <c r="AK285" i="1"/>
  <c r="AJ335" i="1"/>
  <c r="AM250" i="1"/>
  <c r="Z57" i="1"/>
  <c r="AA57" i="1"/>
  <c r="AL150" i="1"/>
  <c r="AL8" i="1"/>
  <c r="AK330" i="1"/>
  <c r="AK327" i="1"/>
  <c r="AK326" i="1"/>
  <c r="AK329" i="1"/>
  <c r="AK325" i="1"/>
  <c r="AK277" i="1"/>
  <c r="AK260" i="1"/>
  <c r="Y235" i="1"/>
  <c r="W235" i="1"/>
  <c r="U235" i="1"/>
  <c r="S235" i="1"/>
  <c r="Q235" i="1"/>
  <c r="O235" i="1"/>
  <c r="M235" i="1"/>
  <c r="AK229" i="1"/>
  <c r="AD85" i="1"/>
  <c r="AE85" i="1"/>
  <c r="AF85" i="1"/>
  <c r="AG85" i="1"/>
  <c r="AH85" i="1"/>
  <c r="AI85" i="1"/>
  <c r="AC85" i="1"/>
  <c r="AB85" i="1"/>
  <c r="M85" i="1"/>
  <c r="N85" i="1"/>
  <c r="O85" i="1"/>
  <c r="P85" i="1"/>
  <c r="Q85" i="1"/>
  <c r="R85" i="1"/>
  <c r="S85" i="1"/>
  <c r="T85" i="1"/>
  <c r="U85" i="1"/>
  <c r="V85" i="1"/>
  <c r="W85" i="1"/>
  <c r="X85" i="1"/>
  <c r="Y85" i="1"/>
  <c r="F85" i="1"/>
  <c r="G85" i="1"/>
  <c r="H85" i="1"/>
  <c r="I85" i="1"/>
  <c r="J85" i="1"/>
  <c r="K85" i="1"/>
  <c r="AE59" i="1"/>
  <c r="AF59" i="1"/>
  <c r="AG59" i="1"/>
  <c r="AH59" i="1"/>
  <c r="AI59" i="1"/>
  <c r="AE60" i="1"/>
  <c r="AF60" i="1"/>
  <c r="AG60" i="1"/>
  <c r="AH60" i="1"/>
  <c r="AI60" i="1"/>
  <c r="AE61" i="1"/>
  <c r="AF61" i="1"/>
  <c r="AG61" i="1"/>
  <c r="AH61" i="1"/>
  <c r="AI61" i="1"/>
  <c r="AE62" i="1"/>
  <c r="AF62" i="1"/>
  <c r="AG62" i="1"/>
  <c r="AH62" i="1"/>
  <c r="AI62" i="1"/>
  <c r="AD62" i="1"/>
  <c r="AD61" i="1"/>
  <c r="AD60" i="1"/>
  <c r="AD59" i="1"/>
  <c r="AC62" i="1"/>
  <c r="AC61" i="1"/>
  <c r="AC60" i="1"/>
  <c r="AC59" i="1"/>
  <c r="AB62" i="1"/>
  <c r="AB61" i="1"/>
  <c r="AB60" i="1"/>
  <c r="AB59" i="1"/>
  <c r="AD52" i="1"/>
  <c r="AE52" i="1"/>
  <c r="AF52" i="1"/>
  <c r="AG52" i="1"/>
  <c r="AH52" i="1"/>
  <c r="AI52" i="1"/>
  <c r="AC52" i="1"/>
  <c r="AB52" i="1"/>
  <c r="G52" i="1"/>
  <c r="H52" i="1"/>
  <c r="I52" i="1"/>
  <c r="J52" i="1"/>
  <c r="K52" i="1"/>
  <c r="L52" i="1"/>
  <c r="M52" i="1"/>
  <c r="N52" i="1"/>
  <c r="O52" i="1"/>
  <c r="P52" i="1"/>
  <c r="Q52" i="1"/>
  <c r="R52" i="1"/>
  <c r="S52" i="1"/>
  <c r="T52" i="1"/>
  <c r="U52" i="1"/>
  <c r="V52" i="1"/>
  <c r="W52" i="1"/>
  <c r="X52" i="1"/>
  <c r="Y52" i="1"/>
  <c r="AN322" i="1"/>
  <c r="AN285" i="1"/>
  <c r="AN280" i="1"/>
  <c r="AN116" i="1"/>
  <c r="AN107" i="1"/>
  <c r="AL217" i="1"/>
  <c r="AL271" i="1"/>
  <c r="AL107" i="1"/>
  <c r="Z248" i="1"/>
  <c r="AA248" i="1"/>
  <c r="D95" i="1" l="1"/>
  <c r="AE68" i="1"/>
  <c r="AF68" i="1"/>
  <c r="AG68" i="1"/>
  <c r="AH68" i="1"/>
  <c r="AI68" i="1"/>
  <c r="AE69" i="1"/>
  <c r="AF69" i="1"/>
  <c r="AG69" i="1"/>
  <c r="AH69" i="1"/>
  <c r="AI69" i="1"/>
  <c r="AE70" i="1"/>
  <c r="AF70" i="1"/>
  <c r="AG70" i="1"/>
  <c r="AH70" i="1"/>
  <c r="AI70" i="1"/>
  <c r="AE71" i="1"/>
  <c r="AF71" i="1"/>
  <c r="AG71" i="1"/>
  <c r="AH71" i="1"/>
  <c r="AI71" i="1"/>
  <c r="AD71" i="1"/>
  <c r="AD70" i="1"/>
  <c r="AD69" i="1"/>
  <c r="AD68" i="1"/>
  <c r="AC71" i="1"/>
  <c r="AC70" i="1"/>
  <c r="AC69" i="1"/>
  <c r="AC68" i="1"/>
  <c r="AB71" i="1"/>
  <c r="AB70" i="1"/>
  <c r="AB69" i="1"/>
  <c r="AB68" i="1"/>
  <c r="G68" i="1"/>
  <c r="H68" i="1"/>
  <c r="I68" i="1"/>
  <c r="J68" i="1"/>
  <c r="K68" i="1"/>
  <c r="L68" i="1"/>
  <c r="M68" i="1"/>
  <c r="N68" i="1"/>
  <c r="O68" i="1"/>
  <c r="P68" i="1"/>
  <c r="Q68" i="1"/>
  <c r="R68" i="1"/>
  <c r="S68" i="1"/>
  <c r="T68" i="1"/>
  <c r="U68" i="1"/>
  <c r="V68" i="1"/>
  <c r="W68" i="1"/>
  <c r="X68" i="1"/>
  <c r="Y68" i="1"/>
  <c r="G69" i="1"/>
  <c r="H69" i="1"/>
  <c r="I69" i="1"/>
  <c r="J69" i="1"/>
  <c r="K69" i="1"/>
  <c r="L69" i="1"/>
  <c r="M69" i="1"/>
  <c r="N69" i="1"/>
  <c r="O69" i="1"/>
  <c r="P69" i="1"/>
  <c r="Q69" i="1"/>
  <c r="R69" i="1"/>
  <c r="S69" i="1"/>
  <c r="T69" i="1"/>
  <c r="U69" i="1"/>
  <c r="V69" i="1"/>
  <c r="W69" i="1"/>
  <c r="X69" i="1"/>
  <c r="Y69" i="1"/>
  <c r="G70" i="1"/>
  <c r="H70" i="1"/>
  <c r="I70" i="1"/>
  <c r="J70" i="1"/>
  <c r="K70" i="1"/>
  <c r="L70" i="1"/>
  <c r="M70" i="1"/>
  <c r="N70" i="1"/>
  <c r="O70" i="1"/>
  <c r="P70" i="1"/>
  <c r="Q70" i="1"/>
  <c r="R70" i="1"/>
  <c r="S70" i="1"/>
  <c r="T70" i="1"/>
  <c r="U70" i="1"/>
  <c r="V70" i="1"/>
  <c r="W70" i="1"/>
  <c r="X70" i="1"/>
  <c r="Y70" i="1"/>
  <c r="G71" i="1"/>
  <c r="H71" i="1"/>
  <c r="I71" i="1"/>
  <c r="J71" i="1"/>
  <c r="K71" i="1"/>
  <c r="L71" i="1"/>
  <c r="M71" i="1"/>
  <c r="N71" i="1"/>
  <c r="O71" i="1"/>
  <c r="P71" i="1"/>
  <c r="Q71" i="1"/>
  <c r="R71" i="1"/>
  <c r="S71" i="1"/>
  <c r="T71" i="1"/>
  <c r="U71" i="1"/>
  <c r="V71" i="1"/>
  <c r="W71" i="1"/>
  <c r="X71" i="1"/>
  <c r="Y71" i="1"/>
  <c r="F69" i="1"/>
  <c r="F70" i="1"/>
  <c r="F71" i="1"/>
  <c r="F68" i="1"/>
  <c r="F59" i="1"/>
  <c r="AJ141" i="1" l="1"/>
  <c r="AJ140" i="1"/>
  <c r="AJ139" i="1"/>
  <c r="AJ138" i="1"/>
  <c r="AJ136" i="1"/>
  <c r="AJ135" i="1"/>
  <c r="AK336" i="1"/>
  <c r="AJ336" i="1"/>
  <c r="AK335" i="1"/>
  <c r="AK334" i="1"/>
  <c r="AJ334" i="1"/>
  <c r="AJ333" i="1"/>
  <c r="AK332" i="1"/>
  <c r="AJ332" i="1"/>
  <c r="AK331" i="1"/>
  <c r="AJ331" i="1"/>
  <c r="AJ330" i="1"/>
  <c r="AJ329" i="1"/>
  <c r="AJ328" i="1"/>
  <c r="AJ327" i="1"/>
  <c r="AJ326" i="1"/>
  <c r="AJ325" i="1"/>
  <c r="AK333" i="1" s="1"/>
  <c r="AL322" i="1" s="1"/>
  <c r="AJ324" i="1"/>
  <c r="AJ323" i="1"/>
  <c r="AJ322" i="1"/>
  <c r="AI322" i="1"/>
  <c r="AH322" i="1"/>
  <c r="AG322" i="1"/>
  <c r="AF322" i="1"/>
  <c r="AE322" i="1"/>
  <c r="AD322" i="1"/>
  <c r="AC322" i="1"/>
  <c r="AB322" i="1"/>
  <c r="AA322" i="1"/>
  <c r="Z322" i="1"/>
  <c r="Y322" i="1"/>
  <c r="X322" i="1"/>
  <c r="W322" i="1"/>
  <c r="V322" i="1"/>
  <c r="U322" i="1"/>
  <c r="T322" i="1"/>
  <c r="S322" i="1"/>
  <c r="R322" i="1"/>
  <c r="Q322" i="1"/>
  <c r="P322" i="1"/>
  <c r="O322" i="1"/>
  <c r="N322" i="1"/>
  <c r="M322" i="1"/>
  <c r="L322" i="1"/>
  <c r="K322" i="1"/>
  <c r="J322" i="1"/>
  <c r="I322" i="1"/>
  <c r="H322" i="1"/>
  <c r="G322" i="1"/>
  <c r="F322" i="1"/>
  <c r="E322" i="1"/>
  <c r="D322" i="1"/>
  <c r="AJ317" i="1"/>
  <c r="AA317" i="1"/>
  <c r="AJ316" i="1"/>
  <c r="AA316" i="1"/>
  <c r="AJ315" i="1"/>
  <c r="AA315" i="1"/>
  <c r="AJ314" i="1"/>
  <c r="AA314" i="1"/>
  <c r="AJ313" i="1"/>
  <c r="AI313" i="1"/>
  <c r="AG313" i="1"/>
  <c r="AE313" i="1"/>
  <c r="AC313" i="1"/>
  <c r="AA313" i="1"/>
  <c r="Y313" i="1"/>
  <c r="W313" i="1"/>
  <c r="U313" i="1"/>
  <c r="S313" i="1"/>
  <c r="Q313" i="1"/>
  <c r="O313" i="1"/>
  <c r="M313" i="1"/>
  <c r="AJ312" i="1"/>
  <c r="AA312" i="1"/>
  <c r="AK311" i="1"/>
  <c r="AJ311" i="1"/>
  <c r="AA311" i="1"/>
  <c r="AJ310" i="1"/>
  <c r="AA310" i="1"/>
  <c r="AJ308" i="1"/>
  <c r="AA308" i="1"/>
  <c r="AJ307" i="1"/>
  <c r="AA307" i="1"/>
  <c r="AJ306" i="1"/>
  <c r="AA306" i="1"/>
  <c r="AJ305" i="1"/>
  <c r="AA305" i="1"/>
  <c r="AJ304" i="1"/>
  <c r="AI304" i="1"/>
  <c r="AG304" i="1"/>
  <c r="AE304" i="1"/>
  <c r="AC304" i="1"/>
  <c r="AA304" i="1"/>
  <c r="Y304" i="1"/>
  <c r="W304" i="1"/>
  <c r="U304" i="1"/>
  <c r="S304" i="1"/>
  <c r="Q304" i="1"/>
  <c r="O304" i="1"/>
  <c r="M304" i="1"/>
  <c r="AJ303" i="1"/>
  <c r="AA303" i="1"/>
  <c r="AJ302" i="1"/>
  <c r="AA302" i="1"/>
  <c r="AJ301" i="1"/>
  <c r="AA301" i="1"/>
  <c r="AJ300" i="1"/>
  <c r="AA300" i="1"/>
  <c r="AJ299" i="1"/>
  <c r="AA299" i="1"/>
  <c r="AJ298" i="1"/>
  <c r="AA298" i="1"/>
  <c r="AJ297" i="1"/>
  <c r="AA297" i="1"/>
  <c r="AJ296" i="1"/>
  <c r="AA296" i="1"/>
  <c r="AJ295" i="1"/>
  <c r="AI295" i="1"/>
  <c r="AG295" i="1"/>
  <c r="AE295" i="1"/>
  <c r="AC295" i="1"/>
  <c r="AA295" i="1"/>
  <c r="Y295" i="1"/>
  <c r="W295" i="1"/>
  <c r="U295" i="1"/>
  <c r="S295" i="1"/>
  <c r="Q295" i="1"/>
  <c r="O295" i="1"/>
  <c r="M295" i="1"/>
  <c r="AJ294" i="1"/>
  <c r="AA294" i="1"/>
  <c r="AK293" i="1"/>
  <c r="AJ293" i="1"/>
  <c r="AA293" i="1"/>
  <c r="AJ292" i="1"/>
  <c r="AA292" i="1"/>
  <c r="AK288" i="1"/>
  <c r="AJ288" i="1"/>
  <c r="AK287" i="1"/>
  <c r="AJ287" i="1"/>
  <c r="AJ286" i="1"/>
  <c r="AJ285"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AK279" i="1" s="1"/>
  <c r="AL280" i="1" s="1"/>
  <c r="H284" i="1"/>
  <c r="G284" i="1"/>
  <c r="F284" i="1"/>
  <c r="E284" i="1"/>
  <c r="D284" i="1"/>
  <c r="AJ283" i="1"/>
  <c r="AJ282" i="1"/>
  <c r="AJ281" i="1"/>
  <c r="AJ280"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K279" i="1"/>
  <c r="J279" i="1"/>
  <c r="I279" i="1"/>
  <c r="H279" i="1"/>
  <c r="G279" i="1"/>
  <c r="F279" i="1"/>
  <c r="E279" i="1"/>
  <c r="D279" i="1"/>
  <c r="AJ275" i="1"/>
  <c r="AJ274" i="1"/>
  <c r="AJ272" i="1"/>
  <c r="AJ271" i="1"/>
  <c r="AJ266" i="1"/>
  <c r="AI266" i="1"/>
  <c r="AH266" i="1"/>
  <c r="AG266" i="1"/>
  <c r="AF266" i="1"/>
  <c r="AE266" i="1"/>
  <c r="AD266" i="1"/>
  <c r="AC266" i="1"/>
  <c r="AB266" i="1"/>
  <c r="AA266" i="1"/>
  <c r="Z266" i="1"/>
  <c r="Y266" i="1"/>
  <c r="X266" i="1"/>
  <c r="W266" i="1"/>
  <c r="V266" i="1"/>
  <c r="U266" i="1"/>
  <c r="T266" i="1"/>
  <c r="S266" i="1"/>
  <c r="R266" i="1"/>
  <c r="Q266" i="1"/>
  <c r="P266" i="1"/>
  <c r="O266" i="1"/>
  <c r="N266" i="1"/>
  <c r="M266" i="1"/>
  <c r="L266" i="1"/>
  <c r="K266" i="1"/>
  <c r="J266" i="1"/>
  <c r="I266" i="1"/>
  <c r="H266" i="1"/>
  <c r="G266" i="1"/>
  <c r="F266" i="1"/>
  <c r="E266" i="1"/>
  <c r="D266" i="1"/>
  <c r="AK265" i="1"/>
  <c r="AJ265" i="1"/>
  <c r="AA265" i="1"/>
  <c r="Z265" i="1"/>
  <c r="AJ264" i="1"/>
  <c r="AA264" i="1"/>
  <c r="Z264" i="1"/>
  <c r="AJ263" i="1"/>
  <c r="AA263" i="1"/>
  <c r="Z263" i="1"/>
  <c r="AJ262" i="1"/>
  <c r="AA262" i="1"/>
  <c r="Z262" i="1"/>
  <c r="AJ261" i="1"/>
  <c r="AA261" i="1"/>
  <c r="Z261" i="1"/>
  <c r="AJ260" i="1"/>
  <c r="AA260" i="1"/>
  <c r="Z260" i="1"/>
  <c r="AK259" i="1"/>
  <c r="AJ259" i="1"/>
  <c r="AI259" i="1"/>
  <c r="AH259" i="1"/>
  <c r="AG259" i="1"/>
  <c r="AF259" i="1"/>
  <c r="AE259" i="1"/>
  <c r="AD259" i="1"/>
  <c r="AC259" i="1"/>
  <c r="AB259" i="1"/>
  <c r="AA259" i="1"/>
  <c r="Z259" i="1"/>
  <c r="Y259" i="1"/>
  <c r="X259" i="1"/>
  <c r="W259" i="1"/>
  <c r="V259" i="1"/>
  <c r="U259" i="1"/>
  <c r="T259" i="1"/>
  <c r="S259" i="1"/>
  <c r="R259" i="1"/>
  <c r="Q259" i="1"/>
  <c r="P259" i="1"/>
  <c r="O259" i="1"/>
  <c r="N259" i="1"/>
  <c r="M259" i="1"/>
  <c r="L259" i="1"/>
  <c r="K259" i="1"/>
  <c r="J259" i="1"/>
  <c r="I259" i="1"/>
  <c r="H259" i="1"/>
  <c r="G259" i="1"/>
  <c r="F259" i="1"/>
  <c r="E259" i="1"/>
  <c r="D259" i="1"/>
  <c r="AJ258" i="1"/>
  <c r="AA258" i="1"/>
  <c r="Z258" i="1"/>
  <c r="AJ257" i="1"/>
  <c r="AA257" i="1"/>
  <c r="Z257" i="1"/>
  <c r="AJ256" i="1"/>
  <c r="AA256" i="1"/>
  <c r="Z256" i="1"/>
  <c r="AJ255" i="1"/>
  <c r="AI255" i="1"/>
  <c r="AH255" i="1"/>
  <c r="AG255" i="1"/>
  <c r="AF255" i="1"/>
  <c r="AE255" i="1"/>
  <c r="AD255" i="1"/>
  <c r="AC255" i="1"/>
  <c r="AB255" i="1"/>
  <c r="AA255" i="1"/>
  <c r="Z255" i="1"/>
  <c r="Y255" i="1"/>
  <c r="X255" i="1"/>
  <c r="W255" i="1"/>
  <c r="V255" i="1"/>
  <c r="U255" i="1"/>
  <c r="T255" i="1"/>
  <c r="S255" i="1"/>
  <c r="R255" i="1"/>
  <c r="Q255" i="1"/>
  <c r="P255" i="1"/>
  <c r="O255" i="1"/>
  <c r="N255" i="1"/>
  <c r="M255" i="1"/>
  <c r="L255" i="1"/>
  <c r="K255" i="1"/>
  <c r="J255" i="1"/>
  <c r="I255" i="1"/>
  <c r="H255" i="1"/>
  <c r="G255" i="1"/>
  <c r="F255" i="1"/>
  <c r="E255" i="1"/>
  <c r="D255" i="1"/>
  <c r="AM254" i="1"/>
  <c r="AK254" i="1"/>
  <c r="AJ254" i="1"/>
  <c r="AA254" i="1"/>
  <c r="Z254" i="1"/>
  <c r="AM253" i="1"/>
  <c r="AK253" i="1"/>
  <c r="AJ253" i="1"/>
  <c r="AA253" i="1"/>
  <c r="Z253" i="1"/>
  <c r="AJ252" i="1"/>
  <c r="AA252" i="1"/>
  <c r="Z252" i="1"/>
  <c r="AJ251" i="1"/>
  <c r="AA251" i="1"/>
  <c r="Z251" i="1"/>
  <c r="AI250" i="1"/>
  <c r="AH250" i="1"/>
  <c r="AG250" i="1"/>
  <c r="AF250" i="1"/>
  <c r="AE250" i="1"/>
  <c r="AD250" i="1"/>
  <c r="AC250" i="1"/>
  <c r="AB250" i="1"/>
  <c r="AA250" i="1"/>
  <c r="Z250" i="1"/>
  <c r="Y250" i="1"/>
  <c r="X250" i="1"/>
  <c r="W250" i="1"/>
  <c r="V250" i="1"/>
  <c r="U250" i="1"/>
  <c r="T250" i="1"/>
  <c r="S250" i="1"/>
  <c r="R250" i="1"/>
  <c r="Q250" i="1"/>
  <c r="P250" i="1"/>
  <c r="O250" i="1"/>
  <c r="N250" i="1"/>
  <c r="M250" i="1"/>
  <c r="L250" i="1"/>
  <c r="K250" i="1"/>
  <c r="J250" i="1"/>
  <c r="I250" i="1"/>
  <c r="H250" i="1"/>
  <c r="G250" i="1"/>
  <c r="F250" i="1"/>
  <c r="E250" i="1"/>
  <c r="D250" i="1"/>
  <c r="AJ248" i="1"/>
  <c r="AI247" i="1"/>
  <c r="AH247" i="1"/>
  <c r="AG247" i="1"/>
  <c r="AF247" i="1"/>
  <c r="AE247" i="1"/>
  <c r="AD247" i="1"/>
  <c r="AC247" i="1"/>
  <c r="AB247" i="1"/>
  <c r="AA247" i="1"/>
  <c r="Z247" i="1"/>
  <c r="Y247" i="1"/>
  <c r="X247" i="1"/>
  <c r="W247" i="1"/>
  <c r="V247" i="1"/>
  <c r="U247" i="1"/>
  <c r="T247" i="1"/>
  <c r="S247" i="1"/>
  <c r="R247" i="1"/>
  <c r="Q247" i="1"/>
  <c r="P247" i="1"/>
  <c r="O247" i="1"/>
  <c r="N247" i="1"/>
  <c r="M247" i="1"/>
  <c r="L247" i="1"/>
  <c r="AJ247" i="1" s="1"/>
  <c r="K247" i="1"/>
  <c r="J247" i="1"/>
  <c r="I247" i="1"/>
  <c r="H247" i="1"/>
  <c r="G247" i="1"/>
  <c r="F247" i="1"/>
  <c r="E247" i="1"/>
  <c r="D247" i="1"/>
  <c r="AJ246" i="1"/>
  <c r="AA246" i="1"/>
  <c r="Z246" i="1"/>
  <c r="AJ245" i="1"/>
  <c r="AA245" i="1"/>
  <c r="Z245" i="1"/>
  <c r="AJ244" i="1"/>
  <c r="AA244" i="1"/>
  <c r="Z244" i="1"/>
  <c r="AJ243" i="1"/>
  <c r="AA243" i="1"/>
  <c r="Z243" i="1"/>
  <c r="AJ242" i="1"/>
  <c r="AA242" i="1"/>
  <c r="Z242" i="1"/>
  <c r="AJ241" i="1"/>
  <c r="AA241" i="1"/>
  <c r="Z241" i="1"/>
  <c r="AJ240" i="1"/>
  <c r="AA240" i="1"/>
  <c r="Z240" i="1"/>
  <c r="AJ239" i="1"/>
  <c r="AA239" i="1"/>
  <c r="Z239" i="1"/>
  <c r="AJ238" i="1"/>
  <c r="AA238" i="1"/>
  <c r="Z238" i="1"/>
  <c r="AJ237" i="1"/>
  <c r="AA237" i="1"/>
  <c r="Z237" i="1"/>
  <c r="AJ236" i="1"/>
  <c r="AJ235" i="1" s="1"/>
  <c r="AK248" i="1" s="1"/>
  <c r="AA236" i="1"/>
  <c r="Z236" i="1"/>
  <c r="AI235" i="1"/>
  <c r="AH235" i="1"/>
  <c r="AG235" i="1"/>
  <c r="AF235" i="1"/>
  <c r="AE235" i="1"/>
  <c r="AD235" i="1"/>
  <c r="AC235" i="1"/>
  <c r="AB235" i="1"/>
  <c r="AA235" i="1"/>
  <c r="Z235" i="1"/>
  <c r="X235" i="1"/>
  <c r="V235" i="1"/>
  <c r="T235" i="1"/>
  <c r="R235" i="1"/>
  <c r="P235" i="1"/>
  <c r="N235" i="1"/>
  <c r="L235" i="1"/>
  <c r="AK247" i="1" s="1"/>
  <c r="K235" i="1"/>
  <c r="J235" i="1"/>
  <c r="I235" i="1"/>
  <c r="H235" i="1"/>
  <c r="G235" i="1"/>
  <c r="F235" i="1"/>
  <c r="E235" i="1"/>
  <c r="D235" i="1"/>
  <c r="AJ234" i="1"/>
  <c r="AA234" i="1"/>
  <c r="Z234" i="1"/>
  <c r="AJ233" i="1"/>
  <c r="AA233" i="1"/>
  <c r="Z233" i="1"/>
  <c r="AJ232" i="1"/>
  <c r="AA232" i="1"/>
  <c r="Z232" i="1"/>
  <c r="AK231" i="1"/>
  <c r="AJ231" i="1"/>
  <c r="AI231" i="1"/>
  <c r="AH231" i="1"/>
  <c r="AG231" i="1"/>
  <c r="AF231" i="1"/>
  <c r="AE231" i="1"/>
  <c r="AD231" i="1"/>
  <c r="AC231" i="1"/>
  <c r="AB231" i="1"/>
  <c r="AA231" i="1"/>
  <c r="Z231" i="1"/>
  <c r="Y231" i="1"/>
  <c r="X231" i="1"/>
  <c r="W231" i="1"/>
  <c r="V231" i="1"/>
  <c r="U231" i="1"/>
  <c r="T231" i="1"/>
  <c r="S231" i="1"/>
  <c r="R231" i="1"/>
  <c r="Q231" i="1"/>
  <c r="P231" i="1"/>
  <c r="O231" i="1"/>
  <c r="N231" i="1"/>
  <c r="M231" i="1"/>
  <c r="L231" i="1"/>
  <c r="K231" i="1"/>
  <c r="J231" i="1"/>
  <c r="I231" i="1"/>
  <c r="H231" i="1"/>
  <c r="G231" i="1"/>
  <c r="F231" i="1"/>
  <c r="E231" i="1"/>
  <c r="D231" i="1"/>
  <c r="AJ230" i="1"/>
  <c r="AK230" i="1" s="1"/>
  <c r="AJ229" i="1"/>
  <c r="AA229" i="1"/>
  <c r="Z229" i="1"/>
  <c r="AJ228" i="1"/>
  <c r="AA228" i="1"/>
  <c r="Z228" i="1"/>
  <c r="AJ227" i="1"/>
  <c r="AA227" i="1"/>
  <c r="Z227" i="1"/>
  <c r="AJ226" i="1"/>
  <c r="AA226" i="1"/>
  <c r="Z226" i="1"/>
  <c r="AJ225" i="1"/>
  <c r="AA225" i="1"/>
  <c r="Z225" i="1"/>
  <c r="AK224" i="1"/>
  <c r="AJ224" i="1"/>
  <c r="AI224" i="1"/>
  <c r="AH224" i="1"/>
  <c r="AG224" i="1"/>
  <c r="AF224" i="1"/>
  <c r="AE224" i="1"/>
  <c r="AD224" i="1"/>
  <c r="AC224" i="1"/>
  <c r="AB224" i="1"/>
  <c r="AA224" i="1"/>
  <c r="Z224" i="1"/>
  <c r="Y224" i="1"/>
  <c r="X224" i="1"/>
  <c r="W224" i="1"/>
  <c r="V224" i="1"/>
  <c r="U224" i="1"/>
  <c r="T224" i="1"/>
  <c r="S224" i="1"/>
  <c r="R224" i="1"/>
  <c r="Q224" i="1"/>
  <c r="P224" i="1"/>
  <c r="O224" i="1"/>
  <c r="N224" i="1"/>
  <c r="M224" i="1"/>
  <c r="L224" i="1"/>
  <c r="K224" i="1"/>
  <c r="J224" i="1"/>
  <c r="I224" i="1"/>
  <c r="H224" i="1"/>
  <c r="G224" i="1"/>
  <c r="F224" i="1"/>
  <c r="E224" i="1"/>
  <c r="D224" i="1"/>
  <c r="AK219" i="1"/>
  <c r="AJ219" i="1"/>
  <c r="AI219" i="1"/>
  <c r="AH219" i="1"/>
  <c r="AG219" i="1"/>
  <c r="AF219" i="1"/>
  <c r="AE219" i="1"/>
  <c r="AD219" i="1"/>
  <c r="AC219" i="1"/>
  <c r="AB219" i="1"/>
  <c r="AA219" i="1"/>
  <c r="Z219" i="1"/>
  <c r="Y219" i="1"/>
  <c r="X219" i="1"/>
  <c r="W219" i="1"/>
  <c r="V219" i="1"/>
  <c r="U219" i="1"/>
  <c r="T219" i="1"/>
  <c r="S219" i="1"/>
  <c r="R219" i="1"/>
  <c r="Q219" i="1"/>
  <c r="P219" i="1"/>
  <c r="O219" i="1"/>
  <c r="N219" i="1"/>
  <c r="M219" i="1"/>
  <c r="L219" i="1"/>
  <c r="K219" i="1"/>
  <c r="J219" i="1"/>
  <c r="I219" i="1"/>
  <c r="H219" i="1"/>
  <c r="G219" i="1"/>
  <c r="F219" i="1"/>
  <c r="E219" i="1"/>
  <c r="D219" i="1"/>
  <c r="AK218" i="1"/>
  <c r="AJ218" i="1"/>
  <c r="AA218" i="1"/>
  <c r="Z218" i="1"/>
  <c r="AM217" i="1"/>
  <c r="AN204" i="1" s="1"/>
  <c r="AJ217" i="1"/>
  <c r="AA217" i="1"/>
  <c r="Z217" i="1"/>
  <c r="AJ215" i="1"/>
  <c r="AI215" i="1"/>
  <c r="AH215" i="1"/>
  <c r="AG215" i="1"/>
  <c r="AF215" i="1"/>
  <c r="AE215" i="1"/>
  <c r="AD215" i="1"/>
  <c r="AC215" i="1"/>
  <c r="AB215" i="1"/>
  <c r="AA215" i="1"/>
  <c r="Z215" i="1"/>
  <c r="Y215" i="1"/>
  <c r="X215" i="1"/>
  <c r="W215" i="1"/>
  <c r="V215" i="1"/>
  <c r="U215" i="1"/>
  <c r="T215" i="1"/>
  <c r="S215" i="1"/>
  <c r="R215" i="1"/>
  <c r="Q215" i="1"/>
  <c r="P215" i="1"/>
  <c r="O215" i="1"/>
  <c r="N215" i="1"/>
  <c r="M215" i="1"/>
  <c r="L215" i="1"/>
  <c r="K215" i="1"/>
  <c r="J215" i="1"/>
  <c r="I215" i="1"/>
  <c r="H215" i="1"/>
  <c r="G215" i="1"/>
  <c r="F215" i="1"/>
  <c r="E215" i="1"/>
  <c r="D215" i="1"/>
  <c r="AJ214" i="1"/>
  <c r="AA214" i="1"/>
  <c r="Z214" i="1"/>
  <c r="AJ213" i="1"/>
  <c r="AA213" i="1"/>
  <c r="Z213" i="1"/>
  <c r="AJ212" i="1"/>
  <c r="AA212" i="1"/>
  <c r="Z212" i="1"/>
  <c r="AK211" i="1"/>
  <c r="AJ211" i="1"/>
  <c r="AA211" i="1"/>
  <c r="Z211" i="1"/>
  <c r="AK210" i="1"/>
  <c r="AJ210" i="1"/>
  <c r="AA210" i="1"/>
  <c r="Z210" i="1"/>
  <c r="AK209" i="1"/>
  <c r="AJ209" i="1"/>
  <c r="AI209" i="1"/>
  <c r="AH209" i="1"/>
  <c r="AG209" i="1"/>
  <c r="AF209" i="1"/>
  <c r="AE209" i="1"/>
  <c r="AD209" i="1"/>
  <c r="AC209" i="1"/>
  <c r="AB209" i="1"/>
  <c r="AA209" i="1"/>
  <c r="Z209" i="1"/>
  <c r="Y209" i="1"/>
  <c r="X209" i="1"/>
  <c r="W209" i="1"/>
  <c r="V209" i="1"/>
  <c r="U209" i="1"/>
  <c r="T209" i="1"/>
  <c r="S209" i="1"/>
  <c r="R209" i="1"/>
  <c r="Q209" i="1"/>
  <c r="P209" i="1"/>
  <c r="O209" i="1"/>
  <c r="N209" i="1"/>
  <c r="M209" i="1"/>
  <c r="L209" i="1"/>
  <c r="K209" i="1"/>
  <c r="J209" i="1"/>
  <c r="I209" i="1"/>
  <c r="H209" i="1"/>
  <c r="G209" i="1"/>
  <c r="F209" i="1"/>
  <c r="E209" i="1"/>
  <c r="D209" i="1"/>
  <c r="AK208" i="1"/>
  <c r="AJ208" i="1"/>
  <c r="AA208" i="1"/>
  <c r="Z208" i="1"/>
  <c r="AM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AJ206" i="1"/>
  <c r="AA206" i="1"/>
  <c r="Z206" i="1"/>
  <c r="AJ205" i="1"/>
  <c r="AA205" i="1"/>
  <c r="Z205" i="1"/>
  <c r="AK204" i="1"/>
  <c r="AJ204" i="1"/>
  <c r="AA204" i="1"/>
  <c r="Z204" i="1"/>
  <c r="AK200" i="1"/>
  <c r="AJ200" i="1"/>
  <c r="AJ199" i="1"/>
  <c r="AM199" i="1" s="1"/>
  <c r="AM197" i="1"/>
  <c r="AK197" i="1"/>
  <c r="AJ197" i="1"/>
  <c r="AK195" i="1"/>
  <c r="AJ195" i="1"/>
  <c r="AA195" i="1"/>
  <c r="AK194" i="1"/>
  <c r="AJ194" i="1"/>
  <c r="AA194" i="1"/>
  <c r="AK193" i="1"/>
  <c r="AJ193" i="1"/>
  <c r="AA193" i="1"/>
  <c r="AJ192" i="1"/>
  <c r="AA192" i="1"/>
  <c r="AK191" i="1"/>
  <c r="AJ191" i="1"/>
  <c r="AA191" i="1"/>
  <c r="AM190" i="1"/>
  <c r="AK190" i="1"/>
  <c r="AJ190" i="1"/>
  <c r="AA190" i="1"/>
  <c r="AM189" i="1"/>
  <c r="AJ189" i="1"/>
  <c r="AA189" i="1"/>
  <c r="AM188" i="1"/>
  <c r="AJ188" i="1"/>
  <c r="AA188" i="1"/>
  <c r="AH187" i="1"/>
  <c r="AF187" i="1"/>
  <c r="AD187" i="1"/>
  <c r="AB187" i="1"/>
  <c r="AA187" i="1"/>
  <c r="Y187" i="1"/>
  <c r="W187" i="1"/>
  <c r="U187" i="1"/>
  <c r="S187" i="1"/>
  <c r="Q187" i="1"/>
  <c r="O187" i="1"/>
  <c r="M187" i="1"/>
  <c r="K187" i="1"/>
  <c r="AJ187" i="1" s="1"/>
  <c r="AM186" i="1"/>
  <c r="AJ186" i="1"/>
  <c r="AA186" i="1"/>
  <c r="AM185" i="1"/>
  <c r="AK185" i="1"/>
  <c r="AJ185" i="1"/>
  <c r="AA185" i="1"/>
  <c r="AJ180" i="1"/>
  <c r="AA180" i="1"/>
  <c r="AJ179" i="1"/>
  <c r="AA179" i="1"/>
  <c r="AJ178" i="1"/>
  <c r="AA178" i="1"/>
  <c r="AJ177" i="1"/>
  <c r="AA177" i="1"/>
  <c r="AA176" i="1"/>
  <c r="Y176" i="1"/>
  <c r="W176" i="1"/>
  <c r="U176" i="1"/>
  <c r="S176" i="1"/>
  <c r="Q176" i="1"/>
  <c r="O176" i="1"/>
  <c r="M176" i="1"/>
  <c r="K176" i="1"/>
  <c r="AJ175" i="1"/>
  <c r="AK174" i="1"/>
  <c r="AJ174" i="1"/>
  <c r="AJ173" i="1"/>
  <c r="AK172" i="1"/>
  <c r="AJ172" i="1"/>
  <c r="AJ171" i="1"/>
  <c r="AK170" i="1"/>
  <c r="AJ170" i="1"/>
  <c r="AJ169" i="1"/>
  <c r="AM192" i="1" s="1"/>
  <c r="AK168" i="1"/>
  <c r="AJ168" i="1"/>
  <c r="AJ167" i="1"/>
  <c r="AK166" i="1"/>
  <c r="AJ166" i="1"/>
  <c r="AJ165" i="1"/>
  <c r="AK164" i="1"/>
  <c r="AJ164" i="1"/>
  <c r="AJ163" i="1"/>
  <c r="AK162" i="1"/>
  <c r="AJ162" i="1"/>
  <c r="AJ161" i="1"/>
  <c r="AK160" i="1"/>
  <c r="AJ160" i="1"/>
  <c r="Y159" i="1"/>
  <c r="W159" i="1"/>
  <c r="U159" i="1"/>
  <c r="S159" i="1"/>
  <c r="Q159" i="1"/>
  <c r="O159" i="1"/>
  <c r="M159" i="1"/>
  <c r="K159" i="1"/>
  <c r="Y158" i="1"/>
  <c r="W158" i="1"/>
  <c r="U158" i="1"/>
  <c r="S158" i="1"/>
  <c r="Q158" i="1"/>
  <c r="O158" i="1"/>
  <c r="M158" i="1"/>
  <c r="K158" i="1"/>
  <c r="AJ158" i="1" s="1"/>
  <c r="AJ157" i="1"/>
  <c r="AJ156" i="1"/>
  <c r="AJ155" i="1"/>
  <c r="AJ154" i="1"/>
  <c r="AK153" i="1"/>
  <c r="AJ153" i="1"/>
  <c r="AJ152" i="1"/>
  <c r="AM151" i="1"/>
  <c r="AK151" i="1"/>
  <c r="AJ151" i="1"/>
  <c r="AJ150" i="1"/>
  <c r="AK145" i="1"/>
  <c r="AJ145" i="1"/>
  <c r="AJ144" i="1"/>
  <c r="AJ143" i="1"/>
  <c r="AK142" i="1"/>
  <c r="AJ142" i="1"/>
  <c r="AK140" i="1"/>
  <c r="AJ137" i="1"/>
  <c r="AJ134" i="1"/>
  <c r="AJ133" i="1"/>
  <c r="AJ132" i="1"/>
  <c r="AJ131" i="1"/>
  <c r="AJ130" i="1"/>
  <c r="AJ129" i="1"/>
  <c r="AJ128" i="1"/>
  <c r="AJ127" i="1"/>
  <c r="AJ126" i="1"/>
  <c r="AJ125" i="1"/>
  <c r="AJ124" i="1"/>
  <c r="AA124" i="1"/>
  <c r="Y124" i="1"/>
  <c r="W124" i="1"/>
  <c r="U124" i="1"/>
  <c r="S124" i="1"/>
  <c r="Q124" i="1"/>
  <c r="O124" i="1"/>
  <c r="M124" i="1"/>
  <c r="K124" i="1"/>
  <c r="AJ123" i="1"/>
  <c r="AJ122" i="1"/>
  <c r="AJ121" i="1"/>
  <c r="AJ120" i="1"/>
  <c r="AJ119" i="1"/>
  <c r="AJ118" i="1"/>
  <c r="AJ117" i="1"/>
  <c r="AJ116" i="1"/>
  <c r="AA116" i="1"/>
  <c r="Z116" i="1"/>
  <c r="Y116" i="1"/>
  <c r="X116" i="1"/>
  <c r="W116" i="1"/>
  <c r="V116" i="1"/>
  <c r="U116" i="1"/>
  <c r="T116" i="1"/>
  <c r="S116" i="1"/>
  <c r="R116" i="1"/>
  <c r="Q116" i="1"/>
  <c r="P116" i="1"/>
  <c r="O116" i="1"/>
  <c r="N116" i="1"/>
  <c r="M116" i="1"/>
  <c r="L116" i="1"/>
  <c r="AK127" i="1" s="1"/>
  <c r="K116" i="1"/>
  <c r="J116" i="1"/>
  <c r="AJ112" i="1"/>
  <c r="AJ111" i="1"/>
  <c r="AJ110" i="1"/>
  <c r="AJ109" i="1"/>
  <c r="AA108" i="1"/>
  <c r="Z108" i="1"/>
  <c r="Y108" i="1"/>
  <c r="X108" i="1"/>
  <c r="W108" i="1"/>
  <c r="V108" i="1"/>
  <c r="U108" i="1"/>
  <c r="T108" i="1"/>
  <c r="S108" i="1"/>
  <c r="R108" i="1"/>
  <c r="Q108" i="1"/>
  <c r="P108" i="1"/>
  <c r="O108" i="1"/>
  <c r="N108" i="1"/>
  <c r="M108" i="1"/>
  <c r="L108" i="1"/>
  <c r="K108" i="1"/>
  <c r="J108" i="1"/>
  <c r="AJ108" i="1" s="1"/>
  <c r="AJ107" i="1"/>
  <c r="AJ103" i="1"/>
  <c r="AM102" i="1" s="1"/>
  <c r="AK102" i="1"/>
  <c r="AJ102" i="1"/>
  <c r="AJ101" i="1"/>
  <c r="AM100" i="1" s="1"/>
  <c r="AK100" i="1"/>
  <c r="AJ100" i="1"/>
  <c r="AI98" i="1"/>
  <c r="AH98" i="1"/>
  <c r="AG98" i="1"/>
  <c r="AF98" i="1"/>
  <c r="AE98" i="1"/>
  <c r="AD98" i="1"/>
  <c r="AC98" i="1"/>
  <c r="AB98" i="1"/>
  <c r="X98" i="1"/>
  <c r="V98" i="1"/>
  <c r="T98" i="1"/>
  <c r="S98" i="1"/>
  <c r="R98" i="1"/>
  <c r="Q98" i="1"/>
  <c r="P98" i="1"/>
  <c r="O98" i="1"/>
  <c r="N98" i="1"/>
  <c r="L98" i="1"/>
  <c r="K98" i="1"/>
  <c r="J98" i="1"/>
  <c r="I98" i="1"/>
  <c r="H98" i="1"/>
  <c r="G98" i="1"/>
  <c r="F98" i="1"/>
  <c r="E98" i="1"/>
  <c r="D98" i="1"/>
  <c r="AI97" i="1"/>
  <c r="AH97" i="1"/>
  <c r="AG97" i="1"/>
  <c r="AF97" i="1"/>
  <c r="AE97" i="1"/>
  <c r="AD97" i="1"/>
  <c r="AC97" i="1"/>
  <c r="AB97" i="1"/>
  <c r="Y97" i="1"/>
  <c r="X97" i="1"/>
  <c r="V97" i="1"/>
  <c r="T97" i="1"/>
  <c r="S97" i="1"/>
  <c r="R97" i="1"/>
  <c r="P97" i="1"/>
  <c r="O97" i="1"/>
  <c r="N97" i="1"/>
  <c r="M97" i="1"/>
  <c r="L97" i="1"/>
  <c r="K97" i="1"/>
  <c r="J97" i="1"/>
  <c r="I97" i="1"/>
  <c r="H97" i="1"/>
  <c r="G97" i="1"/>
  <c r="F97" i="1"/>
  <c r="E97" i="1"/>
  <c r="D97" i="1"/>
  <c r="AI96" i="1"/>
  <c r="AH96" i="1"/>
  <c r="AG96" i="1"/>
  <c r="AF96" i="1"/>
  <c r="AE96" i="1"/>
  <c r="AD96" i="1"/>
  <c r="AC96" i="1"/>
  <c r="AB96" i="1"/>
  <c r="Y96" i="1"/>
  <c r="X96" i="1"/>
  <c r="W96" i="1"/>
  <c r="V96" i="1"/>
  <c r="U96" i="1"/>
  <c r="T96" i="1"/>
  <c r="R96" i="1"/>
  <c r="Q96" i="1"/>
  <c r="P96" i="1"/>
  <c r="N96" i="1"/>
  <c r="L96" i="1"/>
  <c r="K96" i="1"/>
  <c r="J96" i="1"/>
  <c r="I96" i="1"/>
  <c r="H96" i="1"/>
  <c r="G96" i="1"/>
  <c r="F96" i="1"/>
  <c r="E96" i="1"/>
  <c r="D96" i="1"/>
  <c r="AI95" i="1"/>
  <c r="AH95" i="1"/>
  <c r="AG95" i="1"/>
  <c r="AF95" i="1"/>
  <c r="AE95" i="1"/>
  <c r="AD95" i="1"/>
  <c r="AC95" i="1"/>
  <c r="AB95" i="1"/>
  <c r="X95" i="1"/>
  <c r="V95" i="1"/>
  <c r="T95" i="1"/>
  <c r="R95" i="1"/>
  <c r="P95" i="1"/>
  <c r="N95" i="1"/>
  <c r="L95" i="1"/>
  <c r="J95" i="1"/>
  <c r="I95" i="1"/>
  <c r="H95" i="1"/>
  <c r="G95" i="1"/>
  <c r="F95" i="1"/>
  <c r="E95" i="1"/>
  <c r="AI94" i="1"/>
  <c r="AH94" i="1"/>
  <c r="AG94" i="1"/>
  <c r="AF94" i="1"/>
  <c r="AE94" i="1"/>
  <c r="AD94" i="1"/>
  <c r="AC94" i="1"/>
  <c r="AB94" i="1"/>
  <c r="Y94" i="1"/>
  <c r="X94" i="1"/>
  <c r="W94" i="1"/>
  <c r="V94" i="1"/>
  <c r="U94" i="1"/>
  <c r="T94" i="1"/>
  <c r="S94" i="1"/>
  <c r="R94" i="1"/>
  <c r="Q94" i="1"/>
  <c r="P94" i="1"/>
  <c r="O94" i="1"/>
  <c r="N94" i="1"/>
  <c r="M94" i="1"/>
  <c r="L94" i="1"/>
  <c r="K94" i="1"/>
  <c r="J94" i="1"/>
  <c r="I94" i="1"/>
  <c r="H94" i="1"/>
  <c r="G94" i="1"/>
  <c r="F94" i="1"/>
  <c r="E94" i="1"/>
  <c r="D94"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F93" i="1"/>
  <c r="E93" i="1"/>
  <c r="D93" i="1"/>
  <c r="AA92" i="1"/>
  <c r="AJ92" i="1" s="1"/>
  <c r="Z92" i="1"/>
  <c r="AA91" i="1"/>
  <c r="Z91" i="1"/>
  <c r="AA90" i="1"/>
  <c r="Z90" i="1"/>
  <c r="AJ90" i="1" s="1"/>
  <c r="AA89" i="1"/>
  <c r="AJ89" i="1" s="1"/>
  <c r="Z89" i="1"/>
  <c r="AK88" i="1"/>
  <c r="AA88" i="1"/>
  <c r="Z88" i="1"/>
  <c r="AJ88" i="1" s="1"/>
  <c r="AM87" i="1" s="1"/>
  <c r="AK87" i="1"/>
  <c r="AJ87" i="1"/>
  <c r="AA87" i="1"/>
  <c r="Z87" i="1"/>
  <c r="AJ86" i="1"/>
  <c r="AA86" i="1"/>
  <c r="Z86" i="1"/>
  <c r="Z85" i="1"/>
  <c r="L85" i="1"/>
  <c r="AA84" i="1"/>
  <c r="Z84" i="1"/>
  <c r="AA83" i="1"/>
  <c r="Z83" i="1"/>
  <c r="AA82" i="1"/>
  <c r="Z82" i="1"/>
  <c r="AJ82" i="1" s="1"/>
  <c r="AA81" i="1"/>
  <c r="Z81" i="1"/>
  <c r="AA80" i="1"/>
  <c r="Z80" i="1"/>
  <c r="AK79" i="1"/>
  <c r="AJ79" i="1"/>
  <c r="AA79" i="1"/>
  <c r="Z79" i="1"/>
  <c r="AK78" i="1"/>
  <c r="AJ78" i="1"/>
  <c r="AA78" i="1"/>
  <c r="Z78" i="1"/>
  <c r="AA77" i="1"/>
  <c r="Z77" i="1"/>
  <c r="AA76" i="1"/>
  <c r="Z76" i="1"/>
  <c r="AA75" i="1"/>
  <c r="Z75" i="1"/>
  <c r="AA74" i="1"/>
  <c r="Z74" i="1"/>
  <c r="AA73" i="1"/>
  <c r="Z73" i="1"/>
  <c r="AJ72" i="1"/>
  <c r="AA72" i="1"/>
  <c r="Z72" i="1"/>
  <c r="AA71" i="1"/>
  <c r="Z71" i="1"/>
  <c r="AA70" i="1"/>
  <c r="Z70" i="1"/>
  <c r="AA69" i="1"/>
  <c r="Z69" i="1"/>
  <c r="AA68" i="1"/>
  <c r="Z68" i="1"/>
  <c r="AI67" i="1"/>
  <c r="AH67" i="1"/>
  <c r="AG67" i="1"/>
  <c r="AF67" i="1"/>
  <c r="AE67" i="1"/>
  <c r="AD67" i="1"/>
  <c r="AC67" i="1"/>
  <c r="AB67" i="1"/>
  <c r="AA67" i="1"/>
  <c r="Z67" i="1"/>
  <c r="X67" i="1"/>
  <c r="V67" i="1"/>
  <c r="T67" i="1"/>
  <c r="R67" i="1"/>
  <c r="P67" i="1"/>
  <c r="N67" i="1"/>
  <c r="L67" i="1"/>
  <c r="J67" i="1"/>
  <c r="I67" i="1"/>
  <c r="H67" i="1"/>
  <c r="G67" i="1"/>
  <c r="F67" i="1"/>
  <c r="AI66" i="1"/>
  <c r="AH66" i="1"/>
  <c r="AG66" i="1"/>
  <c r="AF66" i="1"/>
  <c r="AE66" i="1"/>
  <c r="AD66" i="1"/>
  <c r="AC66" i="1"/>
  <c r="AB66" i="1"/>
  <c r="AA66" i="1"/>
  <c r="Z66" i="1"/>
  <c r="Y66" i="1"/>
  <c r="Y67" i="1" s="1"/>
  <c r="X66" i="1"/>
  <c r="W66" i="1"/>
  <c r="V66" i="1"/>
  <c r="U66" i="1"/>
  <c r="T66" i="1"/>
  <c r="S66" i="1"/>
  <c r="R66" i="1"/>
  <c r="Q66" i="1"/>
  <c r="Q67" i="1" s="1"/>
  <c r="P66" i="1"/>
  <c r="O66" i="1"/>
  <c r="N66" i="1"/>
  <c r="M66" i="1"/>
  <c r="M67" i="1" s="1"/>
  <c r="L66" i="1"/>
  <c r="K66" i="1"/>
  <c r="J66" i="1"/>
  <c r="I66" i="1"/>
  <c r="H66" i="1"/>
  <c r="G66" i="1"/>
  <c r="F66"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AA62" i="1"/>
  <c r="Z62" i="1"/>
  <c r="Y62" i="1"/>
  <c r="Y98" i="1" s="1"/>
  <c r="X62" i="1"/>
  <c r="W62" i="1"/>
  <c r="W98" i="1" s="1"/>
  <c r="V62" i="1"/>
  <c r="U62" i="1"/>
  <c r="U98" i="1" s="1"/>
  <c r="T62" i="1"/>
  <c r="S62" i="1"/>
  <c r="R62" i="1"/>
  <c r="Q62" i="1"/>
  <c r="P62" i="1"/>
  <c r="O62" i="1"/>
  <c r="N62" i="1"/>
  <c r="M62" i="1"/>
  <c r="M98" i="1" s="1"/>
  <c r="L62" i="1"/>
  <c r="K62" i="1"/>
  <c r="J62" i="1"/>
  <c r="I62" i="1"/>
  <c r="H62" i="1"/>
  <c r="G62" i="1"/>
  <c r="F62" i="1"/>
  <c r="AA61" i="1"/>
  <c r="Z61" i="1"/>
  <c r="Y61" i="1"/>
  <c r="X61" i="1"/>
  <c r="W61" i="1"/>
  <c r="W97" i="1" s="1"/>
  <c r="V61" i="1"/>
  <c r="U61" i="1"/>
  <c r="U97" i="1" s="1"/>
  <c r="T61" i="1"/>
  <c r="S61" i="1"/>
  <c r="R61" i="1"/>
  <c r="Q61" i="1"/>
  <c r="Q97" i="1" s="1"/>
  <c r="P61" i="1"/>
  <c r="O61" i="1"/>
  <c r="N61" i="1"/>
  <c r="M61" i="1"/>
  <c r="L61" i="1"/>
  <c r="K61" i="1"/>
  <c r="J61" i="1"/>
  <c r="I61" i="1"/>
  <c r="H61" i="1"/>
  <c r="G61" i="1"/>
  <c r="F61" i="1"/>
  <c r="AA60" i="1"/>
  <c r="Z60" i="1"/>
  <c r="Y60" i="1"/>
  <c r="X60" i="1"/>
  <c r="W60" i="1"/>
  <c r="V60" i="1"/>
  <c r="U60" i="1"/>
  <c r="T60" i="1"/>
  <c r="S60" i="1"/>
  <c r="S96" i="1" s="1"/>
  <c r="R60" i="1"/>
  <c r="Q60" i="1"/>
  <c r="P60" i="1"/>
  <c r="O60" i="1"/>
  <c r="O96" i="1" s="1"/>
  <c r="N60" i="1"/>
  <c r="M60" i="1"/>
  <c r="M96" i="1" s="1"/>
  <c r="L60" i="1"/>
  <c r="K60" i="1"/>
  <c r="J60" i="1"/>
  <c r="I60" i="1"/>
  <c r="H60" i="1"/>
  <c r="G60" i="1"/>
  <c r="F60" i="1"/>
  <c r="AA59" i="1"/>
  <c r="Z59" i="1"/>
  <c r="Y59" i="1"/>
  <c r="Y95" i="1" s="1"/>
  <c r="X59" i="1"/>
  <c r="W59" i="1"/>
  <c r="W95" i="1" s="1"/>
  <c r="V59" i="1"/>
  <c r="U59" i="1"/>
  <c r="U95" i="1" s="1"/>
  <c r="T59" i="1"/>
  <c r="S59" i="1"/>
  <c r="S95" i="1" s="1"/>
  <c r="R59" i="1"/>
  <c r="Q59" i="1"/>
  <c r="Q95" i="1" s="1"/>
  <c r="P59" i="1"/>
  <c r="O59" i="1"/>
  <c r="O95" i="1" s="1"/>
  <c r="N59" i="1"/>
  <c r="M59" i="1"/>
  <c r="M95" i="1" s="1"/>
  <c r="L59" i="1"/>
  <c r="K59" i="1"/>
  <c r="K95" i="1" s="1"/>
  <c r="J59" i="1"/>
  <c r="I59" i="1"/>
  <c r="H59" i="1"/>
  <c r="G59"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F58" i="1"/>
  <c r="AI57" i="1"/>
  <c r="AH57" i="1"/>
  <c r="AG57" i="1"/>
  <c r="AF57" i="1"/>
  <c r="AE57" i="1"/>
  <c r="AD57" i="1"/>
  <c r="AC57" i="1"/>
  <c r="AB57" i="1"/>
  <c r="Y57" i="1"/>
  <c r="X57" i="1"/>
  <c r="W57" i="1"/>
  <c r="V57" i="1"/>
  <c r="U57" i="1"/>
  <c r="T57" i="1"/>
  <c r="S57" i="1"/>
  <c r="R57" i="1"/>
  <c r="Q57" i="1"/>
  <c r="P57" i="1"/>
  <c r="O57" i="1"/>
  <c r="N57" i="1"/>
  <c r="M57" i="1"/>
  <c r="L57" i="1"/>
  <c r="K57" i="1"/>
  <c r="AJ57" i="1" s="1"/>
  <c r="J57" i="1"/>
  <c r="I57" i="1"/>
  <c r="H57" i="1"/>
  <c r="G57" i="1"/>
  <c r="F57" i="1"/>
  <c r="AA56" i="1"/>
  <c r="Z56" i="1"/>
  <c r="AA55" i="1"/>
  <c r="Z55" i="1"/>
  <c r="AJ55" i="1" s="1"/>
  <c r="AA54" i="1"/>
  <c r="Z54" i="1"/>
  <c r="AA53" i="1"/>
  <c r="Z53" i="1"/>
  <c r="AJ53" i="1" s="1"/>
  <c r="AA52" i="1"/>
  <c r="Z52" i="1"/>
  <c r="AK51" i="1" s="1"/>
  <c r="F52"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F51" i="1"/>
  <c r="AA50" i="1"/>
  <c r="Z50" i="1"/>
  <c r="AJ50" i="1" s="1"/>
  <c r="AA49" i="1"/>
  <c r="Z49" i="1"/>
  <c r="AJ49" i="1" s="1"/>
  <c r="AA48" i="1"/>
  <c r="Z48" i="1"/>
  <c r="AJ48" i="1" s="1"/>
  <c r="AJ47" i="1"/>
  <c r="AA47" i="1"/>
  <c r="Z47" i="1"/>
  <c r="AK46" i="1"/>
  <c r="AA46" i="1"/>
  <c r="Z46" i="1"/>
  <c r="AK45" i="1"/>
  <c r="AJ45" i="1"/>
  <c r="AA45" i="1"/>
  <c r="Z45" i="1"/>
  <c r="AJ44" i="1"/>
  <c r="AJ43" i="1"/>
  <c r="AJ42" i="1"/>
  <c r="AJ41" i="1"/>
  <c r="AK40" i="1"/>
  <c r="AJ40" i="1"/>
  <c r="AM39" i="1" s="1"/>
  <c r="AK39" i="1"/>
  <c r="AJ39" i="1"/>
  <c r="AA38" i="1"/>
  <c r="Z38" i="1"/>
  <c r="AJ38" i="1" s="1"/>
  <c r="AA37" i="1"/>
  <c r="Z37" i="1"/>
  <c r="AA36" i="1"/>
  <c r="Z36" i="1"/>
  <c r="AJ36" i="1" s="1"/>
  <c r="AA35" i="1"/>
  <c r="Z35" i="1"/>
  <c r="AJ35" i="1" s="1"/>
  <c r="AJ34" i="1"/>
  <c r="AM33" i="1" s="1"/>
  <c r="AK33" i="1"/>
  <c r="AJ33" i="1"/>
  <c r="AA32" i="1"/>
  <c r="Z32" i="1"/>
  <c r="AA31" i="1"/>
  <c r="Z31" i="1"/>
  <c r="AA30" i="1"/>
  <c r="AJ30" i="1" s="1"/>
  <c r="Z30" i="1"/>
  <c r="AA29" i="1"/>
  <c r="Z29" i="1"/>
  <c r="AJ29" i="1" s="1"/>
  <c r="AM28" i="1"/>
  <c r="AK28" i="1"/>
  <c r="AJ28" i="1"/>
  <c r="AA28" i="1"/>
  <c r="Z28" i="1"/>
  <c r="AK27" i="1"/>
  <c r="AJ27" i="1"/>
  <c r="AA27" i="1"/>
  <c r="Z27" i="1"/>
  <c r="AA26" i="1"/>
  <c r="Z26" i="1"/>
  <c r="AA25" i="1"/>
  <c r="Z25" i="1"/>
  <c r="AA24" i="1"/>
  <c r="Z24" i="1"/>
  <c r="AJ24" i="1" s="1"/>
  <c r="AA23" i="1"/>
  <c r="Z23" i="1"/>
  <c r="AA22" i="1"/>
  <c r="AJ22" i="1" s="1"/>
  <c r="AK21" i="1" s="1"/>
  <c r="Z22" i="1"/>
  <c r="AJ21" i="1"/>
  <c r="AA21" i="1"/>
  <c r="Z21" i="1"/>
  <c r="AJ20" i="1"/>
  <c r="AI19" i="1"/>
  <c r="AH19" i="1"/>
  <c r="AG19" i="1"/>
  <c r="AF19" i="1"/>
  <c r="AE19" i="1"/>
  <c r="AD19" i="1"/>
  <c r="AC19" i="1"/>
  <c r="AB19" i="1"/>
  <c r="Y19" i="1"/>
  <c r="X19" i="1"/>
  <c r="W19" i="1"/>
  <c r="V19" i="1"/>
  <c r="U19" i="1"/>
  <c r="T19" i="1"/>
  <c r="S19" i="1"/>
  <c r="R19" i="1"/>
  <c r="Q19" i="1"/>
  <c r="P19" i="1"/>
  <c r="O19" i="1"/>
  <c r="N19" i="1"/>
  <c r="M19" i="1"/>
  <c r="L19" i="1"/>
  <c r="K19" i="1"/>
  <c r="J19" i="1"/>
  <c r="I19" i="1"/>
  <c r="H19" i="1"/>
  <c r="G19" i="1"/>
  <c r="F19" i="1"/>
  <c r="AA18" i="1"/>
  <c r="Z18" i="1"/>
  <c r="AJ18" i="1" s="1"/>
  <c r="AJ17" i="1"/>
  <c r="AA17" i="1"/>
  <c r="Z17" i="1"/>
  <c r="AA16" i="1"/>
  <c r="Z16" i="1"/>
  <c r="AJ16" i="1" s="1"/>
  <c r="AA15" i="1"/>
  <c r="Z15" i="1"/>
  <c r="AJ15" i="1" s="1"/>
  <c r="AK14" i="1"/>
  <c r="AA14" i="1"/>
  <c r="AA19" i="1" s="1"/>
  <c r="Z14" i="1"/>
  <c r="AJ13" i="1"/>
  <c r="AA13" i="1"/>
  <c r="Z13" i="1"/>
  <c r="AJ12" i="1"/>
  <c r="AJ11" i="1"/>
  <c r="AA11" i="1"/>
  <c r="Z11" i="1"/>
  <c r="AM10" i="1"/>
  <c r="AK10" i="1"/>
  <c r="AJ10" i="1"/>
  <c r="AA10" i="1"/>
  <c r="Z10" i="1"/>
  <c r="AJ9" i="1"/>
  <c r="AA9" i="1"/>
  <c r="Z9" i="1"/>
  <c r="AK8" i="1"/>
  <c r="AJ8" i="1"/>
  <c r="AA8" i="1"/>
  <c r="Z8" i="1"/>
  <c r="A3" i="1"/>
  <c r="AJ284" i="1" l="1"/>
  <c r="AJ279" i="1"/>
  <c r="AK252" i="1"/>
  <c r="AK235" i="1"/>
  <c r="AK283" i="1"/>
  <c r="AK276" i="1"/>
  <c r="AL274" i="1" s="1"/>
  <c r="AK250" i="1"/>
  <c r="AK192" i="1"/>
  <c r="AJ65" i="1"/>
  <c r="AM200" i="1"/>
  <c r="AN197" i="1" s="1"/>
  <c r="AL204" i="1"/>
  <c r="W67" i="1"/>
  <c r="U67" i="1"/>
  <c r="AJ66" i="1"/>
  <c r="AK66" i="1" s="1"/>
  <c r="S67" i="1"/>
  <c r="O67" i="1"/>
  <c r="AJ64" i="1"/>
  <c r="AJ63" i="1"/>
  <c r="AJ176" i="1"/>
  <c r="AK186" i="1"/>
  <c r="AJ58" i="1"/>
  <c r="AJ159" i="1"/>
  <c r="AJ60" i="1"/>
  <c r="AK155" i="1"/>
  <c r="AM178" i="1"/>
  <c r="AN150" i="1" s="1"/>
  <c r="AK150" i="1"/>
  <c r="AK152" i="1"/>
  <c r="AK134" i="1"/>
  <c r="AK129" i="1"/>
  <c r="AL116" i="1" s="1"/>
  <c r="AK132" i="1"/>
  <c r="AJ91" i="1"/>
  <c r="AA85" i="1"/>
  <c r="AJ85" i="1" s="1"/>
  <c r="AJ83" i="1"/>
  <c r="AJ80" i="1"/>
  <c r="AJ84" i="1"/>
  <c r="AJ81" i="1"/>
  <c r="AJ74" i="1"/>
  <c r="AJ73" i="1"/>
  <c r="AM72" i="1" s="1"/>
  <c r="AJ77" i="1"/>
  <c r="AJ75" i="1"/>
  <c r="AJ76" i="1"/>
  <c r="AK72" i="1"/>
  <c r="AJ62" i="1"/>
  <c r="AK58" i="1"/>
  <c r="AJ59" i="1"/>
  <c r="AJ61" i="1"/>
  <c r="AJ56" i="1"/>
  <c r="AJ54" i="1"/>
  <c r="AJ52" i="1"/>
  <c r="AM51" i="1" s="1"/>
  <c r="AJ46" i="1"/>
  <c r="AM45" i="1" s="1"/>
  <c r="AJ37" i="1"/>
  <c r="AK34" i="1"/>
  <c r="AL292" i="1"/>
  <c r="AJ32" i="1"/>
  <c r="AJ31" i="1"/>
  <c r="AM27" i="1"/>
  <c r="AK22" i="1"/>
  <c r="AJ26" i="1"/>
  <c r="AJ23" i="1"/>
  <c r="AJ25" i="1"/>
  <c r="AM21" i="1"/>
  <c r="AA94" i="1"/>
  <c r="AK13" i="1"/>
  <c r="Z97" i="1"/>
  <c r="AJ14" i="1"/>
  <c r="Z19" i="1"/>
  <c r="AK20" i="1" s="1"/>
  <c r="AA97" i="1"/>
  <c r="Z94" i="1"/>
  <c r="AA98" i="1"/>
  <c r="AA95" i="1"/>
  <c r="Z96" i="1"/>
  <c r="AL285" i="1"/>
  <c r="AJ93" i="1"/>
  <c r="AJ19" i="1"/>
  <c r="AM13" i="1"/>
  <c r="AK261" i="1"/>
  <c r="AJ250" i="1"/>
  <c r="AK266" i="1"/>
  <c r="AN250" i="1"/>
  <c r="AK199" i="1"/>
  <c r="K67" i="1"/>
  <c r="AJ70" i="1"/>
  <c r="AA96" i="1"/>
  <c r="AJ71" i="1"/>
  <c r="AJ68" i="1"/>
  <c r="AJ69" i="1"/>
  <c r="Z95" i="1"/>
  <c r="Z98" i="1"/>
  <c r="AL224" i="1" l="1"/>
  <c r="A341" i="1" s="1"/>
  <c r="AL250" i="1"/>
  <c r="AL185" i="1"/>
  <c r="AN185" i="1"/>
  <c r="AJ67" i="1"/>
  <c r="AK86" i="1"/>
  <c r="AM93" i="1"/>
  <c r="AM94" i="1"/>
  <c r="AM230" i="1"/>
  <c r="AN224" i="1" s="1"/>
  <c r="AJ98" i="1"/>
  <c r="AJ97" i="1"/>
  <c r="AJ96" i="1"/>
  <c r="AJ94" i="1"/>
  <c r="AJ95" i="1"/>
  <c r="AK67" i="1"/>
  <c r="B2" i="1" l="1"/>
  <c r="AN8" i="1"/>
  <c r="A363" i="1" s="1"/>
  <c r="M341" i="1" l="1"/>
</calcChain>
</file>

<file path=xl/sharedStrings.xml><?xml version="1.0" encoding="utf-8"?>
<sst xmlns="http://schemas.openxmlformats.org/spreadsheetml/2006/main" count="3179" uniqueCount="979">
  <si>
    <t>Form 1a Data Element Discription and Data source</t>
  </si>
  <si>
    <t>Main Section</t>
  </si>
  <si>
    <t>Subsection</t>
  </si>
  <si>
    <t>Indicator</t>
  </si>
  <si>
    <t>Sub-Indicator</t>
  </si>
  <si>
    <t>Code</t>
  </si>
  <si>
    <t>Data Element Description</t>
  </si>
  <si>
    <t>Data source</t>
  </si>
  <si>
    <t>1.1 HIV Testing</t>
  </si>
  <si>
    <t>1.1.1 HTS_Index</t>
  </si>
  <si>
    <t>Index clients offered safe index testing services</t>
  </si>
  <si>
    <t>F01-01</t>
  </si>
  <si>
    <t>This is a count of Index clients (newly diagnosed positive or previously known positives who may or may not be on ART) who were offered (e.g., counseled on) Index testing services (regardless of whether or not those services were accepted by the Index client)</t>
  </si>
  <si>
    <t>Index testing register, colm "d"</t>
  </si>
  <si>
    <t>Index accepted safe index testing services</t>
  </si>
  <si>
    <t>F01-02</t>
  </si>
  <si>
    <t>This is a count of Index clients who accepted (e.g., agreed to) provision of Index testing services by a provider (including, counseling on Index testing, elicitation of current or past sexual partners/partner notification etc.</t>
  </si>
  <si>
    <t>Index testing register, colm "d" vs "r"</t>
  </si>
  <si>
    <t>Contacts elicited</t>
  </si>
  <si>
    <t>F01-03</t>
  </si>
  <si>
    <t>This is a count of contacts provided by the Index client as a result of accepting Index testing services.  Note: contacts are only sexual partners, biological children/parents, and anyone with whom a needle was shared.</t>
  </si>
  <si>
    <t>Index testing register, colm "t"</t>
  </si>
  <si>
    <t>Known Positive</t>
  </si>
  <si>
    <t>F01-04</t>
  </si>
  <si>
    <t>Known positive status refers to all those clients, who have documented evidence of their positive HIV status</t>
  </si>
  <si>
    <t>Index testing register, colm "ac"</t>
  </si>
  <si>
    <t>Documented Negative</t>
  </si>
  <si>
    <t>F01-045</t>
  </si>
  <si>
    <t>This is the count of contacts provided by te Index clients who received a recent HIV test and they are not eligible for a HIV test.</t>
  </si>
  <si>
    <t>Tested</t>
  </si>
  <si>
    <t>F01-05</t>
  </si>
  <si>
    <t>This is account of contacts of an Index client, tested through Index testing services and received results</t>
  </si>
  <si>
    <t>Index testing register, colm "an"</t>
  </si>
  <si>
    <t>Positive</t>
  </si>
  <si>
    <t>F01-06</t>
  </si>
  <si>
    <t>This is the count of contacts of Index client who was tested positive and was made aware of their HIV positive results.</t>
  </si>
  <si>
    <t>Index testing register, colm "ao"</t>
  </si>
  <si>
    <t>Linked within this site (Intra-facility Linkage)</t>
  </si>
  <si>
    <t>F10-02</t>
  </si>
  <si>
    <t>This is a count of all HIV positive individuals who were linked and started on ART within the same facility (UTJ supported)</t>
  </si>
  <si>
    <t>Index testing register, colm "ar"</t>
  </si>
  <si>
    <t>Linked in another UTJ Site (inter-facility linkage)</t>
  </si>
  <si>
    <t>F10-03</t>
  </si>
  <si>
    <t>This is a count of all HIV positive individuals who were linked and started on ART in another UTJ supported facility</t>
  </si>
  <si>
    <t>Linked in another non-UTJ Site (inter-facility linkage)</t>
  </si>
  <si>
    <t>F10-04</t>
  </si>
  <si>
    <t>This is a count of all HIV positive individuals who were linked and started on ART in another non UTJ supported facility</t>
  </si>
  <si>
    <t>Total Unlinked</t>
  </si>
  <si>
    <t>F10-05</t>
  </si>
  <si>
    <t>This is an autocalculated section of the linkage within Index testing mordality</t>
  </si>
  <si>
    <t>Negative</t>
  </si>
  <si>
    <t>F01-061</t>
  </si>
  <si>
    <t>This is account of contacts of an Index client, tested through Index testing services and received Negative results</t>
  </si>
  <si>
    <t>Negative Initiated on Prep</t>
  </si>
  <si>
    <t>F01-091</t>
  </si>
  <si>
    <t>This is account of contacts of an Index client, tested through Index testing services and received Negative results and initiated on PrEP (Use the PrEP number as proxxy)</t>
  </si>
  <si>
    <t>Index testing register, colm "as"</t>
  </si>
  <si>
    <t>1.1.2 HTS_TST: Emergency</t>
  </si>
  <si>
    <t>F01-10</t>
  </si>
  <si>
    <t>This is a count of persons tested in a designated emergency department or ward for the immediate care and treatment of an unforeseen illness or injury.</t>
  </si>
  <si>
    <t>HTS Lab register colm "n"</t>
  </si>
  <si>
    <t>F01-11</t>
  </si>
  <si>
    <t>This is a count of persons tested HIV positive in a designated emergency department or ward for the immediate care and treatment of an unforeseen illness or injury.</t>
  </si>
  <si>
    <t>F10-07</t>
  </si>
  <si>
    <t>Referral and Linkage Register colm "h"</t>
  </si>
  <si>
    <t>F10-09</t>
  </si>
  <si>
    <t>F10-010</t>
  </si>
  <si>
    <t>F10-011</t>
  </si>
  <si>
    <t>This Autocalated section of the linkage in emergency ward</t>
  </si>
  <si>
    <t>1.1.3 HTS_TST: Inpatient</t>
  </si>
  <si>
    <t>F01-12</t>
  </si>
  <si>
    <t>This is a count of PITC testing occurring among those patients admitted in the inpatient and surgery wards</t>
  </si>
  <si>
    <t>F01-13</t>
  </si>
  <si>
    <t>This is a count of PITC tested HIV posiitve among those patients tested for HIV while admitted in the inpatient and surgery wards</t>
  </si>
  <si>
    <t>F10-013</t>
  </si>
  <si>
    <t>F10-014</t>
  </si>
  <si>
    <t>F10-015</t>
  </si>
  <si>
    <t>F10-016</t>
  </si>
  <si>
    <t>This Autocalated section of the linkage within inpatient</t>
  </si>
  <si>
    <t>1.1.4 HTS_TST: Malnutrition</t>
  </si>
  <si>
    <t>F01-14</t>
  </si>
  <si>
    <t>This is a count of children tested for HIV in clinics and inpatient wards predominately dedicated to the treatment of malnourished children.</t>
  </si>
  <si>
    <t>F01-15</t>
  </si>
  <si>
    <t>This is a count of children tested HIV positive in clinics and inpatient wards predominately dedicated to the treatment of malnourished children.</t>
  </si>
  <si>
    <t>F10-018</t>
  </si>
  <si>
    <t>F10-019</t>
  </si>
  <si>
    <t>F10-020</t>
  </si>
  <si>
    <t>F10-021</t>
  </si>
  <si>
    <t>This Autocalated section of the linkage in the nutrition department</t>
  </si>
  <si>
    <t>1.1.5 HTS_TST:Pediatric 
(&lt; 5 Yrs)</t>
  </si>
  <si>
    <t>F01-16</t>
  </si>
  <si>
    <t>This is a count of children testd through PITC in the pediatric &lt;5 clinic only</t>
  </si>
  <si>
    <t>F01-17</t>
  </si>
  <si>
    <t>This is a count of children testd HIV positive through PITC in the pediatric &lt;5 clinic only</t>
  </si>
  <si>
    <t>F10-023</t>
  </si>
  <si>
    <t>F10-024</t>
  </si>
  <si>
    <t>F10-025</t>
  </si>
  <si>
    <t>F10-026</t>
  </si>
  <si>
    <t>This Autocalated section of the linkage within the pediatric ward</t>
  </si>
  <si>
    <t>1.1.6 HTS_TST: STI</t>
  </si>
  <si>
    <t>F01-18</t>
  </si>
  <si>
    <t>This is a count of persons tested in a designated STI clinic as well as patients seen in the OPD for STI symptoms.</t>
  </si>
  <si>
    <t>F01-19</t>
  </si>
  <si>
    <t>This is a count of persons tested HIV positive in a designated STI clinic as well as patients seen in the OPD for STI symptoms.</t>
  </si>
  <si>
    <t>F10-028</t>
  </si>
  <si>
    <t>F10-029</t>
  </si>
  <si>
    <t>F10-030</t>
  </si>
  <si>
    <t>F10-031</t>
  </si>
  <si>
    <t>This Autocalated section of the linkage in the STI clinic</t>
  </si>
  <si>
    <t>1.1.7 HTS_TST:  TB ( autopopulated)</t>
  </si>
  <si>
    <t>F01-20</t>
  </si>
  <si>
    <t>This is a count of persons tested for HIV because they are a confirmed TB case.</t>
  </si>
  <si>
    <t>F01-21</t>
  </si>
  <si>
    <t>This is a count of persons tested HIV positive because they are a confirmed TB case.</t>
  </si>
  <si>
    <t>F10-201</t>
  </si>
  <si>
    <t>F10-202</t>
  </si>
  <si>
    <t>F10-203</t>
  </si>
  <si>
    <t>F10-204</t>
  </si>
  <si>
    <t>This Autocalated section of the linkage in the TB clinic</t>
  </si>
  <si>
    <t>1.1.8 HTS_TST: PMTCT ANC 1 Only (autopopulated)</t>
  </si>
  <si>
    <t>F02-20</t>
  </si>
  <si>
    <t>This is a count of persons tested for HIV at ANC 1 Only</t>
  </si>
  <si>
    <t>F02-21</t>
  </si>
  <si>
    <t>This is a count of persons tested HIV positive at ANC 1 Only</t>
  </si>
  <si>
    <t>F02-23</t>
  </si>
  <si>
    <t>F02-24</t>
  </si>
  <si>
    <t>F02-25</t>
  </si>
  <si>
    <t>F02-26</t>
  </si>
  <si>
    <t>This Autocalated section of the linkage at 1st ANC</t>
  </si>
  <si>
    <t>1.1.9 HTS_TST: PMTCT Post ANC 1: Pregnant/L&amp;D (autopopulated)</t>
  </si>
  <si>
    <t>F02-30</t>
  </si>
  <si>
    <t>This is a count of persons tested for HIV at ANC 2 and above and L&amp;D</t>
  </si>
  <si>
    <t>F02-31</t>
  </si>
  <si>
    <t>This is a count of persons tested HIV positive at ANC 2 and above/L&amp;D</t>
  </si>
  <si>
    <t>1.1.10 HTS_TST: PMTCT Post ANC 1: Breastfeeding (autopopulated)</t>
  </si>
  <si>
    <t>F02-32</t>
  </si>
  <si>
    <t>This is a count of persons tested for HIV at Post Natal (PNC &lt;= 6wks and PNC &gt;weeks to 6 months)</t>
  </si>
  <si>
    <t>F02-33</t>
  </si>
  <si>
    <t>This is a count of persons tested HIV positive at Post Natal (PNC &lt;= 6wks and PNC &gt;weeks to 6 months)</t>
  </si>
  <si>
    <t>1.1.11 Total HTS_TST:PMTCT Post ANC 1 (Linkage) (autopopulated)</t>
  </si>
  <si>
    <t>Total Positives at Post ANC1 (Pregnant/L&amp;D/Breastfeeding)</t>
  </si>
  <si>
    <t>F02-34</t>
  </si>
  <si>
    <t>F02-35</t>
  </si>
  <si>
    <t>F02-36</t>
  </si>
  <si>
    <t>F02-37</t>
  </si>
  <si>
    <t>F02-38</t>
  </si>
  <si>
    <t>This Autocalated section of the linkage at post natal clinic</t>
  </si>
  <si>
    <t>1.1.12 HTS_TST: VCT</t>
  </si>
  <si>
    <t>F01-24</t>
  </si>
  <si>
    <t>This is a count of HIV testing in a clinic specifically intended for HIV testing services that is co-located within a broader health care facility</t>
  </si>
  <si>
    <t>F01-25</t>
  </si>
  <si>
    <t>This is a count of HIV positive clients in a clinic specifically intended for voluntary HIV testing services that is co-located within a broader health care facility</t>
  </si>
  <si>
    <t>F10-043</t>
  </si>
  <si>
    <t>F10-044</t>
  </si>
  <si>
    <t>F10-045</t>
  </si>
  <si>
    <t>F10-046</t>
  </si>
  <si>
    <t>This Autocalated section of the linkage in VCT</t>
  </si>
  <si>
    <t>1.1.13 HTS_TST:Social Network Strategy (SNS)</t>
  </si>
  <si>
    <t>F01-250</t>
  </si>
  <si>
    <t xml:space="preserve">This is the count of social contacts elicited by seeds/recruiters who accepted SNS services. The Recruiters can be HIV positive ornegative clients </t>
  </si>
  <si>
    <t>Social Network Strategy Register colm "aa"</t>
  </si>
  <si>
    <t>F01-251</t>
  </si>
  <si>
    <t>This is the count of social contacts elicited who were eligible and they were tested for HIV.</t>
  </si>
  <si>
    <t>Social Network Strategy Register colm "bc"</t>
  </si>
  <si>
    <t>F01-252</t>
  </si>
  <si>
    <t>This is the count of social contacts who tested HIV positive durning the reporting period</t>
  </si>
  <si>
    <t>Social Network Strategy Register colm "be"</t>
  </si>
  <si>
    <t>F10-048</t>
  </si>
  <si>
    <t>Social Network Strategy Register colm "ca"</t>
  </si>
  <si>
    <t>F10-049</t>
  </si>
  <si>
    <t>F10-050</t>
  </si>
  <si>
    <t>F10-051</t>
  </si>
  <si>
    <t>This Autocalated section of the linkage within SNS testing mordality</t>
  </si>
  <si>
    <t>F01-253</t>
  </si>
  <si>
    <t>This is a count of social contacts tested through SNS testing services and received Negative results</t>
  </si>
  <si>
    <t>F01-254</t>
  </si>
  <si>
    <t>This is a count of social contacts, tested through SNS testing services and received Negative results and initiated on PrEP</t>
  </si>
  <si>
    <t>Social Network Strategy Register colm "da"</t>
  </si>
  <si>
    <t>1.1.14 HTS_TST Other PITC (OPD, other testing SDPs not listed above)</t>
  </si>
  <si>
    <t>F01-22</t>
  </si>
  <si>
    <t>This is a count of HIV testing that includes any other provider-initiated testing and counseling that is not captured in one of the other testing modalities listed above (i.e., eye, dental, dermatology, diabetes, etc.).</t>
  </si>
  <si>
    <t>F01-23</t>
  </si>
  <si>
    <t>This is a count of HIV positive clients after testing in any other provider-initiated testing and counseling that is not captured in one of the other testing modalities listed above (i.e., eye, dental, dermatology, diabetes, etc.).</t>
  </si>
  <si>
    <t>F10-038</t>
  </si>
  <si>
    <t>F10-039</t>
  </si>
  <si>
    <t>F10-040</t>
  </si>
  <si>
    <t>F10-041</t>
  </si>
  <si>
    <t>This Autocalated section of the linkage within other PITC testing mordality</t>
  </si>
  <si>
    <t xml:space="preserve"> 1.1.15 Total HTS_TST (Including PMTCT and TB)</t>
  </si>
  <si>
    <t xml:space="preserve"> Total HTS Tested</t>
  </si>
  <si>
    <t>F01-281</t>
  </si>
  <si>
    <t>This Autocalated section of the HIV testing  through all the available mordalities</t>
  </si>
  <si>
    <t>Total HTS Positive</t>
  </si>
  <si>
    <t>F01-282</t>
  </si>
  <si>
    <t>This Autocalated section from all the Clients tested HIV positive through all the available Mordalities</t>
  </si>
  <si>
    <t>F10-063</t>
  </si>
  <si>
    <t>This Autocalated section from all the Clients tested HIV positive Linked within this site (Intra-facility Linkage)</t>
  </si>
  <si>
    <t>F10-064</t>
  </si>
  <si>
    <t>This Autocalated section from all the Clients tested HIV positive Linked in another UTJ Site (inter-facility linkage)</t>
  </si>
  <si>
    <t>F10-065</t>
  </si>
  <si>
    <t>This Autocalated section from all the Clients tested HIV positive Linked in another non-UTJ Site (inter-facility linkage)</t>
  </si>
  <si>
    <t>F10-066</t>
  </si>
  <si>
    <t>This Autocalated section of the linkage within all testing mordalitties</t>
  </si>
  <si>
    <t>1.1.15 HIV Testing By Key Population Type (This includes only walk-in KPs in the facility)</t>
  </si>
  <si>
    <t>Female sex workers (FSW)</t>
  </si>
  <si>
    <t>F01-283</t>
  </si>
  <si>
    <t>This data element is a total of all FSWs tested during the reporting period (This includes only walk-in FSWs in the facility)</t>
  </si>
  <si>
    <t>HTS Lab register colm "i" and "n"</t>
  </si>
  <si>
    <t>F01-284</t>
  </si>
  <si>
    <t>This data element is a total of all FSWs tested HIV positive during the reporting period (This includes only walk-in FSWs in the facility)</t>
  </si>
  <si>
    <t>Men who have sex with men (MSM)</t>
  </si>
  <si>
    <t>F01-285</t>
  </si>
  <si>
    <t>This data element is a total of all MSMs tested during the reporting period (This includes only walk-in MSMs in the facility)</t>
  </si>
  <si>
    <t>F01-286</t>
  </si>
  <si>
    <t>This data element is a total of all MSMs tested HIV positive during the reporting period (This includes only walk-in MSMs in the facility)</t>
  </si>
  <si>
    <t>1.2 HTS_SELF</t>
  </si>
  <si>
    <t>1.2.1 Test kits distributed</t>
  </si>
  <si>
    <t xml:space="preserve">Directly Assisted  </t>
  </si>
  <si>
    <t>F01-30</t>
  </si>
  <si>
    <t>Directly assisted HIVST refers to trained providers or peers giving individuals an in-person demonstration before or during HIVST of how to perform the test and interpret the test result (WHO, 2016).</t>
  </si>
  <si>
    <t>HIV Selt Testing Register colm "m" and "n"</t>
  </si>
  <si>
    <t xml:space="preserve">Unassisted      </t>
  </si>
  <si>
    <t>F01-31</t>
  </si>
  <si>
    <t>Unassisted HIVST refers to when individuals self-test for HIV and only use an HIVST kit with manufacturer provided instructions for use.</t>
  </si>
  <si>
    <t>Unassisted: Self</t>
  </si>
  <si>
    <t>F01-32</t>
  </si>
  <si>
    <t>Individual that HIV self-test kit was distributed to intends to use the test kit on him- or herself.</t>
  </si>
  <si>
    <t>HIV Selt Testing Register colm "k", "m" and "n"</t>
  </si>
  <si>
    <t>Unassisted : Sex partner</t>
  </si>
  <si>
    <t>F01-33</t>
  </si>
  <si>
    <t>Individual that HIV self-test kit was distributed to plans to further distribute the self-test kit for use on his or her sexual partner(s).</t>
  </si>
  <si>
    <t>HIV Selt Testing Register colm "m","n" and "u"</t>
  </si>
  <si>
    <t>Unassisted : Caregiver for child</t>
  </si>
  <si>
    <t>F01-331</t>
  </si>
  <si>
    <t>A count of test kits distributed to parents or caregivers of children ≥2 years of age with an unknown HIV status for use in testing the children</t>
  </si>
  <si>
    <t>Unassisted : Other</t>
  </si>
  <si>
    <t>F01-34</t>
  </si>
  <si>
    <t>Individual that HIV self-test kit was distributed to plans to further distribute the test kit to an individual that is not themselves or one of their sex partners (e.g., relative, friend)</t>
  </si>
  <si>
    <t>2.0  PrEP Initiation and Continuation</t>
  </si>
  <si>
    <t>2.0  PrEP Initiation</t>
  </si>
  <si>
    <t>2.1 PrEP_New</t>
  </si>
  <si>
    <t>Initiated (new) on PrEP (autocalculated)</t>
  </si>
  <si>
    <t>F02-03</t>
  </si>
  <si>
    <t>This is the count  by age and sex for who have been inititaed on pre-exposure prophylaxis during the reporting period after meeting eligibility criteria for PrEP</t>
  </si>
  <si>
    <t>2.1.1  Initiated (New) on PrEP by population type</t>
  </si>
  <si>
    <t>Discordant Couple</t>
  </si>
  <si>
    <t>F02-0310</t>
  </si>
  <si>
    <t>This is the count  by age and sex for Discordant Couple who have been inititaed on pre-exposure prophylaxis during the reporting period after meeting eligibility criteria for PrEP</t>
  </si>
  <si>
    <t>PrEP Daily Activity Register colm "b" and "g"</t>
  </si>
  <si>
    <t>People who inject drugs (PWID)</t>
  </si>
  <si>
    <t>F02-0311</t>
  </si>
  <si>
    <t>This is the count  by age and sex for People who inject drugs (PWID) who have been inititaed on pre-exposure prophylaxis during the reporting period after meeting eligibility criteria for PrEP</t>
  </si>
  <si>
    <t>F02-0312</t>
  </si>
  <si>
    <t>This is the count  by age and sex for Men who have sex with men (MSM) who have been inititaed on pre-exposure prophylaxis during the reporting period after meeting eligibility criteria for PrEP</t>
  </si>
  <si>
    <t>F02-0314</t>
  </si>
  <si>
    <t>This is the count  by age and sex for Female sex workers (FSW) who have been inititaed on pre-exposure prophylaxis during the reporting period after meeting eligibility criteria for PrEP</t>
  </si>
  <si>
    <t>Adolescent Girls and Young Women</t>
  </si>
  <si>
    <t>F02-0315</t>
  </si>
  <si>
    <t>This is the count  by age and sex for Adolescent Girls and Young Women who have been inititaed on pre-exposure prophylaxis during the reporting period after meeting eligibility criteria for PrEP</t>
  </si>
  <si>
    <t>Men at high risk (Other Men)</t>
  </si>
  <si>
    <t>F02-0316</t>
  </si>
  <si>
    <t>This is the count  by age and sex for Men at high risk who have been inititaed on pre-exposure prophylaxis during the reporting period after meeting eligibility criteria for PrEP</t>
  </si>
  <si>
    <t>Other Women</t>
  </si>
  <si>
    <t>F02-0317</t>
  </si>
  <si>
    <t>This is the count  by age and sex for Other Women who have been inititaed on pre-exposure prophylaxis during the reporting period after meeting eligibility criteria for PrEP</t>
  </si>
  <si>
    <t>Pregnant and Breast Feeding Women ( auto-calculated )</t>
  </si>
  <si>
    <t>F02-0318</t>
  </si>
  <si>
    <t>This Autocalated section of the PrEP Initiation for Pregnant and breastfeeding mothers (2.1.2)</t>
  </si>
  <si>
    <t>2.1.2 PrEP Initiation for Pregnant and breastfeeding mothers</t>
  </si>
  <si>
    <t>Pregnant</t>
  </si>
  <si>
    <t>F02-0319</t>
  </si>
  <si>
    <t xml:space="preserve">This is a count of clients who were confirmed Pregnant and were initiated on PrEP in a particular month </t>
  </si>
  <si>
    <t>Breastfeeding</t>
  </si>
  <si>
    <t>F02-0320</t>
  </si>
  <si>
    <t xml:space="preserve">This is a count of clients who were Breastfeeding at initiation of PrEP in a particular month </t>
  </si>
  <si>
    <t>2.1.3 PrEP Initiation by Distribution Type</t>
  </si>
  <si>
    <t>Facility</t>
  </si>
  <si>
    <t>F02-0321</t>
  </si>
  <si>
    <t>This is a count of clients who were newly initiated on Prep through facility-based delivery mechanisms.</t>
  </si>
  <si>
    <t>Community (associated with a facility)</t>
  </si>
  <si>
    <t>F02-0322</t>
  </si>
  <si>
    <t>This is a count of clients who were newly initiated on Prep through a community or other non-traditional setting (still associated with a facility) delivery mechanisms.</t>
  </si>
  <si>
    <t>2.1.4 PrEP Initiation by Type</t>
  </si>
  <si>
    <t>Oral</t>
  </si>
  <si>
    <t>F02-0323</t>
  </si>
  <si>
    <t>Refers to the number of individuals starting PrEP for the first time (outside of any clinical trial participation) through oral prep.</t>
  </si>
  <si>
    <t>PrEP Daily Activity Register colm "j"</t>
  </si>
  <si>
    <t>Injectable</t>
  </si>
  <si>
    <t>F02-0324</t>
  </si>
  <si>
    <t>Refers to the number of individuals starting PrEP for the first time (outside of any clinical trial participation) through Injectable prep. An individual should be counted under ‘Injectable’ for PrEP Type after they have received the first initiation injection dose for PrEP_NEW only if they have never been on any other PrEP regimen prior to initiating injectable PrEP</t>
  </si>
  <si>
    <t>Other</t>
  </si>
  <si>
    <t>F02-0325</t>
  </si>
  <si>
    <t>Refers to the number of individuals starting PrEP for the first time (outside of any clinical trial participation) through other non Oral and Injectable prep regimens</t>
  </si>
  <si>
    <t>2.1.5 Event Driven PrEP Initiations among Men (MSMs/ Men at High Risk)</t>
  </si>
  <si>
    <t>Number newly initiated on Event-Driven Prep</t>
  </si>
  <si>
    <t>F02-0326</t>
  </si>
  <si>
    <t>This is a count of clients who took prep with a planned sex act to prevent HIV exposure</t>
  </si>
  <si>
    <t>2.0  PrEP Continuation</t>
  </si>
  <si>
    <t>2.2 PrEP_CT</t>
  </si>
  <si>
    <t>Clients initiated on PrEP previous quarters and returned for a follow-up visit or re-initiation (restart) during the current Quarter (excluding those newly enrolled on PrEP within the quarter )
Note: a client cannot be reported on both PrEP_New and PrEP_CT within the same quarter</t>
  </si>
  <si>
    <t>F02-058</t>
  </si>
  <si>
    <t>This refers to number of individuals, excluding those newly enrolled, that return for a follow-up visit or re-initiation visit to receive pre-exposure prophylaxis (PrEP) to prevent HIV during the reporting period. This count should exclude all the patients who were initiated on Prep during the reporting period and also came for refill.</t>
  </si>
  <si>
    <t>PrEP Daily Activity Register colm "h"</t>
  </si>
  <si>
    <t>2.2.1 PrEP_CT test result</t>
  </si>
  <si>
    <t>Tested for HIV while on PrEP_CT</t>
  </si>
  <si>
    <t>F02-06</t>
  </si>
  <si>
    <t>This is a count of returning prep clients who received an HIV testing result</t>
  </si>
  <si>
    <t>PrEP Daily Activity Register colm "k"</t>
  </si>
  <si>
    <t>Tested HIV Positive while on PrEP_CT</t>
  </si>
  <si>
    <t>F02-07</t>
  </si>
  <si>
    <t>This is a count of returning prep clients who received an HIV Positive testing result</t>
  </si>
  <si>
    <t>2.2.2 PrEP_CT Pregnant or Breastfeeding</t>
  </si>
  <si>
    <t>F02-081</t>
  </si>
  <si>
    <t xml:space="preserve">This is a count of returning prep clients who were confirmed Pregnant in a particular month </t>
  </si>
  <si>
    <t>PrEP Daily Activity Register colm "g" and "h"</t>
  </si>
  <si>
    <t>F02-082</t>
  </si>
  <si>
    <t xml:space="preserve">This is a count of returning prep clients who were confirmed Breastfeeding in a particular month </t>
  </si>
  <si>
    <t>2.2.3 PrEP_CT By Population Type</t>
  </si>
  <si>
    <t>F02-083</t>
  </si>
  <si>
    <t>This is a count of FSWs , excluding those newly enrolled, that return for a follow-up visit or re-initiation visit to receive pre-exposure prophylaxis (PrEP) to prevent HIV during the reporting period</t>
  </si>
  <si>
    <t>F02-084</t>
  </si>
  <si>
    <t>This is a count of MSWs, excluding those newly enrolled, that return for a follow-up visit or re-initiation visit to receive pre-exposure prophylaxis (PrEP) to prevent HIV during the reporting period</t>
  </si>
  <si>
    <t>2.2.4 PrEP_CT by Distribution Type</t>
  </si>
  <si>
    <t>F02-085</t>
  </si>
  <si>
    <t>This is a count of returning prep clients who received Prep refills through facility-based delivery</t>
  </si>
  <si>
    <t>F02-086</t>
  </si>
  <si>
    <t>This is a count of returning Prep clients who received Prep-Refills through a community or other non-traditional setting (still associated with a facility) delivery mechanisms.</t>
  </si>
  <si>
    <t>F02-087</t>
  </si>
  <si>
    <t>Refers to the number of returning prep individuals who received oral-based prep regimen</t>
  </si>
  <si>
    <t>PrEP Daily Activity Register colm "h" and "j"</t>
  </si>
  <si>
    <t>F02-088</t>
  </si>
  <si>
    <t>Refers to the number of returning prep individuals who received long-acting Prep injection including the initial first or second injection for indivinduals new to long acting-Injectible Prep Regimen prep regimen</t>
  </si>
  <si>
    <t>F02-089</t>
  </si>
  <si>
    <t>Refers to the number of returning Prep refill/restart individuals who received other non Oral and Injectable prep regimens to prevent them from HIV exposure</t>
  </si>
  <si>
    <t>2.2.6 PrEP_CT Event Driven PrEP</t>
  </si>
  <si>
    <t>Number Initially initiated on Event-Driven Prep who came for a refill/Restart</t>
  </si>
  <si>
    <t>F02-090</t>
  </si>
  <si>
    <t>This is a count of patients who were initially initiated on prep under Event-based prep and came for refill/restart during the reporting period</t>
  </si>
  <si>
    <t xml:space="preserve">3.0  PMTCT </t>
  </si>
  <si>
    <t xml:space="preserve">3.1 PMTCT Testing </t>
  </si>
  <si>
    <t xml:space="preserve">3.1.1 HTS_TST:1st ANC visit </t>
  </si>
  <si>
    <t>New (1st) ANC clients (PMTCT_STAT_Den)</t>
  </si>
  <si>
    <t>F06-01</t>
  </si>
  <si>
    <t>This is a count of all women who made their first ANC visit during the reporting month regardless of HIV status</t>
  </si>
  <si>
    <t>ANC Register colm "b" and "d"</t>
  </si>
  <si>
    <t>Known Positive at ANC1 (PMTCT_STAT_KP)</t>
  </si>
  <si>
    <t>F06-02</t>
  </si>
  <si>
    <t>“Known positive status” refers to all those women, who at the time of making the first visit to the ANC have documented evidence of their positive status.</t>
  </si>
  <si>
    <t>ANC Register colm "ab"</t>
  </si>
  <si>
    <t>Initial test at ANC 1</t>
  </si>
  <si>
    <t>F06-03</t>
  </si>
  <si>
    <t>This is a count of all pregnant women who take a first HIV test during 1st ANC visit  It excludes repeat test during pregnancy for those women who could have tested negative earlier in the pregnancy.</t>
  </si>
  <si>
    <t>Newly tested Positive at ANC1 (PMTCT_STAT_New Pos)</t>
  </si>
  <si>
    <t>F06-04</t>
  </si>
  <si>
    <t>Counts all women who first knew their HIV positive status at any time during the pregnancy. This is a subset of initial test at ANC1</t>
  </si>
  <si>
    <t>ANC Register colm "d", "ab", "af"</t>
  </si>
  <si>
    <t>F10-053</t>
  </si>
  <si>
    <t>ANC Register colm "ag"</t>
  </si>
  <si>
    <t>F10-054</t>
  </si>
  <si>
    <t>ANC Register colm "aq" code 2 or 3</t>
  </si>
  <si>
    <t>F10-055</t>
  </si>
  <si>
    <t>Total Unlinked (auto-calculated)</t>
  </si>
  <si>
    <t>F10-056</t>
  </si>
  <si>
    <t xml:space="preserve">This Autocalated section of the linkage within 1st ANC </t>
  </si>
  <si>
    <t>ANC1 clients with known HIV status (PMTCT_STAT_Num)(auto-calculated)</t>
  </si>
  <si>
    <t>F06-041</t>
  </si>
  <si>
    <t xml:space="preserve">Known Positive status refers to all women who at the time of making this first visit to the ANC had documented evidence of posivive status. As such these women are not required to take a test at ANC, L&amp;D,or PNC </t>
  </si>
  <si>
    <t>Total Positives at ANC1 (PMTCT_STAT_Pos)</t>
  </si>
  <si>
    <t>F06-042</t>
  </si>
  <si>
    <t xml:space="preserve">Counts all women who first learnt their HIV status at 1st visit during pregnancy. Note: it does not matter at what stage in pregnancy.  What matters is that the woman learnt of her HIV positive status during their first antenatal visit period. </t>
  </si>
  <si>
    <t>3.1.2  HTS_TST: ANC 2 visit and above 
(includes 2nd, 3rd, 4th ANC visits etc.)
(includes 2nd, 3rd, 4th ANC visits etc.)</t>
  </si>
  <si>
    <t>Initial test at ANC 2 and above</t>
  </si>
  <si>
    <t>F06-05</t>
  </si>
  <si>
    <t>This is a count of pregnant women who take first HIV test in the pregnancy either during 2nd, 3rd , 4th visit etc. It excludes repeat test during pregnancy for those women who could have tested negative earlier in the pregnancy.</t>
  </si>
  <si>
    <t>Initial positive results at ANC 2 and above</t>
  </si>
  <si>
    <t>F06-06</t>
  </si>
  <si>
    <t>Counts all women who first knew their HIV positive status at any time during the pregnancy post 1st ANC visit, e.g during 2nd, 3rd visit etc.  This is a subset of initial test at ANC2. However, the count includes women who could have taken the test during an earlier antenatal care visit (and results were negative) but tested HIV positive following a re-test in ANC during the reporting month.</t>
  </si>
  <si>
    <t>Retesting at ANC 2 and above</t>
  </si>
  <si>
    <t>F06-061</t>
  </si>
  <si>
    <t>This is a count of all women who had a second and above HIV retest done during ANC visit after ANC 1</t>
  </si>
  <si>
    <t>Retesting positive result at ANC 2 and above</t>
  </si>
  <si>
    <t>F06-062</t>
  </si>
  <si>
    <t xml:space="preserve">This is a count of women who could have taken the test during an earlier antenatal care visit (and results were negative) but testing HIV positive following a retest in ANC during the reporting month. </t>
  </si>
  <si>
    <t>3.1.3 HTS_TST: L&amp;D (Maternity)</t>
  </si>
  <si>
    <t>Initial test at  L&amp;D</t>
  </si>
  <si>
    <t>F06-07</t>
  </si>
  <si>
    <t>This counts all women, who were not tested during pregnancy but undertake a test as result being pregnant, whilst in labour and delivery. It excludes all those who took a test earlier in the pregnancy, and for some reason, a repeat test is done in L&amp;D.</t>
  </si>
  <si>
    <t>Maternity register colm "al"</t>
  </si>
  <si>
    <t>Positive result at L&amp;D</t>
  </si>
  <si>
    <t>F06-08</t>
  </si>
  <si>
    <t>This is a count of women who tested positive at L&amp;D among the initial tests</t>
  </si>
  <si>
    <t>Retesting at L&amp;D</t>
  </si>
  <si>
    <t>F06-081</t>
  </si>
  <si>
    <t>This counts all women, who took a retest at labour and delivery</t>
  </si>
  <si>
    <t>Retesting Positive result at L&amp;D</t>
  </si>
  <si>
    <t>F06-082</t>
  </si>
  <si>
    <t>This counts all women, who were retested at labour and delivery and result turned positive.</t>
  </si>
  <si>
    <t>3.1.3 HTS_TST: PNC</t>
  </si>
  <si>
    <t>Initial test at PNC &lt;= 6wks</t>
  </si>
  <si>
    <t>F06-09</t>
  </si>
  <si>
    <t>This is a count of all women who were not test during ANC or at labour and delivery but take first HIV test for the  pregnancy  at  post natal clinic within 6 weeks post natal</t>
  </si>
  <si>
    <t>PNC register colm "y" and "ac"</t>
  </si>
  <si>
    <t>Positive at PNC &lt;=6wks</t>
  </si>
  <si>
    <t>F06-10</t>
  </si>
  <si>
    <t xml:space="preserve"> This is a count of all women who were not test during ANC or at labour and delivery but take first HIV test for the  pregnancy but tested HIV positive within 6 weeks of post natal period.</t>
  </si>
  <si>
    <t>Retesting at PNC &lt; = 6 weeks</t>
  </si>
  <si>
    <t>F06-101</t>
  </si>
  <si>
    <t>This is a count of all women who had tested HIV negative at any time during ANC and or labour &amp; delivery who undergo another HIV test within 6 weeks postnatal</t>
  </si>
  <si>
    <t>Retesting positive result at PNC &lt; = 6 weeks</t>
  </si>
  <si>
    <t>F06-102</t>
  </si>
  <si>
    <t xml:space="preserve">This is a count of all women who had tested HIV negative as any time during ANC and or labour &amp; delivery who undergo another HIV test within 6 weeks at postnatal and resut turn out to be positive. </t>
  </si>
  <si>
    <t>Initial Test at PNC &gt; 6 weeks to 6 months</t>
  </si>
  <si>
    <t>F06-103</t>
  </si>
  <si>
    <t>This is a count of all women who were not test during ANC, labour and delivery or PNC&lt;=6 weeks but took first HIV test for pregnancy at Post natala between 6 weeks to 6 months.</t>
  </si>
  <si>
    <t>PNC register colm "y" and "ad"</t>
  </si>
  <si>
    <t>Positive result at at PNC &gt; 6 weeks to 6 months</t>
  </si>
  <si>
    <t>F06-104</t>
  </si>
  <si>
    <t>This is a count of all women who were not test during ANC, labour and delivery or PNC&lt;=6 weeks but took first HIV test for pregnancy but tested HIV positive at Post natal between 6 weeks to 6 months.</t>
  </si>
  <si>
    <t>Retesting at PNC &gt; 6 weeks to 6 months</t>
  </si>
  <si>
    <t>F06-105</t>
  </si>
  <si>
    <t>This is a count of all women who had tested HIV negative at any time during ANC, labour &amp; delivery or PNC&lt;= 6 weeks who undergo another HIV test within at PNC &gt; 6 weeks to 6 months.</t>
  </si>
  <si>
    <t>Retesting positive result at PNC &gt; 6 weeks to 6 months</t>
  </si>
  <si>
    <t>F06-106</t>
  </si>
  <si>
    <t>This is a count of all women who had tested HIV negative at any time during ANC, labour &amp; delivery or PNC&lt;= 6 weeks who undergo another HIV test and tested HIV positive at Post natal between 6 weeks to 6 months.</t>
  </si>
  <si>
    <t>3.1.4 HTS_TST: PMTCT POST ANC 1
(ANC 2 and above , L&amp;D, PNC &lt;=6 wks, PNC&gt;6wks-6mths)</t>
  </si>
  <si>
    <t>Total Positives PMTCT Post ANC 1 ( ANC 2 and above , L&amp;D, PNC &lt;=6 wks - (Autocalculated)</t>
  </si>
  <si>
    <t>F06-107</t>
  </si>
  <si>
    <t>Auto-Calculated</t>
  </si>
  <si>
    <t/>
  </si>
  <si>
    <t>F10-058</t>
  </si>
  <si>
    <t>ANC Register "ag" Maternity register "am" PNC "af" and "ah"</t>
  </si>
  <si>
    <t>F10-059</t>
  </si>
  <si>
    <t>F10-060</t>
  </si>
  <si>
    <t>F10-061</t>
  </si>
  <si>
    <t>This Autocalated section of the linkage within POST ANC 1 ( ANC 2 and above , L&amp;D, PNC &lt;=6 wks ) mordality</t>
  </si>
  <si>
    <t>3.2.1 Maternal HAART (PMTCT_ART)</t>
  </si>
  <si>
    <t>3.2.1.1 1st ANC Visit</t>
  </si>
  <si>
    <t>On HAART at ANC1 (PMTCT_ART_Already on ART)</t>
  </si>
  <si>
    <t>F06-13</t>
  </si>
  <si>
    <t>This refers to women on therapy because they needed HAART for their own health before the current pregnancy. This includes those started on HAART in the CCC setting or those started on HAART during the previous pregnancy.</t>
  </si>
  <si>
    <t>ANC Register colm "ab" and "ag"</t>
  </si>
  <si>
    <t>Start HAART at ANC1 (PMTCT_ART_New on ART)</t>
  </si>
  <si>
    <t>F06-14</t>
  </si>
  <si>
    <t>This is a count of women who had not been on HAART before but were commenced on HAART at ANC during this pregnancy.</t>
  </si>
  <si>
    <t>Total on HAART at ANC1 (PMTCT_ART_Num)</t>
  </si>
  <si>
    <t>F06-141</t>
  </si>
  <si>
    <t>This is an Autocalculated section of the PMTCT_STAT_POS who where alreadyo ART and Newly initiated on ART (MTCT_ART)</t>
  </si>
  <si>
    <t>3.2.1.2 ANC 2 and above (includes 2nd, 3rd, 4th ANC visits etc)</t>
  </si>
  <si>
    <t>Initial Start HAART at ANC 2 and above</t>
  </si>
  <si>
    <t>F06-142</t>
  </si>
  <si>
    <t xml:space="preserve">Counts all women who first knew their HIV positive status at any time during the pregnancy post ANC 1 visit, e.g during 2nd, 3rd visit etc and started on ART.  </t>
  </si>
  <si>
    <t>Retest Start HAART ANC 2 and above</t>
  </si>
  <si>
    <t>F06-143</t>
  </si>
  <si>
    <t>This is a count of pregnant women started ART after retesting positive during 2nd ANC visit and above</t>
  </si>
  <si>
    <t>3.2.1.3 L&amp;D (Maternity)</t>
  </si>
  <si>
    <t>Initial Start HAART at L&amp;D</t>
  </si>
  <si>
    <t>F06-15</t>
  </si>
  <si>
    <t>This is a count of women who had not been on HAART before but were commenced on HAART at  L&amp;D during this pregnancy.</t>
  </si>
  <si>
    <t>Maternity register colm "al" and "am"</t>
  </si>
  <si>
    <t>Retest Start HAART at L&amp;D</t>
  </si>
  <si>
    <t>F06-151</t>
  </si>
  <si>
    <t>This is a count of women who were started on HAART at L&amp;D after a positive HIV retest</t>
  </si>
  <si>
    <t>3.2.1.4 PNC</t>
  </si>
  <si>
    <t>Initial Start HAART at PNC &lt; = 6 weeks</t>
  </si>
  <si>
    <t>F06-16</t>
  </si>
  <si>
    <t xml:space="preserve">This is a count of women who had an initial test within 6 weeks postnatal, turned HIV positive and were started on HAART </t>
  </si>
  <si>
    <t>PNC register  Colmn "y" and "af"</t>
  </si>
  <si>
    <t>Retest Start HAART at PNC &lt; = 6 weeks</t>
  </si>
  <si>
    <t>F06-161</t>
  </si>
  <si>
    <t>This is a count of women who had a HIV retest within 6 weeks postnatal turned positive, and were started on HAART</t>
  </si>
  <si>
    <t>Initial Start HAART at PNC &gt; 6 weeks to 6 months</t>
  </si>
  <si>
    <t>F06-162</t>
  </si>
  <si>
    <t>This is a count of women who had a HIV test between 6 week to 6 months postnatal, turned HIV positive and were started on HAART</t>
  </si>
  <si>
    <t>PNC register  Colmn "y" and "ah"</t>
  </si>
  <si>
    <t>Retest Start HAART at PNC &gt; 6 weeks to 6 months</t>
  </si>
  <si>
    <t>F06-163</t>
  </si>
  <si>
    <t xml:space="preserve">3.2.2 Infant Prophylaxis </t>
  </si>
  <si>
    <t>3.2.2.1 Infant Prophylaxis 
(Accounting both initial and retest positives)
NB: use  mother's age for reporting</t>
  </si>
  <si>
    <t>Infant Prophylaxis_ANC 1</t>
  </si>
  <si>
    <t>F06-18</t>
  </si>
  <si>
    <t>This is a count of all women who were pre-issued with ARVs at ANC 1 to be given to the baby on delivery.  Note: This data element counts mothers as a proxy count for infants.</t>
  </si>
  <si>
    <t>ANC Register colm "ah"</t>
  </si>
  <si>
    <t xml:space="preserve">Infant Prophylaxis ANC 2 and above </t>
  </si>
  <si>
    <t>F06-181</t>
  </si>
  <si>
    <t>This is a count of all women who were pre-issued with ARVs at ANC 2 and above to be given to the baby on delivery.  Note: This data element counts mothers as a proxy count for infants.</t>
  </si>
  <si>
    <t xml:space="preserve">Infant Prophylaxis_ L&amp;D </t>
  </si>
  <si>
    <t>F06-19</t>
  </si>
  <si>
    <t>This data element is a count of infants issued with ARV prophylaxis during labour and delivery in a health facility. Note: If the mother was pre-issued with ARVs during ANC, her infant should not be counted, unless it is a multiple birth, in which case only the additional output of pregnancy should be counted, that is an additional infant if this a twin birth.</t>
  </si>
  <si>
    <t>Maternity register colm "an"</t>
  </si>
  <si>
    <t>Infant Prophylaxis_PNC&lt;= 6wks</t>
  </si>
  <si>
    <t>F06-20</t>
  </si>
  <si>
    <t>This data element is a count of infants issued with ARV prophylaxis at PNC&gt;= 6 weeks weeks after birth. Note: Do not count infants whose mothers were pre-issued with ARV prophylaxis during pregnancy or those infants who were provided with ARVprophylaxis during labour and delivery</t>
  </si>
  <si>
    <t>PNC register colm "ae"</t>
  </si>
  <si>
    <t>Infant Prophylaxis_PNC &gt; 6wks-6months</t>
  </si>
  <si>
    <t>F06-201</t>
  </si>
  <si>
    <t>This data element is a count of infants issued with ARV prophylaxis 6 weeks to 6 months after birth. Note: Do not count infants whose mothers were pre-issued with ARV prophylaxis during pregnancy or those infants who were provided with ARV prophylaxis during labour and delivery or those provided at PNC&gt;= 6 weeks</t>
  </si>
  <si>
    <t>PNC register colm "ag"</t>
  </si>
  <si>
    <t>4.0 HIV Testing and ART Initiation in TB Clinic</t>
  </si>
  <si>
    <t>4.1 HIV Testing in TB Clinic</t>
  </si>
  <si>
    <t>4.1.1 TB_STAT</t>
  </si>
  <si>
    <t>Total TB cases (new and relapsed) reported in the month (TB_STAT_Den)</t>
  </si>
  <si>
    <t>F09-01</t>
  </si>
  <si>
    <t>This is a count of all TB cases (new and relapsed) reported in the month (TB_STAT_Den)</t>
  </si>
  <si>
    <t>TB4 Register - Colm Type of Patient (New, TLF, R, THU, TF and PT</t>
  </si>
  <si>
    <t>TB cases with known HIV +ve status (KP) at entry in TB clinic (TB_STAT_KP)</t>
  </si>
  <si>
    <t>F09-02</t>
  </si>
  <si>
    <t>This is a count of TB cases with known HIV +ve status (KP) at entry in TB clinic (TB_STAT_KP)</t>
  </si>
  <si>
    <t>TB4 Register - HIV test and Date done</t>
  </si>
  <si>
    <t>TB cases with a recent HIV Negative status at entry in TB clinic (TB_STAT_KN)</t>
  </si>
  <si>
    <t>F09-021</t>
  </si>
  <si>
    <t>This is a count of TB Cases who recently tested HIV-negative within a 6-week period, or more recently according to country clinical guidelines, and are not eligible for another HIV test at the time of presentation in the TB clinic in accordance with national HTS guidelines.</t>
  </si>
  <si>
    <t>TB cases eligible for HIV testing</t>
  </si>
  <si>
    <t>F09-03</t>
  </si>
  <si>
    <t>This is a count of TB cases eligible for HIV testing</t>
  </si>
  <si>
    <t>No. newly tested for HIV</t>
  </si>
  <si>
    <t>F09-04</t>
  </si>
  <si>
    <t>This is a count of TB clients newly tested for HIV</t>
  </si>
  <si>
    <t>TB cases with documented HIV status (TB_STAT_Num)</t>
  </si>
  <si>
    <t>F09-05</t>
  </si>
  <si>
    <t>This is a count of TB cases with documented HIV status (TB_STAT_Num)</t>
  </si>
  <si>
    <t>No. newly tested for HIV and turned positive (TB_STAT_New Pos)</t>
  </si>
  <si>
    <t>F09-06</t>
  </si>
  <si>
    <t>This is a count of newly tested for HIV and turned positive (TB_STAT_New Pos)</t>
  </si>
  <si>
    <t>F10-033</t>
  </si>
  <si>
    <t>TB4 Register - ART (Y/N)</t>
  </si>
  <si>
    <t>F10-034</t>
  </si>
  <si>
    <t>F10-035</t>
  </si>
  <si>
    <t>F10-036</t>
  </si>
  <si>
    <t>Total TB HIV Positives at TB clinic (TB_STAT_Pos)</t>
  </si>
  <si>
    <t>F09-07</t>
  </si>
  <si>
    <t>This is a count of Total TB HIV Positives at TB clinic (TB_STAT_Pos)</t>
  </si>
  <si>
    <t>4.2 ART Initiation in TB Clinic</t>
  </si>
  <si>
    <t>4.2.1 TB_ART</t>
  </si>
  <si>
    <t>TB cases tested positive newly started on ART (TB_ART_New on ART)</t>
  </si>
  <si>
    <t>F09-08</t>
  </si>
  <si>
    <t>This is a count of TB cases tested positive newly started on ART (TB_ART_New on ART)</t>
  </si>
  <si>
    <t>TB Cases Already on ART at entry in TB clinic (TB_ART_Already on ART)</t>
  </si>
  <si>
    <t>F09-09</t>
  </si>
  <si>
    <t>This is a count of TB Cases Already on ART at entry in TB clinic (TB_ART_Already on ART)</t>
  </si>
  <si>
    <t>Total TB HIV coinfected clients started on ART (TB_ART_Num)</t>
  </si>
  <si>
    <t>F09-10</t>
  </si>
  <si>
    <t>This is a count of Total TB HIV coinfected clients started on ART (TB_ART_Num)</t>
  </si>
  <si>
    <t>5.0  HIV &amp; TB Treatment</t>
  </si>
  <si>
    <t>5.1 HIV Treatment</t>
  </si>
  <si>
    <t>5.1.1 Starting ART (TX_New)</t>
  </si>
  <si>
    <t xml:space="preserve">Total No. of clients starting ART (TX_New)     </t>
  </si>
  <si>
    <t>F07-01</t>
  </si>
  <si>
    <t xml:space="preserve">This is a count of individuals starting HAART treatment disaggregated by the age and sex within the reporting month. </t>
  </si>
  <si>
    <t>DAR MOH 366/EMR</t>
  </si>
  <si>
    <t>5.1.2 Starting ART (TX_New) by Population type</t>
  </si>
  <si>
    <t>General Population</t>
  </si>
  <si>
    <t>F07-011</t>
  </si>
  <si>
    <t xml:space="preserve">This is a count of individuals caterogized as general population starting HAART treatment disaggregated by the age and sex within the reporting month. </t>
  </si>
  <si>
    <t>F07-012</t>
  </si>
  <si>
    <t xml:space="preserve">This is a count of individuals caterogized as PWIDs starting HAART treatment disaggregated by the age and sex within the reporting month. </t>
  </si>
  <si>
    <t>F07-013</t>
  </si>
  <si>
    <t xml:space="preserve">This is a count of individuals caterogized as MSM starting HAART treatment disaggregated by the age and sex within the reporting month. </t>
  </si>
  <si>
    <t>F07-015</t>
  </si>
  <si>
    <t xml:space="preserve">This is a count of individuals caterogized as FSW starting HAART treatment disaggregated by the age and sex within the reporting month. </t>
  </si>
  <si>
    <t>People in prison and other closed settings</t>
  </si>
  <si>
    <t>F07-016</t>
  </si>
  <si>
    <t xml:space="preserve">This is a count of individuals in prison and other closed settings starting HAART treatment disaggregated by the age and sex within the reporting month. </t>
  </si>
  <si>
    <t>5.1.3 Starting ART (TX_New) Breastfeeding</t>
  </si>
  <si>
    <t>No. of clients starting ART who are breastfeeding</t>
  </si>
  <si>
    <t>F07-02</t>
  </si>
  <si>
    <t>This is a count of women newly started ART for treatment and were breastfeeding at initiation of ART</t>
  </si>
  <si>
    <t>5.1.4 Starting ART (TX_New)by CD4 status</t>
  </si>
  <si>
    <t>Total Patients Starting ART with  CD4 Status</t>
  </si>
  <si>
    <t>F07-021</t>
  </si>
  <si>
    <t>This is a count of individuals starting HAART treatment (TX_NEW) disaggregated by the age and sex with CD4 Count status within the reporting month . This includes patients</t>
  </si>
  <si>
    <t>CD4 &lt; 200</t>
  </si>
  <si>
    <t>F07-022</t>
  </si>
  <si>
    <t>This is a count of individuals starting HAART treatment (TX_NEW) with documented CD4 Count results &lt; 200</t>
  </si>
  <si>
    <t>CD4 Register/EMR</t>
  </si>
  <si>
    <t>CD4 &gt;=200</t>
  </si>
  <si>
    <t>F07-023</t>
  </si>
  <si>
    <t>This is a count of individuals starting HAART treatment (TX_NEW) with documented CD4 Count results &gt;= 200</t>
  </si>
  <si>
    <t>Unknown CD4</t>
  </si>
  <si>
    <t>F07-024</t>
  </si>
  <si>
    <t>This is a count of individuals starting HAART treatment (TX_NEW) done for CD4 but with Unknown CD4 results or without undocumented CD4 results</t>
  </si>
  <si>
    <t>5.2 Current on ART (TX_CURR)</t>
  </si>
  <si>
    <t xml:space="preserve">Currently on ART (All)              </t>
  </si>
  <si>
    <t>F07-03</t>
  </si>
  <si>
    <t>This is a count of  all PLHIV who are active on ART at the reporting period</t>
  </si>
  <si>
    <t>5.2.1 Currently on ART (TX_CURR) 
by Population type</t>
  </si>
  <si>
    <t>F07-05</t>
  </si>
  <si>
    <t>This is a count of  all PLHIV from the general population who are active on ART at the reporting period</t>
  </si>
  <si>
    <t>F07-06</t>
  </si>
  <si>
    <t>This is a count of  all PLHIV who inject drugs who are active on ART at the reporting period</t>
  </si>
  <si>
    <t>F07-07</t>
  </si>
  <si>
    <t>This is a count of  all PLHIV from Men who have sex with Men who are active on ART at the reporting period</t>
  </si>
  <si>
    <t>F07-09</t>
  </si>
  <si>
    <t>This is a count of  all PLHIV Female Sex Workers (FSW) who are active on ART at the reporting period</t>
  </si>
  <si>
    <t>F07-10</t>
  </si>
  <si>
    <t>This is a count of  all PLHIV from People in prison and other closed settings who are active on ART at the reporting period</t>
  </si>
  <si>
    <t>5.2.2 Currently on ART (TX_CURR)
by Multi-Month Dispensing</t>
  </si>
  <si>
    <t>1 month of ARVs dispensed to patient</t>
  </si>
  <si>
    <t>F07-11</t>
  </si>
  <si>
    <t>This is a count of all active clients dispensed for drugs for 1 month</t>
  </si>
  <si>
    <t>DAR Pharmacy/ADT</t>
  </si>
  <si>
    <t>2 months of ARVs dispensed to patient</t>
  </si>
  <si>
    <t>F07-12</t>
  </si>
  <si>
    <t>This is a count of all active clients dispensed for drugs for 2 month</t>
  </si>
  <si>
    <t>3 months of ARVs dispensed to patient</t>
  </si>
  <si>
    <t>F07-13</t>
  </si>
  <si>
    <t>This is a count of all active clients dispensed for drugs for 3 month</t>
  </si>
  <si>
    <t>4 months of ARVs dispensed to patient</t>
  </si>
  <si>
    <t>F07-14</t>
  </si>
  <si>
    <t>This is a count of all active clients dispensed for drugs for 4 month</t>
  </si>
  <si>
    <t>5 months of ARVs dispensed to patient</t>
  </si>
  <si>
    <t>F07-15</t>
  </si>
  <si>
    <t>This is a count of all active clients dispensed for drugs for 5 month</t>
  </si>
  <si>
    <t>6 months of ARVs dispensed to patient</t>
  </si>
  <si>
    <t>F07-16</t>
  </si>
  <si>
    <t>This is a count of all active clients dispensed for drugs for 6 month</t>
  </si>
  <si>
    <t>Total ARVs dispensed</t>
  </si>
  <si>
    <t>F07-17</t>
  </si>
  <si>
    <t>This is Autocalculated sum of all ctive clients dispensed drugs</t>
  </si>
  <si>
    <t>5.2.3 Current on ART (TX_CURR for PMTCT)</t>
  </si>
  <si>
    <t xml:space="preserve">Current on ART (TX_CURR for PMTCT) </t>
  </si>
  <si>
    <t>F06-17</t>
  </si>
  <si>
    <t>This is a count of pregnant women and breast feeding mothers who are active on ART at the reporting period</t>
  </si>
  <si>
    <t>EMR/DAR MOH 366 (count of PMTCT clients only)</t>
  </si>
  <si>
    <t>5.3 TB Screening and Treatment in CCC</t>
  </si>
  <si>
    <t>5.3.1 TB screening in CCC (ICF)</t>
  </si>
  <si>
    <t>Total Screened for TB at last clinic visit (TX_TB_Den)</t>
  </si>
  <si>
    <t>F07-04</t>
  </si>
  <si>
    <t>This is a count of all HIV infected persons currently on Treatment preparation or on ART who were screened for TB the last time they were seen at the clinic during a scheduled visit within the reporting period.</t>
  </si>
  <si>
    <t>/EMR/DAR MOH 366</t>
  </si>
  <si>
    <t>Screening negative for TB Newly enrolled on ART</t>
  </si>
  <si>
    <t>F07-044</t>
  </si>
  <si>
    <t>This is a count of all HIV infected persons newly enrolled on ART who screened TB negative the last time they were seen at the clinic during a scheduled visit within the reporting period.</t>
  </si>
  <si>
    <t>DAR MOH 366/ EMR</t>
  </si>
  <si>
    <t>Screening negative for TB Previously enrolled on ART</t>
  </si>
  <si>
    <t>F07-045</t>
  </si>
  <si>
    <t>This is a count of all HIV infected persons who have been on treatment follow-up who screened TB negative the last time they were seen at the clinic during a scheduled visit within the reporting period.</t>
  </si>
  <si>
    <t>Screening positive for TB ( Presumptive TB clients)  Newly enrolled on ART</t>
  </si>
  <si>
    <t>F07-042</t>
  </si>
  <si>
    <t>This is a count of all HIV infected persons newly enrolled on ART who screened TB postive the last time they were seen at the clinic during a scheduled visit within the reporting period.</t>
  </si>
  <si>
    <t>Screening positive for TB ( Presumptive TB clients)  Previously enrolled on ART</t>
  </si>
  <si>
    <t>F07-043</t>
  </si>
  <si>
    <t>This is a count of all HIV infected persons who have been on treatment follow-up who screened TB postive the last time they were seen at the clinic during a scheduled visit within the reporting period.</t>
  </si>
  <si>
    <t>Total Screening positive for TB (presumptive TB clients)</t>
  </si>
  <si>
    <t>F07-041</t>
  </si>
  <si>
    <t>No. of patients whose specimens were sent for Smear Microscopy Only</t>
  </si>
  <si>
    <t>F07-046</t>
  </si>
  <si>
    <t>This is a count of PLHIV who screened TB postive whose specimes were sent for Smear test</t>
  </si>
  <si>
    <t>Presumptive DRTB register Column "M"</t>
  </si>
  <si>
    <t>No. of patients whose specimens were sent for mWRD (molecular WHO-recommended rapid diagnostic testing) e.g., Gene Xpert/ TB LAM, Truenat MTB</t>
  </si>
  <si>
    <t>F07-047</t>
  </si>
  <si>
    <t>This is a count of PLHIV who screened TB postive whose specimes were sent for mWRD (molecular WHO-recommended rapid diagnostic testing) e.g., Gene Xpert/ TB LAM, Truenat MTB</t>
  </si>
  <si>
    <t>Presumptive DRTB register Column "L"</t>
  </si>
  <si>
    <t>No. of patients done for other (additional) test other than mWRD (e.g CXR)</t>
  </si>
  <si>
    <t>F07-048</t>
  </si>
  <si>
    <t>This is a count of PLHIV who screened TB postive whose specimes were sent for Additional test other than mWRD</t>
  </si>
  <si>
    <t xml:space="preserve">Presumptive DRTB register Column "N and O" </t>
  </si>
  <si>
    <t>Total number of patients done for TB investigative work up</t>
  </si>
  <si>
    <t>F07-049</t>
  </si>
  <si>
    <t>This is a count of PLHIV who screened TB postive whose specimes were sent</t>
  </si>
  <si>
    <t>No. of ART patients who had a positive result returned for bacteriologic diagnosis of active TB disease</t>
  </si>
  <si>
    <t>F07-050</t>
  </si>
  <si>
    <t>This is a count of PLHIV who had a positive result returned for bacteriologic diagnosis of active TB disease</t>
  </si>
  <si>
    <t xml:space="preserve">Presumptive DRTB register Column "P" </t>
  </si>
  <si>
    <t>5.3.2 Type of TB Screening</t>
  </si>
  <si>
    <t>Symptom Screen Only</t>
  </si>
  <si>
    <t>F07-0501</t>
  </si>
  <si>
    <t>This is a count of ART clients who were screened for TB using TB ICF Form based on WHO four-symptom screen (W4SS).</t>
  </si>
  <si>
    <t>TB ICF Forrm / EMR</t>
  </si>
  <si>
    <t>Chest X-Ray</t>
  </si>
  <si>
    <t>F07-0502</t>
  </si>
  <si>
    <t>This is a count of ART clients who were screened for TB using Chest X - Ray (CXR).</t>
  </si>
  <si>
    <t>X - Ray Registr / Presumptive TB Register</t>
  </si>
  <si>
    <t>Molecular WHO-recommended Diagnostic PCR (mWRD) e.g., Gene Xpert/ TB LAM, Truenat MTB</t>
  </si>
  <si>
    <t>F07-0503</t>
  </si>
  <si>
    <t>This is a count of ART clients who were screened for TB using any of the molecular WHO-recommended rapid diagnostic testing. These tests include: Gene Xpert/ TB LAM and Truenat MTB.</t>
  </si>
  <si>
    <t>Presumptive TB Register/Lab  Gene Xpert Register</t>
  </si>
  <si>
    <t>5.3.3 ART Patients started on TB Treatment</t>
  </si>
  <si>
    <t>No. of confirmed TB-positive starting TB Treatment who were newly started on ART</t>
  </si>
  <si>
    <t>F07-051</t>
  </si>
  <si>
    <t>This a count of  Confirmed TB positive started on TB treatment (TX_TB_Num)</t>
  </si>
  <si>
    <t xml:space="preserve">Presumptive DRTB register Column "Q" </t>
  </si>
  <si>
    <t>No. of confirmed TB-positive starting TB Treatment who were already on ART</t>
  </si>
  <si>
    <t>F07-052</t>
  </si>
  <si>
    <t>This is a count of confirmed TB positive newly started on ART who startedTB treatment</t>
  </si>
  <si>
    <t>Presumptive DRTB register Column "Q" CCC DAR Column "AY, Q to Z"/ EMR</t>
  </si>
  <si>
    <t>Total No. of ART patients started on TB Treatment (TX_TB_Num)</t>
  </si>
  <si>
    <t>F07-053</t>
  </si>
  <si>
    <t>This is a count of confirmed TB positive already on ART started on TB treatment</t>
  </si>
  <si>
    <t>6.0  TPT (TB Preventive Therapy)</t>
  </si>
  <si>
    <t>6.1 TPT Initiation</t>
  </si>
  <si>
    <t>6.1.1 Initiated on TPT this month</t>
  </si>
  <si>
    <t>New on ART</t>
  </si>
  <si>
    <t>F03-130</t>
  </si>
  <si>
    <t xml:space="preserve">This can be generated by counting the total number of patients New on ART and were initiated on other forms of TPT  (Rifampcin &amp; Rifapentine) during the reporting period </t>
  </si>
  <si>
    <t xml:space="preserve">TPT register </t>
  </si>
  <si>
    <t>Already on ART</t>
  </si>
  <si>
    <t>F03-131</t>
  </si>
  <si>
    <t xml:space="preserve">This can be generated by counting the total number of patients Already on ART and were initiated on other forms of TPT  (Rifampcin &amp; Rifapentine) during the reporting period </t>
  </si>
  <si>
    <t>6.2 IPT Initiation</t>
  </si>
  <si>
    <t>6.1.2 Initiated on IPT this month</t>
  </si>
  <si>
    <t>F03-010</t>
  </si>
  <si>
    <t xml:space="preserve">This can be generated by counting the total number of patients New on ART and were initiated on IPT (Isoniazid) during the reporting period </t>
  </si>
  <si>
    <t xml:space="preserve">IPT/TPT register </t>
  </si>
  <si>
    <t>F03-011</t>
  </si>
  <si>
    <t xml:space="preserve">This can be generated by counting the total number of patients Already on ART and were initiated on IPT (Isoniazid)during the reporting period </t>
  </si>
  <si>
    <t>6.2 TPT Uptake (including IPT) Among Current On ART (TX_CURR)</t>
  </si>
  <si>
    <t>Number Current on ART Eligible for TPT/IPT Initiation</t>
  </si>
  <si>
    <t>F07-181</t>
  </si>
  <si>
    <t>This is a count of individuals currently on ART who have ever Eligible for IPT/TPT Initiation (including Isoniazid, Rifampcin &amp; Rifapentine)</t>
  </si>
  <si>
    <t>EMR/ VLMIS</t>
  </si>
  <si>
    <t>Number Current on ART Ever on initiated on TPT/IPT</t>
  </si>
  <si>
    <t>F07-182</t>
  </si>
  <si>
    <t>This is a count of individuals currently on ART who have ever Eligible and initated on IPT/TPT Initiation (including Isoniazid, Rifampcin &amp; Rifapentine)</t>
  </si>
  <si>
    <t>6.3.1 TB_PREV (Denominator)</t>
  </si>
  <si>
    <t>6.3.1.1 Clients on ART Initiated on Rifampcin &amp; Rifapentine 3 months ago 
(3-HP)</t>
  </si>
  <si>
    <t xml:space="preserve">New on ART (TPT) </t>
  </si>
  <si>
    <t>F03-13</t>
  </si>
  <si>
    <t>A count of PLHIV New on ART who were initiated on TPT (Rifampcin &amp; Rifapentine) 3 months ago.</t>
  </si>
  <si>
    <t>Already on ART (TPT)</t>
  </si>
  <si>
    <t>F03-14</t>
  </si>
  <si>
    <t>A count of PLHIV Already on ART who were initiated on TPT (Rifampcin &amp; Rifapentine) 3 months ago.</t>
  </si>
  <si>
    <t>6.3.1.2 Clients on ART Initiated on IPT (Isoniazid) 6 months ago (6-H)</t>
  </si>
  <si>
    <t xml:space="preserve">New on ART (IPT) </t>
  </si>
  <si>
    <t>F03-01</t>
  </si>
  <si>
    <t>A count of PLHIV New on ART who were initiated on IPT (isoniazid) 6 months ago.</t>
  </si>
  <si>
    <t>Already on ART (IPT)</t>
  </si>
  <si>
    <t>F03-02</t>
  </si>
  <si>
    <t>A count of PLHIV Already on ART who were initiated on IPT (isoniazid) 6 months ago.</t>
  </si>
  <si>
    <t xml:space="preserve">6.3.2 TB_PREV (Numerator)  </t>
  </si>
  <si>
    <t>6.3.2.1 Clients on ART Initated on Rifampcin &amp; Rifapentine 3 months ago 
(3-HP) and completed the full course of therapy</t>
  </si>
  <si>
    <t>New on ART (TPT)</t>
  </si>
  <si>
    <t>F03-15</t>
  </si>
  <si>
    <t>A count of PLHIV who completed the full course of therapy among the New on ART initiated on TPT (Rifampcin &amp; Rifapentine) 3 months ago.</t>
  </si>
  <si>
    <t>F03-16</t>
  </si>
  <si>
    <t>A count of PLHIV who completed the full course of therapy among the Already on ART initiated on TPT (Rifampcin &amp; Rifapentine) 3 months ago.</t>
  </si>
  <si>
    <t>6.3.2.2 Clients on ART Initiated on IPT (Isoniazid) 6 months ago (6-H) and completed the full course of therapy</t>
  </si>
  <si>
    <t>New on ART (IPT)</t>
  </si>
  <si>
    <t>F03-03</t>
  </si>
  <si>
    <t>A count of PLHIV who completed the full course of therapy amongthe New on ART initiated on IPT (isoniazid) 6 months ago.</t>
  </si>
  <si>
    <t>F03-04</t>
  </si>
  <si>
    <t>A count of PLHIV who completed the full course of therapy among Already on ART initiated on IPT (isoniazid) 6 months ago.</t>
  </si>
  <si>
    <t>7.1 First time screening</t>
  </si>
  <si>
    <t>F04-01</t>
  </si>
  <si>
    <t>A count of HIV-positive women on ART who received a Negative first time screening result for cervical cancer (ie Indicates that neither a lesion, nor any indication of invasive cervical cancer were visualized during the VIA test.for cervical cancer</t>
  </si>
  <si>
    <t>Cervical cancer screening register "c", "j/k", "u"</t>
  </si>
  <si>
    <t>F04-02</t>
  </si>
  <si>
    <t>A count of HIV-positive women on ART who received a positive first time screening result for cervical cancer (ie Indicates visualized presence of aceto-white lesion on the cervix following the application of acetic acid)</t>
  </si>
  <si>
    <t>Suspected cancer</t>
  </si>
  <si>
    <t>F04-03</t>
  </si>
  <si>
    <t>A count of HIV-positive women on ART were suspected for cervical cancer (ie Indicates visualized presence of a fulminating mass, or other clinical indicator suspicious for invasive cervical cancer</t>
  </si>
  <si>
    <t>Total CXCA Screening Positive</t>
  </si>
  <si>
    <t>F04-031</t>
  </si>
  <si>
    <t>Autocalculated</t>
  </si>
  <si>
    <t xml:space="preserve">7.1.1 Treatment for those screened at the 1st time and turned positives or are Suspected cancer </t>
  </si>
  <si>
    <t>Referred for treatment</t>
  </si>
  <si>
    <t>F04-032</t>
  </si>
  <si>
    <t>Cryotherapy</t>
  </si>
  <si>
    <t>F04-04</t>
  </si>
  <si>
    <t>A count of all women of reproductive age who screened at the 1st time and turned positive for cervical cancer and where treated by Cryotherapy. (The primary outpatient ablative treatment for small precancerous cervical lesions.)</t>
  </si>
  <si>
    <t>Cervical cancer screening register "m" and "u"</t>
  </si>
  <si>
    <t>LEEP</t>
  </si>
  <si>
    <t>F04-05</t>
  </si>
  <si>
    <t>A count of all women of reproductive age who screened at the 1st time and turned positive for cervical cancer and where treated by LEEP. (An outpatient ablative treatment for small precancerous cervical lesions that uses electricity to generate temperatures of 100–120 °C for ablation of cervical lesions for all stages of cervical cancer)</t>
  </si>
  <si>
    <t>Cervical cancer screening register "o" and "u"</t>
  </si>
  <si>
    <t>Thermocoagulation</t>
  </si>
  <si>
    <t>F04-06</t>
  </si>
  <si>
    <t>A count of all women of reproductive age who screened at the 1st time and turned positive for cervical cancer and where treated by thermocoagulation. (Primary outpatient treatment for large precancerous cervical lesions that involves the removal of abnormal areas from the cervix and the entire transformation zone, using a loop made of thin wire powered by an electrosurgical unit)</t>
  </si>
  <si>
    <t>Cervical cancer screening register "n" and "u"</t>
  </si>
  <si>
    <t>Other Treatment methods (Radiotherapy, chemotherapy, Surgery)</t>
  </si>
  <si>
    <t>F04-061</t>
  </si>
  <si>
    <t>A count of all women of reproductive age screened cervical cancer positive who where treated using other treatment methods (Radiotherapy, chemotherapy,Surgery)</t>
  </si>
  <si>
    <t>7.2 Rescreening after previous negative result</t>
  </si>
  <si>
    <t>F04-07</t>
  </si>
  <si>
    <t>Number of HIV-positive women on ART who rescreened Negative for cervical cancer  after previous negative result (ie Indicates that neither a lesion, nor any indication of invasive cervical cancer were visualized during the VIA test.for cervical cancer</t>
  </si>
  <si>
    <t>F04-08</t>
  </si>
  <si>
    <t>Number of HIV-positive women on ARTwho rescreened positive for cervical cancer  after previous negative result (ie Indicates visualized presence of aceto-white lesion on the cervix following the application of acetic acid)</t>
  </si>
  <si>
    <t>F04-09</t>
  </si>
  <si>
    <t>Number of HIV-positive women on ART suspected for cervical cancer  after previous negative result (ie Indicates visualized presence of a fulminating mass, or other clinical indicator suspicious for invasive cervical cancer</t>
  </si>
  <si>
    <t>F04-091</t>
  </si>
  <si>
    <t>7.2.1 Treatment for those rescreening   positives or are Suspected cancer after previous negative result</t>
  </si>
  <si>
    <t>F04-092</t>
  </si>
  <si>
    <t>F04-10</t>
  </si>
  <si>
    <t>A count of all women of reproductive age who rescreened cervical cancer positive after previous negative result and where treated by Cryotherapy. (The primary outpatient ablative treatment for small precancerous cervical lesions.)</t>
  </si>
  <si>
    <t>F04-11</t>
  </si>
  <si>
    <t>A count of all women of reproductive age who rescreened cervical cancer positive after previous negative result and where treated by LEEP. (An outpatient ablative treatment for small precancerous cervical lesions that uses electricity to generate temperatures of 100–120 °C for ablation of cervical lesions for all stages of cervical cancer)</t>
  </si>
  <si>
    <t>F04-12</t>
  </si>
  <si>
    <t>A count of all women of reproductive age who rescreened cervical cancer positive after previous negative result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</si>
  <si>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F04-121</t>
  </si>
  <si>
    <t>A count of all women of reproductive age who rescreened cervical cancer positive after previous negative result and where treated using other treatment methods (Radiotherapy, chemotherapy, surgery)</t>
  </si>
  <si>
    <t>7.3 Post Treatment follow-up</t>
  </si>
  <si>
    <t>F04-13</t>
  </si>
  <si>
    <t>Number of HIV-positive women on ART screened Negative for cervical cancer Post Treatment follow-up (ie Indicates that neither a lesion, nor any indication of invasive cervical cancer were visualized during the VIA test.for cervical cancer</t>
  </si>
  <si>
    <t>F04-14</t>
  </si>
  <si>
    <t>Number of HIV-positive women on ART screened positive for cervical cancer Post Treatment follow-up (ie Indicates visualized presence of aceto-white lesion on the cervix following the application of acetic acid)</t>
  </si>
  <si>
    <t>F04-15</t>
  </si>
  <si>
    <t xml:space="preserve">Number of HIV-positive women on ARTsuspected with cervical cancer Post Treatment follow-up (ie Indicates visualized presence of a fulminating mass, or other clinical indicator suspicious for invasive cervical cancer </t>
  </si>
  <si>
    <t>F04-151</t>
  </si>
  <si>
    <t>7.3.1 Treatment for those screened  positive or are Suspected cancer Post treatment follow up</t>
  </si>
  <si>
    <t>F04-152</t>
  </si>
  <si>
    <t>F04-16</t>
  </si>
  <si>
    <t>A count of all women of reproductive age screened  positive or are Suspected cancer Post treatment follow up and where treated by Cryotherapy (The primary outpatient ablative treatment for small precancerous cervical lesions)</t>
  </si>
  <si>
    <t>F04-17</t>
  </si>
  <si>
    <t>A count of all women of reproductive age screened  positive or are Suspected cancer Post treatment follow up and where treated by LEEP. (An outpatient ablative treatment for small precancerous cervical lesions that uses electricity to generate temperatures of 100–120 °C for ablation of cervical lesions for all stages of cervical cancer)</t>
  </si>
  <si>
    <t>F04-18</t>
  </si>
  <si>
    <t>A count of all women of reproductive age screened  positive or are Suspected cancer Post treatment follow up and where treated by thermocoagulation. Primary outpatient treatment for large precancerous cervical lesions that involves the removal of abnormal areas from the cervix and the entire transformation zone, using a loop made of thin wire powered by an electrosurgical unit</t>
  </si>
  <si>
    <t>F04-181</t>
  </si>
  <si>
    <t>A count of all women of reproductive age screened  positive or are Suspected cancer Post treatment follow up and where treated using other treatment methods (Radiotherapy, chemotherapy, surgery)</t>
  </si>
  <si>
    <t>8.0 Post Violence Response</t>
  </si>
  <si>
    <t>8.1 POST_RESP (autocalculated)</t>
  </si>
  <si>
    <t>Number of people receiving post-sexual, physical and emotional violence (SPEV) clinical care based on the minimum package</t>
  </si>
  <si>
    <t>F05-001</t>
  </si>
  <si>
    <t>This is a count of persons receiving post- SPEV clinical care, disaggregated by the age group and sex of the client receiving the service</t>
  </si>
  <si>
    <t xml:space="preserve">GBV register </t>
  </si>
  <si>
    <t>8.2 Physical &amp; emotional Violence</t>
  </si>
  <si>
    <t>Number of people receiving post physical and emotional violence (PEV) clinical care</t>
  </si>
  <si>
    <t>F05-03</t>
  </si>
  <si>
    <t>This is a count of persons receiving post- Physical and Emotional Violence (PEV) clinical care,disaggregated by the age group and sex of the client receiving the service</t>
  </si>
  <si>
    <t>8.3 Sexual Violence</t>
  </si>
  <si>
    <t>Number of people receiving post sexual violence (SV) clinical care ( including Rape, defilement, attempted rape/defilement, sexual assault, FGM, Early marriages)</t>
  </si>
  <si>
    <t>F05-01</t>
  </si>
  <si>
    <t>This is a count of persons receiving post- Sexual Violence (SEV) clinical care,disaggregated by the age group and sex of the client receiving the service</t>
  </si>
  <si>
    <t>No. of Sexual Rape/defilement survivors [OPD, IPD , MCH and CCC]</t>
  </si>
  <si>
    <t>F05-011</t>
  </si>
  <si>
    <t>This is a count of total number of rape/defilement survivors, receiving post- response clinical care,disaggregated by the age group and sex of the client receiving the service</t>
  </si>
  <si>
    <t>Sexual Rape/defilement Survivors Tested for HIV</t>
  </si>
  <si>
    <t>F05-10</t>
  </si>
  <si>
    <t xml:space="preserve">This is a count of rape/defilement survivors that were tested for HIV and received their test results </t>
  </si>
  <si>
    <t>Sexual Rape/defilement Survivors Tested HIV positive at 1st visit</t>
  </si>
  <si>
    <t>F05-11</t>
  </si>
  <si>
    <t xml:space="preserve">This is a count of rape/defilement survivors that tested HIV positive during their first visit </t>
  </si>
  <si>
    <t>Sexual Rape/defilement Survivors presenting within 72 hours (Negative)</t>
  </si>
  <si>
    <t>F05-041</t>
  </si>
  <si>
    <t>This is a count of rape/defilement survivors who tested HIV negative and Came within 72 Hours</t>
  </si>
  <si>
    <t>Sexual Rape/defilement Survivors Initiated PEP</t>
  </si>
  <si>
    <t>F05-02</t>
  </si>
  <si>
    <t>This is a count of rape/defilement survivors that were given PEP  (This is a subset of the survivors presenting within 72 hours)</t>
  </si>
  <si>
    <t>Sexual Rape/defilement Survivors presenting within 120 hours</t>
  </si>
  <si>
    <t>F05-081</t>
  </si>
  <si>
    <t>This is a count of rape/defilement survivors who presented at the facility within 120 hours</t>
  </si>
  <si>
    <t>Sexual Rape/defilement Survivors Eligible for Emergency Contraceptive Pill (ECP)</t>
  </si>
  <si>
    <t>F05-08</t>
  </si>
  <si>
    <t>This is a count of rape/defilement survivors that were elligible for a dose of emergency contraception pill. Count all clients with "Y" or "N" documentation (This is a subset of the survivors presenting withing 120 hours)</t>
  </si>
  <si>
    <t>Sexual Rape/defilement Survivors Given Emergency Contraceptive Pill (ECP)</t>
  </si>
  <si>
    <t>F05-09</t>
  </si>
  <si>
    <t>This is a count of rape/defilement survivors that were given emergency contraception pill. Count only clients with "Y" documentation (This is a subset of the survivors eligible for a dose of ECP)</t>
  </si>
  <si>
    <t>Sexual Rape/defilement Survivors Screened for STI</t>
  </si>
  <si>
    <t>F05-05</t>
  </si>
  <si>
    <t xml:space="preserve">This is a count of rape/defilement survivors that were screened for STI </t>
  </si>
  <si>
    <t>Sexual Rape/defilement Survivors Tested for STI</t>
  </si>
  <si>
    <t>F05-06</t>
  </si>
  <si>
    <t xml:space="preserve">This is a count of rape/defilement survivors that were tested for STI </t>
  </si>
  <si>
    <t>Sexual Rape/defilement Survivors Positive for STI</t>
  </si>
  <si>
    <t>F05-061</t>
  </si>
  <si>
    <t xml:space="preserve">This is a count of rape survivors that tested positive for STI </t>
  </si>
  <si>
    <t>Sexual Rape/defilement Survivors Treated for STI</t>
  </si>
  <si>
    <t>F05-07</t>
  </si>
  <si>
    <t>This is a count of rape survivors that tested positive for STI and were treated</t>
  </si>
  <si>
    <t>SGBV register colm "AG"</t>
  </si>
  <si>
    <t>Reporting Month</t>
  </si>
  <si>
    <t>3 Months Cohorts (3-HP)</t>
  </si>
  <si>
    <t>6 Months Cohort (6-H)</t>
  </si>
  <si>
    <t xml:space="preserve">October </t>
  </si>
  <si>
    <t>July</t>
  </si>
  <si>
    <t>April</t>
  </si>
  <si>
    <t>November</t>
  </si>
  <si>
    <t>August</t>
  </si>
  <si>
    <t>May</t>
  </si>
  <si>
    <t>December</t>
  </si>
  <si>
    <t>September</t>
  </si>
  <si>
    <t>June</t>
  </si>
  <si>
    <t>January</t>
  </si>
  <si>
    <t>February</t>
  </si>
  <si>
    <t>March</t>
  </si>
  <si>
    <t>Health Facility</t>
  </si>
  <si>
    <t>Likii Dispensary</t>
  </si>
  <si>
    <t>MFL Code</t>
  </si>
  <si>
    <t>15035</t>
  </si>
  <si>
    <t>Sub County</t>
  </si>
  <si>
    <t>Laikipia East</t>
  </si>
  <si>
    <t>County</t>
  </si>
  <si>
    <t>Laikipia</t>
  </si>
  <si>
    <t>Month</t>
  </si>
  <si>
    <t>02</t>
  </si>
  <si>
    <t>Year</t>
  </si>
  <si>
    <t>WARNINGS &amp; ERRORS</t>
  </si>
  <si>
    <t>Form 1A  version 10.0.0</t>
  </si>
  <si>
    <t>Note: Please DON'T cut paste any cell, this will interfere with the formulas.</t>
  </si>
  <si>
    <r>
      <rPr>
        <b/>
        <sz val="18"/>
        <color rgb="FFFF0000"/>
        <rFont val="Gill Sans MT"/>
        <family val="2"/>
      </rPr>
      <t xml:space="preserve">Incase you copy data, please </t>
    </r>
    <r>
      <rPr>
        <b/>
        <sz val="18"/>
        <color theme="1"/>
        <rFont val="Gill Sans MT"/>
        <family val="2"/>
      </rPr>
      <t>paste as value</t>
    </r>
    <r>
      <rPr>
        <b/>
        <sz val="18"/>
        <color rgb="FFFF0000"/>
        <rFont val="Gill Sans MT"/>
        <family val="2"/>
      </rPr>
      <t xml:space="preserve"> to avoid unexpected Red alerts</t>
    </r>
  </si>
  <si>
    <t>&lt; 1</t>
  </si>
  <si>
    <t>1-4</t>
  </si>
  <si>
    <t>5-9</t>
  </si>
  <si>
    <t>10-14</t>
  </si>
  <si>
    <t>15-19</t>
  </si>
  <si>
    <t>20-24</t>
  </si>
  <si>
    <t>25-29</t>
  </si>
  <si>
    <t>30-34</t>
  </si>
  <si>
    <t>35-39</t>
  </si>
  <si>
    <t>40-44</t>
  </si>
  <si>
    <t>45-49</t>
  </si>
  <si>
    <t>50+</t>
  </si>
  <si>
    <t>50-54</t>
  </si>
  <si>
    <t>55-59</t>
  </si>
  <si>
    <t>60-64</t>
  </si>
  <si>
    <t>65+</t>
  </si>
  <si>
    <t>Sub Total</t>
  </si>
  <si>
    <t>Errors</t>
  </si>
  <si>
    <t>Errors per Section</t>
  </si>
  <si>
    <t>Early Warning Service Quality</t>
  </si>
  <si>
    <t>M</t>
  </si>
  <si>
    <t>F</t>
  </si>
  <si>
    <r>
      <rPr>
        <sz val="18"/>
        <color theme="1"/>
        <rFont val="Gill Sans MT"/>
        <family val="2"/>
      </rPr>
      <t xml:space="preserve">1.1.1 </t>
    </r>
    <r>
      <rPr>
        <b/>
        <sz val="18"/>
        <color theme="1"/>
        <rFont val="Gill Sans MT"/>
        <family val="2"/>
      </rPr>
      <t>HTS_Index</t>
    </r>
  </si>
  <si>
    <r>
      <rPr>
        <sz val="18"/>
        <color theme="1"/>
        <rFont val="Gill Sans MT"/>
        <family val="2"/>
      </rPr>
      <t xml:space="preserve">1.1.2 HTS_TST: </t>
    </r>
    <r>
      <rPr>
        <b/>
        <sz val="18"/>
        <color theme="1"/>
        <rFont val="Gill Sans MT"/>
        <family val="2"/>
      </rPr>
      <t>Emergency</t>
    </r>
  </si>
  <si>
    <r>
      <rPr>
        <sz val="18"/>
        <color theme="1"/>
        <rFont val="Gill Sans MT"/>
        <family val="2"/>
      </rPr>
      <t xml:space="preserve">1.1.3 HTS_TST: </t>
    </r>
    <r>
      <rPr>
        <b/>
        <sz val="18"/>
        <color theme="1"/>
        <rFont val="Gill Sans MT"/>
        <family val="2"/>
      </rPr>
      <t>Inpatient</t>
    </r>
  </si>
  <si>
    <r>
      <rPr>
        <sz val="18"/>
        <color theme="1"/>
        <rFont val="Gill Sans MT"/>
        <family val="2"/>
      </rPr>
      <t xml:space="preserve">1.1.4 HTS_TST: </t>
    </r>
    <r>
      <rPr>
        <b/>
        <sz val="18"/>
        <color theme="1"/>
        <rFont val="Gill Sans MT"/>
        <family val="2"/>
      </rPr>
      <t>Malnutrition</t>
    </r>
  </si>
  <si>
    <r>
      <rPr>
        <sz val="18"/>
        <color theme="1"/>
        <rFont val="Gill Sans MT"/>
        <family val="2"/>
      </rPr>
      <t>1.1.5 HTS_TST:</t>
    </r>
    <r>
      <rPr>
        <b/>
        <sz val="18"/>
        <color theme="1"/>
        <rFont val="Gill Sans MT"/>
        <family val="2"/>
      </rPr>
      <t>Pediatric</t>
    </r>
    <r>
      <rPr>
        <sz val="18"/>
        <color theme="1"/>
        <rFont val="Gill Sans MT"/>
        <family val="2"/>
      </rPr>
      <t xml:space="preserve"> 
(&lt; 5 Yrs)</t>
    </r>
  </si>
  <si>
    <r>
      <rPr>
        <sz val="18"/>
        <color theme="1"/>
        <rFont val="Gill Sans MT"/>
        <family val="2"/>
      </rPr>
      <t xml:space="preserve">1.1.6 HTS_TST: </t>
    </r>
    <r>
      <rPr>
        <b/>
        <sz val="18"/>
        <color theme="1"/>
        <rFont val="Gill Sans MT"/>
        <family val="2"/>
      </rPr>
      <t>STI</t>
    </r>
  </si>
  <si>
    <r>
      <rPr>
        <sz val="18"/>
        <color theme="1"/>
        <rFont val="Gill Sans MT"/>
        <family val="2"/>
      </rPr>
      <t>1.1.11 Total HTS_TST:</t>
    </r>
    <r>
      <rPr>
        <b/>
        <sz val="18"/>
        <color theme="1"/>
        <rFont val="Gill Sans MT"/>
        <family val="2"/>
      </rPr>
      <t>PMTCT</t>
    </r>
    <r>
      <rPr>
        <sz val="18"/>
        <color theme="1"/>
        <rFont val="Gill Sans MT"/>
        <family val="2"/>
      </rPr>
      <t xml:space="preserve"> </t>
    </r>
    <r>
      <rPr>
        <b/>
        <sz val="18"/>
        <color theme="1"/>
        <rFont val="Gill Sans MT"/>
        <family val="2"/>
      </rPr>
      <t>Post ANC 1 (Linkage)</t>
    </r>
  </si>
  <si>
    <r>
      <rPr>
        <sz val="18"/>
        <color theme="1"/>
        <rFont val="Gill Sans MT"/>
        <family val="2"/>
      </rPr>
      <t xml:space="preserve">1.1.12 HTS_TST: </t>
    </r>
    <r>
      <rPr>
        <b/>
        <sz val="18"/>
        <color theme="1"/>
        <rFont val="Gill Sans MT"/>
        <family val="2"/>
      </rPr>
      <t>VCT</t>
    </r>
  </si>
  <si>
    <r>
      <rPr>
        <sz val="18"/>
        <color theme="1"/>
        <rFont val="Gill Sans MT"/>
        <family val="2"/>
      </rPr>
      <t>1.1.13 HTS_TST:</t>
    </r>
    <r>
      <rPr>
        <b/>
        <sz val="18"/>
        <color theme="1"/>
        <rFont val="Gill Sans MT"/>
        <family val="2"/>
      </rPr>
      <t>Social Network Strategy (SNS)</t>
    </r>
  </si>
  <si>
    <t>Total HTS Tested</t>
  </si>
  <si>
    <r>
      <rPr>
        <b/>
        <sz val="18"/>
        <color rgb="FFFF0000"/>
        <rFont val="Gill Sans MT"/>
        <family val="2"/>
      </rPr>
      <t>1.1.15 HIV Testing By Key Population Type (</t>
    </r>
    <r>
      <rPr>
        <b/>
        <i/>
        <sz val="18"/>
        <color rgb="FFFF0000"/>
        <rFont val="Gill Sans MT"/>
        <family val="2"/>
      </rPr>
      <t>This includes only walk-in KPs in the facility</t>
    </r>
    <r>
      <rPr>
        <b/>
        <sz val="18"/>
        <color rgb="FFFF0000"/>
        <rFont val="Gill Sans MT"/>
        <family val="2"/>
      </rPr>
      <t>)</t>
    </r>
  </si>
  <si>
    <r>
      <rPr>
        <sz val="18"/>
        <color theme="1"/>
        <rFont val="Gill Sans MT"/>
        <family val="2"/>
      </rPr>
      <t>1.2.1</t>
    </r>
    <r>
      <rPr>
        <b/>
        <sz val="18"/>
        <color theme="1"/>
        <rFont val="Gill Sans MT"/>
        <family val="2"/>
      </rPr>
      <t xml:space="preserve"> Test kits distributed</t>
    </r>
  </si>
  <si>
    <r>
      <rPr>
        <sz val="18"/>
        <color theme="1"/>
        <rFont val="Gill Sans MT"/>
        <family val="2"/>
      </rPr>
      <t>Directly Assisted</t>
    </r>
    <r>
      <rPr>
        <b/>
        <sz val="18"/>
        <color theme="1"/>
        <rFont val="Gill Sans MT"/>
        <family val="2"/>
      </rPr>
      <t xml:space="preserve">  </t>
    </r>
  </si>
  <si>
    <t>Initiated (new) on PrEP</t>
  </si>
  <si>
    <r>
      <rPr>
        <sz val="18"/>
        <color theme="1"/>
        <rFont val="Gill Sans MT"/>
        <family val="2"/>
      </rPr>
      <t xml:space="preserve">2.1.1  Initiated (New) on PrEP by </t>
    </r>
    <r>
      <rPr>
        <b/>
        <sz val="18"/>
        <color theme="1"/>
        <rFont val="Gill Sans MT"/>
        <family val="2"/>
      </rPr>
      <t>population type</t>
    </r>
  </si>
  <si>
    <t>Serodiscordant Couple</t>
  </si>
  <si>
    <t>Men at high risk</t>
  </si>
  <si>
    <r>
      <rPr>
        <sz val="18"/>
        <color theme="1"/>
        <rFont val="Gill Sans MT"/>
        <family val="2"/>
      </rPr>
      <t>2.1.3 PrEP Initiation by</t>
    </r>
    <r>
      <rPr>
        <b/>
        <sz val="18"/>
        <color theme="1"/>
        <rFont val="Gill Sans MT"/>
        <family val="2"/>
      </rPr>
      <t xml:space="preserve"> Distribution Type</t>
    </r>
  </si>
  <si>
    <r>
      <rPr>
        <sz val="18"/>
        <color theme="1"/>
        <rFont val="Gill Sans MT"/>
        <family val="2"/>
      </rPr>
      <t xml:space="preserve">2.1.4 PrEP </t>
    </r>
    <r>
      <rPr>
        <b/>
        <sz val="18"/>
        <color theme="1"/>
        <rFont val="Gill Sans MT"/>
        <family val="2"/>
      </rPr>
      <t>Initiation by Type</t>
    </r>
  </si>
  <si>
    <r>
      <rPr>
        <sz val="18"/>
        <color theme="1"/>
        <rFont val="Gill Sans MT"/>
        <family val="2"/>
      </rPr>
      <t xml:space="preserve">2.2.1 PrEP_CT </t>
    </r>
    <r>
      <rPr>
        <b/>
        <sz val="18"/>
        <color theme="1"/>
        <rFont val="Gill Sans MT"/>
        <family val="2"/>
      </rPr>
      <t>Test result</t>
    </r>
  </si>
  <si>
    <r>
      <rPr>
        <sz val="18"/>
        <color theme="1"/>
        <rFont val="Gill Sans MT"/>
        <family val="2"/>
      </rPr>
      <t xml:space="preserve">2.2.2 PrEP_CT </t>
    </r>
    <r>
      <rPr>
        <b/>
        <sz val="18"/>
        <color theme="1"/>
        <rFont val="Gill Sans MT"/>
        <family val="2"/>
      </rPr>
      <t>Pregnant or Breastfeeding</t>
    </r>
  </si>
  <si>
    <r>
      <rPr>
        <sz val="18"/>
        <color theme="1"/>
        <rFont val="Gill Sans MT"/>
        <family val="2"/>
      </rPr>
      <t xml:space="preserve">2.2.3 PrEP_CT By </t>
    </r>
    <r>
      <rPr>
        <b/>
        <sz val="18"/>
        <color theme="1"/>
        <rFont val="Gill Sans MT"/>
        <family val="2"/>
      </rPr>
      <t>Population Type</t>
    </r>
  </si>
  <si>
    <r>
      <rPr>
        <sz val="18"/>
        <color theme="1"/>
        <rFont val="Gill Sans MT"/>
        <family val="2"/>
      </rPr>
      <t xml:space="preserve">2.2.4 PrEP_CT by </t>
    </r>
    <r>
      <rPr>
        <b/>
        <sz val="18"/>
        <color theme="1"/>
        <rFont val="Gill Sans MT"/>
        <family val="2"/>
      </rPr>
      <t>Distribution Type</t>
    </r>
  </si>
  <si>
    <r>
      <rPr>
        <sz val="18"/>
        <color theme="1"/>
        <rFont val="Gill Sans MT"/>
        <family val="2"/>
      </rPr>
      <t xml:space="preserve">2.2.6 PrEP_CT </t>
    </r>
    <r>
      <rPr>
        <b/>
        <sz val="18"/>
        <color theme="1"/>
        <rFont val="Gill Sans MT"/>
        <family val="2"/>
      </rPr>
      <t>Event Driven PrEP</t>
    </r>
  </si>
  <si>
    <r>
      <rPr>
        <sz val="18"/>
        <color theme="1"/>
        <rFont val="Gill Sans MT"/>
        <family val="2"/>
      </rPr>
      <t>3.1.1 HTS_TST</t>
    </r>
    <r>
      <rPr>
        <b/>
        <sz val="18"/>
        <color theme="1"/>
        <rFont val="Gill Sans MT"/>
        <family val="2"/>
      </rPr>
      <t xml:space="preserve">:1st ANC visit </t>
    </r>
  </si>
  <si>
    <t>ANC1 clients with known HIV status (PMTCT_STAT_Num)</t>
  </si>
  <si>
    <r>
      <rPr>
        <sz val="18"/>
        <color theme="1"/>
        <rFont val="Gill Sans MT"/>
        <family val="2"/>
      </rPr>
      <t>3.1.3 HTS_TST:</t>
    </r>
    <r>
      <rPr>
        <b/>
        <sz val="18"/>
        <color theme="1"/>
        <rFont val="Gill Sans MT"/>
        <family val="2"/>
      </rPr>
      <t xml:space="preserve"> L&amp;D (Maternity)</t>
    </r>
  </si>
  <si>
    <r>
      <rPr>
        <sz val="18"/>
        <color theme="1"/>
        <rFont val="Gill Sans MT"/>
        <family val="2"/>
      </rPr>
      <t>3.1.3 HTS_TST:</t>
    </r>
    <r>
      <rPr>
        <b/>
        <sz val="18"/>
        <color theme="1"/>
        <rFont val="Gill Sans MT"/>
        <family val="2"/>
      </rPr>
      <t xml:space="preserve"> PNC</t>
    </r>
  </si>
  <si>
    <r>
      <rPr>
        <sz val="18"/>
        <color theme="1"/>
        <rFont val="Gill Sans MT"/>
        <family val="2"/>
      </rPr>
      <t xml:space="preserve">3.1.4 HTS_TST: </t>
    </r>
    <r>
      <rPr>
        <b/>
        <sz val="18"/>
        <color theme="1"/>
        <rFont val="Gill Sans MT"/>
        <family val="2"/>
      </rPr>
      <t>PMTCT POST ANC 1</t>
    </r>
    <r>
      <rPr>
        <sz val="18"/>
        <color theme="1"/>
        <rFont val="Gill Sans MT"/>
        <family val="2"/>
      </rPr>
      <t xml:space="preserve">
</t>
    </r>
    <r>
      <rPr>
        <i/>
        <sz val="18"/>
        <color theme="1"/>
        <rFont val="Gill Sans MT"/>
        <family val="2"/>
      </rPr>
      <t>(ANC 2 and above , L&amp;D, PNC &lt;=6 wks, PNC&gt;6wks-6mths)</t>
    </r>
  </si>
  <si>
    <t>3.2  PMTCT ART</t>
  </si>
  <si>
    <r>
      <rPr>
        <b/>
        <sz val="18"/>
        <color theme="1"/>
        <rFont val="Gill Sans MT"/>
        <family val="2"/>
      </rPr>
      <t xml:space="preserve">3.2.1.2 ANC 2 and above </t>
    </r>
    <r>
      <rPr>
        <i/>
        <sz val="18"/>
        <color theme="1"/>
        <rFont val="Gill Sans MT"/>
        <family val="2"/>
      </rPr>
      <t>(includes 2nd, 3rd, 4th ANC visits etc)</t>
    </r>
  </si>
  <si>
    <r>
      <rPr>
        <sz val="18"/>
        <color theme="1"/>
        <rFont val="Gill Sans MT"/>
        <family val="2"/>
      </rPr>
      <t xml:space="preserve">TB cases with known </t>
    </r>
    <r>
      <rPr>
        <b/>
        <sz val="18"/>
        <color theme="5"/>
        <rFont val="Gill Sans MT"/>
        <family val="2"/>
      </rPr>
      <t>HIV +ve</t>
    </r>
    <r>
      <rPr>
        <sz val="18"/>
        <color theme="1"/>
        <rFont val="Gill Sans MT"/>
        <family val="2"/>
      </rPr>
      <t xml:space="preserve"> status (KP) at entry in TB clinic (TB_STAT_KP)</t>
    </r>
  </si>
  <si>
    <r>
      <rPr>
        <sz val="18"/>
        <color theme="1"/>
        <rFont val="Gill Sans MT"/>
        <family val="2"/>
      </rPr>
      <t>5.1.1 Starting ART (</t>
    </r>
    <r>
      <rPr>
        <b/>
        <sz val="18"/>
        <color theme="1"/>
        <rFont val="Gill Sans MT"/>
        <family val="2"/>
      </rPr>
      <t>TX_New</t>
    </r>
    <r>
      <rPr>
        <sz val="18"/>
        <color theme="1"/>
        <rFont val="Gill Sans MT"/>
        <family val="2"/>
      </rPr>
      <t>)</t>
    </r>
  </si>
  <si>
    <r>
      <rPr>
        <sz val="18"/>
        <color theme="1"/>
        <rFont val="Gill Sans MT"/>
        <family val="2"/>
      </rPr>
      <t xml:space="preserve">5.1.2 Starting ART (TX_New) by </t>
    </r>
    <r>
      <rPr>
        <b/>
        <sz val="18"/>
        <color theme="1"/>
        <rFont val="Gill Sans MT"/>
        <family val="2"/>
      </rPr>
      <t>Population type</t>
    </r>
  </si>
  <si>
    <r>
      <rPr>
        <sz val="16"/>
        <color theme="1"/>
        <rFont val="Gill Sans MT"/>
        <family val="2"/>
      </rPr>
      <t>5.1.3 Starting ART (TX_New)</t>
    </r>
    <r>
      <rPr>
        <b/>
        <sz val="16"/>
        <color theme="1"/>
        <rFont val="Gill Sans MT"/>
        <family val="2"/>
      </rPr>
      <t xml:space="preserve"> Breastfeeding</t>
    </r>
  </si>
  <si>
    <r>
      <rPr>
        <sz val="18"/>
        <color theme="1"/>
        <rFont val="Gill Sans MT"/>
        <family val="2"/>
      </rPr>
      <t xml:space="preserve">No. of patients whose specimens were sent for </t>
    </r>
    <r>
      <rPr>
        <b/>
        <sz val="18"/>
        <color theme="1"/>
        <rFont val="Gill Sans MT"/>
        <family val="2"/>
      </rPr>
      <t>Smear Microscopy Only</t>
    </r>
  </si>
  <si>
    <r>
      <rPr>
        <sz val="18"/>
        <color theme="1"/>
        <rFont val="Gill Sans MT"/>
        <family val="2"/>
      </rPr>
      <t xml:space="preserve">No. of patients whose specimens were sent for </t>
    </r>
    <r>
      <rPr>
        <b/>
        <sz val="18"/>
        <color theme="1"/>
        <rFont val="Gill Sans MT"/>
        <family val="2"/>
      </rPr>
      <t>mWRD (molecular WHO-recommended rapid diagnostic testing) e.g., Gene Xpert/ TB LAM, Truenat MTB</t>
    </r>
  </si>
  <si>
    <r>
      <rPr>
        <sz val="18"/>
        <color theme="1"/>
        <rFont val="Gill Sans MT"/>
        <family val="2"/>
      </rPr>
      <t>No. of patients done for other (a</t>
    </r>
    <r>
      <rPr>
        <b/>
        <sz val="18"/>
        <color theme="1"/>
        <rFont val="Gill Sans MT"/>
        <family val="2"/>
      </rPr>
      <t>dditional) test other than mWRD (e.g CXR)</t>
    </r>
  </si>
  <si>
    <r>
      <rPr>
        <sz val="18"/>
        <color theme="1"/>
        <rFont val="Gill Sans MT"/>
        <family val="2"/>
      </rPr>
      <t>6.2 TPT Uptake (</t>
    </r>
    <r>
      <rPr>
        <i/>
        <sz val="18"/>
        <color theme="1"/>
        <rFont val="Gill Sans MT"/>
        <family val="2"/>
      </rPr>
      <t>including IPT</t>
    </r>
    <r>
      <rPr>
        <sz val="18"/>
        <color theme="1"/>
        <rFont val="Gill Sans MT"/>
        <family val="2"/>
      </rPr>
      <t>) Among Current On ART (TX_CURR)</t>
    </r>
  </si>
  <si>
    <r>
      <rPr>
        <b/>
        <sz val="18"/>
        <color rgb="FFFF0000"/>
        <rFont val="Gill Sans MT"/>
        <family val="2"/>
      </rPr>
      <t>6.3 TB_PREV  (</t>
    </r>
    <r>
      <rPr>
        <b/>
        <i/>
        <sz val="18"/>
        <color rgb="FFFF0000"/>
        <rFont val="Gill Sans MT"/>
        <family val="2"/>
      </rPr>
      <t>Used for DATIM reporting</t>
    </r>
    <r>
      <rPr>
        <b/>
        <sz val="18"/>
        <color rgb="FFFF0000"/>
        <rFont val="Gill Sans MT"/>
        <family val="2"/>
      </rPr>
      <t>)</t>
    </r>
  </si>
  <si>
    <r>
      <rPr>
        <sz val="18"/>
        <color theme="1"/>
        <rFont val="Gill Sans MT"/>
        <family val="2"/>
      </rPr>
      <t>New on ART (TPT)</t>
    </r>
    <r>
      <rPr>
        <b/>
        <sz val="18"/>
        <color theme="1"/>
        <rFont val="Gill Sans MT"/>
        <family val="2"/>
      </rPr>
      <t xml:space="preserve"> </t>
    </r>
  </si>
  <si>
    <r>
      <rPr>
        <sz val="18"/>
        <color theme="1"/>
        <rFont val="Gill Sans MT"/>
        <family val="2"/>
      </rPr>
      <t>New on ART (IPT)</t>
    </r>
    <r>
      <rPr>
        <b/>
        <sz val="18"/>
        <color theme="1"/>
        <rFont val="Gill Sans MT"/>
        <family val="2"/>
      </rPr>
      <t xml:space="preserve"> </t>
    </r>
  </si>
  <si>
    <r>
      <rPr>
        <sz val="18"/>
        <color theme="1"/>
        <rFont val="Gill Sans MT"/>
        <family val="2"/>
      </rPr>
      <t xml:space="preserve">6.3.2.1 Clients on ART Initated on Rifampcin &amp; Rifapentine 3 months ago 
(3-HP) and </t>
    </r>
    <r>
      <rPr>
        <b/>
        <sz val="18"/>
        <color theme="1"/>
        <rFont val="Gill Sans MT"/>
        <family val="2"/>
      </rPr>
      <t>completed</t>
    </r>
    <r>
      <rPr>
        <sz val="18"/>
        <color theme="1"/>
        <rFont val="Gill Sans MT"/>
        <family val="2"/>
      </rPr>
      <t xml:space="preserve"> the full course of therapy</t>
    </r>
  </si>
  <si>
    <r>
      <rPr>
        <sz val="18"/>
        <color theme="1"/>
        <rFont val="Gill Sans MT"/>
        <family val="2"/>
      </rPr>
      <t xml:space="preserve">6.3.2.2 Clients on ART </t>
    </r>
    <r>
      <rPr>
        <b/>
        <sz val="18"/>
        <color theme="1"/>
        <rFont val="Gill Sans MT"/>
        <family val="2"/>
      </rPr>
      <t>Initiated</t>
    </r>
    <r>
      <rPr>
        <sz val="18"/>
        <color theme="1"/>
        <rFont val="Gill Sans MT"/>
        <family val="2"/>
      </rPr>
      <t xml:space="preserve"> on IPT (Isoniazid) 6 months ago (6-H) and </t>
    </r>
    <r>
      <rPr>
        <b/>
        <sz val="18"/>
        <color theme="1"/>
        <rFont val="Gill Sans MT"/>
        <family val="2"/>
      </rPr>
      <t>completed</t>
    </r>
    <r>
      <rPr>
        <sz val="18"/>
        <color theme="1"/>
        <rFont val="Gill Sans MT"/>
        <family val="2"/>
      </rPr>
      <t xml:space="preserve"> the full course of therapy</t>
    </r>
  </si>
  <si>
    <t>8.1 POST_RESP</t>
  </si>
  <si>
    <r>
      <rPr>
        <sz val="18"/>
        <color theme="1"/>
        <rFont val="Gill Sans MT"/>
        <family val="2"/>
      </rPr>
      <t xml:space="preserve">Number of people receiving post sexual violence (SV) clinical care ( </t>
    </r>
    <r>
      <rPr>
        <i/>
        <sz val="18"/>
        <color theme="1"/>
        <rFont val="Gill Sans MT"/>
        <family val="2"/>
      </rPr>
      <t>including Rape, defilement, attempted rape/defilement, sexual assault, FGM, Early marriages</t>
    </r>
    <r>
      <rPr>
        <sz val="18"/>
        <color theme="1"/>
        <rFont val="Gill Sans MT"/>
        <family val="2"/>
      </rPr>
      <t>)</t>
    </r>
  </si>
  <si>
    <t xml:space="preserve">Sexual Rape/defilement Survivors presenting within 72 hours </t>
  </si>
  <si>
    <t>Prepared By:</t>
  </si>
  <si>
    <t>Errors Summaries</t>
  </si>
  <si>
    <t>Errors Justifications</t>
  </si>
  <si>
    <t>Warnings Summaries</t>
  </si>
  <si>
    <t xml:space="preserve">Type any Justifications on the section below to explain reason for the warnings on the left </t>
  </si>
  <si>
    <r>
      <t>Pregnant and Breast Feeding Women (</t>
    </r>
    <r>
      <rPr>
        <i/>
        <sz val="18"/>
        <rFont val="Gill Sans MT"/>
        <family val="2"/>
      </rPr>
      <t>auto-calculated</t>
    </r>
    <r>
      <rPr>
        <sz val="18"/>
        <color theme="1"/>
        <rFont val="Gill Sans MT"/>
        <family val="2"/>
      </rPr>
      <t>)</t>
    </r>
  </si>
  <si>
    <r>
      <t xml:space="preserve">1.1.7 HTS_TST:  </t>
    </r>
    <r>
      <rPr>
        <b/>
        <sz val="18"/>
        <color theme="1"/>
        <rFont val="Gill Sans MT"/>
        <family val="2"/>
      </rPr>
      <t>TB</t>
    </r>
    <r>
      <rPr>
        <sz val="18"/>
        <color theme="1"/>
        <rFont val="Gill Sans MT"/>
        <family val="2"/>
      </rPr>
      <t xml:space="preserve"> </t>
    </r>
    <r>
      <rPr>
        <i/>
        <sz val="18"/>
        <rFont val="Gill Sans MT"/>
        <family val="2"/>
      </rPr>
      <t>(autopopulated)</t>
    </r>
  </si>
  <si>
    <r>
      <t xml:space="preserve">1.1.8 HTS_TST: </t>
    </r>
    <r>
      <rPr>
        <b/>
        <sz val="18"/>
        <color theme="1"/>
        <rFont val="Gill Sans MT"/>
        <family val="2"/>
      </rPr>
      <t>PMTCT ANC 1</t>
    </r>
    <r>
      <rPr>
        <sz val="18"/>
        <color theme="1"/>
        <rFont val="Gill Sans MT"/>
        <family val="2"/>
      </rPr>
      <t xml:space="preserve"> Only
</t>
    </r>
    <r>
      <rPr>
        <i/>
        <sz val="18"/>
        <color theme="1"/>
        <rFont val="Gill Sans MT"/>
        <family val="2"/>
      </rPr>
      <t>(autopopulated)</t>
    </r>
  </si>
  <si>
    <r>
      <t xml:space="preserve">1.1.9 HTS_TST: </t>
    </r>
    <r>
      <rPr>
        <b/>
        <sz val="18"/>
        <color theme="1"/>
        <rFont val="Gill Sans MT"/>
        <family val="2"/>
      </rPr>
      <t>PMTCT Post ANC 1</t>
    </r>
    <r>
      <rPr>
        <sz val="18"/>
        <color theme="1"/>
        <rFont val="Gill Sans MT"/>
        <family val="2"/>
      </rPr>
      <t xml:space="preserve">: </t>
    </r>
    <r>
      <rPr>
        <b/>
        <sz val="18"/>
        <color theme="1"/>
        <rFont val="Gill Sans MT"/>
        <family val="2"/>
      </rPr>
      <t>Pregnant/L&amp;D</t>
    </r>
    <r>
      <rPr>
        <sz val="18"/>
        <color theme="1"/>
        <rFont val="Gill Sans MT"/>
        <family val="2"/>
      </rPr>
      <t xml:space="preserve">
</t>
    </r>
    <r>
      <rPr>
        <i/>
        <sz val="18"/>
        <color theme="1"/>
        <rFont val="Gill Sans MT"/>
        <family val="2"/>
      </rPr>
      <t>(autopopulated)</t>
    </r>
  </si>
  <si>
    <r>
      <t xml:space="preserve">1.1.10 HTS_TST: </t>
    </r>
    <r>
      <rPr>
        <b/>
        <sz val="18"/>
        <color theme="1"/>
        <rFont val="Gill Sans MT"/>
        <family val="2"/>
      </rPr>
      <t>PMTCT Post ANC 1: Breastfeeding</t>
    </r>
    <r>
      <rPr>
        <sz val="18"/>
        <color theme="1"/>
        <rFont val="Gill Sans MT"/>
        <family val="2"/>
      </rPr>
      <t xml:space="preserve">
</t>
    </r>
    <r>
      <rPr>
        <i/>
        <sz val="18"/>
        <color theme="1"/>
        <rFont val="Gill Sans MT"/>
        <family val="2"/>
      </rPr>
      <t>(autopopulated)</t>
    </r>
  </si>
  <si>
    <r>
      <t xml:space="preserve">1.1.14 HTS_TST </t>
    </r>
    <r>
      <rPr>
        <b/>
        <sz val="18"/>
        <color theme="1"/>
        <rFont val="Gill Sans MT"/>
        <family val="2"/>
      </rPr>
      <t>Other PITC</t>
    </r>
    <r>
      <rPr>
        <sz val="18"/>
        <color theme="1"/>
        <rFont val="Gill Sans MT"/>
        <family val="2"/>
      </rPr>
      <t xml:space="preserve"> </t>
    </r>
    <r>
      <rPr>
        <i/>
        <sz val="18"/>
        <color theme="1"/>
        <rFont val="Gill Sans MT"/>
        <family val="2"/>
      </rPr>
      <t>(OPD, other testing SDPs not listed above)</t>
    </r>
  </si>
  <si>
    <r>
      <rPr>
        <sz val="18"/>
        <color theme="1"/>
        <rFont val="Gill Sans MT"/>
        <family val="2"/>
      </rPr>
      <t xml:space="preserve">Clients initiated on PrEP previous quarters and returned for a follow-up visit or re-initiation (restart) during the </t>
    </r>
    <r>
      <rPr>
        <b/>
        <sz val="18"/>
        <color theme="1"/>
        <rFont val="Gill Sans MT"/>
        <family val="2"/>
      </rPr>
      <t>current Quarte</t>
    </r>
    <r>
      <rPr>
        <sz val="18"/>
        <color theme="1"/>
        <rFont val="Gill Sans MT"/>
        <family val="2"/>
      </rPr>
      <t>r (</t>
    </r>
    <r>
      <rPr>
        <i/>
        <sz val="18"/>
        <color theme="1"/>
        <rFont val="Gill Sans MT"/>
        <family val="2"/>
      </rPr>
      <t>excluding those newly enrolled on PrEP within the quarter</t>
    </r>
    <r>
      <rPr>
        <sz val="18"/>
        <color theme="1"/>
        <rFont val="Gill Sans MT"/>
        <family val="2"/>
      </rPr>
      <t xml:space="preserve"> )
</t>
    </r>
    <r>
      <rPr>
        <b/>
        <i/>
        <sz val="18"/>
        <color theme="4"/>
        <rFont val="Gill Sans MT"/>
        <family val="2"/>
      </rPr>
      <t xml:space="preserve">Note: </t>
    </r>
    <r>
      <rPr>
        <i/>
        <sz val="18"/>
        <color theme="4"/>
        <rFont val="Gill Sans MT"/>
        <family val="2"/>
      </rPr>
      <t>a client cannot be reported on both PrEP_New and PrEP_CT within the same quarter</t>
    </r>
  </si>
  <si>
    <r>
      <t>3.2.2.1 Infant Prophylaxis</t>
    </r>
    <r>
      <rPr>
        <b/>
        <i/>
        <sz val="18"/>
        <color theme="1"/>
        <rFont val="Gill Sans MT"/>
        <family val="2"/>
      </rPr>
      <t xml:space="preserve"> 
</t>
    </r>
    <r>
      <rPr>
        <i/>
        <sz val="18"/>
        <color theme="1"/>
        <rFont val="Gill Sans MT"/>
        <family val="2"/>
      </rPr>
      <t xml:space="preserve">(Accounting both initial and retest positives)
</t>
    </r>
    <r>
      <rPr>
        <b/>
        <i/>
        <sz val="18"/>
        <color theme="1"/>
        <rFont val="Gill Sans MT"/>
        <family val="2"/>
      </rPr>
      <t xml:space="preserve">NB: </t>
    </r>
    <r>
      <rPr>
        <i/>
        <sz val="18"/>
        <color theme="1"/>
        <rFont val="Gill Sans MT"/>
        <family val="2"/>
      </rPr>
      <t xml:space="preserve">use </t>
    </r>
    <r>
      <rPr>
        <i/>
        <sz val="18"/>
        <color theme="1"/>
        <rFont val="Gill Sans MT"/>
        <family val="2"/>
      </rPr>
      <t>mother's age for reporting</t>
    </r>
  </si>
  <si>
    <r>
      <t xml:space="preserve">6.3.1 TB_PREV (Denominator)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</si>
  <si>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r>
      <t xml:space="preserve">6.3.2 TB_PREV (Numerator)   </t>
    </r>
    <r>
      <rPr>
        <b/>
        <sz val="18"/>
        <color rgb="FFFFFF00"/>
        <rFont val="Gill Sans MT"/>
        <family val="2"/>
      </rPr>
      <t>(</t>
    </r>
    <r>
      <rPr>
        <b/>
        <i/>
        <sz val="18"/>
        <color rgb="FFFFFF00"/>
        <rFont val="Gill Sans MT"/>
        <family val="2"/>
      </rPr>
      <t>Refer to the instruction sheet to get the correct cohort for reporting</t>
    </r>
    <r>
      <rPr>
        <b/>
        <sz val="18"/>
        <color rgb="FFFFFF00"/>
        <rFont val="Gill Sans MT"/>
        <family val="2"/>
      </rPr>
      <t>)</t>
    </r>
  </si>
  <si>
    <t>7.0  Cervical Cancer Screening &amp; Treatment</t>
  </si>
  <si>
    <r>
      <t xml:space="preserve">Other Treatment methods ( e.g </t>
    </r>
    <r>
      <rPr>
        <i/>
        <sz val="18"/>
        <color rgb="FF0070C0"/>
        <rFont val="Gill Sans MT"/>
        <family val="2"/>
      </rPr>
      <t>Radiotherapy, Chemotherapy, Surgery, Palliative</t>
    </r>
    <r>
      <rPr>
        <sz val="18"/>
        <color rgb="FF0070C0"/>
        <rFont val="Gill Sans MT"/>
        <family val="2"/>
      </rPr>
      <t>)</t>
    </r>
  </si>
  <si>
    <t>Quick reference on cohort months for used in reporting TB_PREV (D/N) as PEPFAR MER Guidance</t>
  </si>
  <si>
    <r>
      <t xml:space="preserve"> 1.1.15 Total HTS_TST (</t>
    </r>
    <r>
      <rPr>
        <i/>
        <sz val="18"/>
        <color theme="1"/>
        <rFont val="Gill Sans MT"/>
        <family val="2"/>
      </rPr>
      <t>Including PMTCT and TB</t>
    </r>
    <r>
      <rPr>
        <b/>
        <sz val="18"/>
        <color theme="1"/>
        <rFont val="Gill Sans MT"/>
        <family val="2"/>
      </rPr>
      <t xml:space="preserve">)
</t>
    </r>
    <r>
      <rPr>
        <b/>
        <i/>
        <sz val="18"/>
        <color theme="1"/>
        <rFont val="Gill Sans MT"/>
        <family val="2"/>
      </rPr>
      <t>(autopopulated)</t>
    </r>
  </si>
  <si>
    <r>
      <t xml:space="preserve">Other Treatment methods ( e.g </t>
    </r>
    <r>
      <rPr>
        <i/>
        <sz val="18"/>
        <color rgb="FF0070C0"/>
        <rFont val="Gill Sans MT"/>
        <family val="2"/>
      </rPr>
      <t>Radiotherapy, Chemotherapy , Surgery, Palliative</t>
    </r>
    <r>
      <rPr>
        <sz val="18"/>
        <color rgb="FF0070C0"/>
        <rFont val="Gill Sans MT"/>
        <family val="2"/>
      </rPr>
      <t>)</t>
    </r>
  </si>
  <si>
    <r>
      <t xml:space="preserve">Other Treatment methods ( e.g </t>
    </r>
    <r>
      <rPr>
        <i/>
        <sz val="18"/>
        <color rgb="FF0070C0"/>
        <rFont val="Gill Sans MT"/>
        <family val="2"/>
      </rPr>
      <t>Radiotherapy, Chemotherapy, Surgery,Palliative</t>
    </r>
    <r>
      <rPr>
        <sz val="18"/>
        <color rgb="FF0070C0"/>
        <rFont val="Gill Sans MT"/>
        <family val="2"/>
      </rPr>
      <t>)</t>
    </r>
  </si>
  <si>
    <r>
      <t>3.1.2  HTS_TST:</t>
    </r>
    <r>
      <rPr>
        <b/>
        <sz val="18"/>
        <color theme="1"/>
        <rFont val="Gill Sans MT"/>
        <family val="2"/>
      </rPr>
      <t xml:space="preserve"> ANC 2 visit and above</t>
    </r>
    <r>
      <rPr>
        <sz val="18"/>
        <color theme="1"/>
        <rFont val="Gill Sans MT"/>
        <family val="2"/>
      </rPr>
      <t xml:space="preserve"> </t>
    </r>
    <r>
      <rPr>
        <i/>
        <sz val="18"/>
        <color rgb="FFFF0000"/>
        <rFont val="Gill Sans MT"/>
        <family val="2"/>
      </rPr>
      <t>(includes 2nd, 3rd, 4th ANC visits etc.)</t>
    </r>
    <r>
      <rPr>
        <b/>
        <sz val="18"/>
        <color theme="1"/>
        <rFont val="Gill Sans M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</si>
</sst>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3">
    <font>
      <sz val="11"/>
      <color theme="1"/>
      <name val="Calibri"/>
      <charset val="134"/>
      <scheme val="minor"/>
    </font>
    <font>
      <b/>
      <sz val="18"/>
      <color theme="1"/>
      <name val="Calibri"/>
      <family val="2"/>
      <scheme val="minor"/>
    </font>
    <font>
      <b/>
      <sz val="20"/>
      <color theme="1"/>
      <name val="Calibri"/>
      <family val="2"/>
      <scheme val="minor"/>
    </font>
    <font>
      <sz val="18"/>
      <color theme="1"/>
      <name val="Calibri"/>
      <family val="2"/>
      <scheme val="minor"/>
    </font>
    <font>
      <sz val="36"/>
      <color theme="1"/>
      <name val="Calibri"/>
      <family val="2"/>
      <scheme val="minor"/>
    </font>
    <font>
      <sz val="28"/>
      <color theme="1"/>
      <name val="Calibri"/>
      <family val="2"/>
      <scheme val="minor"/>
    </font>
    <font>
      <sz val="22"/>
      <color theme="1"/>
      <name val="Calibri"/>
      <family val="2"/>
      <scheme val="minor"/>
    </font>
    <font>
      <sz val="18"/>
      <color theme="0"/>
      <name val="Calibri"/>
      <family val="2"/>
      <scheme val="minor"/>
    </font>
    <font>
      <sz val="20"/>
      <color theme="1"/>
      <name val="Gill Sans MT"/>
      <family val="2"/>
    </font>
    <font>
      <b/>
      <sz val="18"/>
      <color theme="1"/>
      <name val="Gill Sans MT"/>
      <family val="2"/>
    </font>
    <font>
      <b/>
      <sz val="18"/>
      <color theme="5"/>
      <name val="Gill Sans MT"/>
      <family val="2"/>
    </font>
    <font>
      <b/>
      <sz val="18"/>
      <color rgb="FFFF0000"/>
      <name val="Gill Sans MT"/>
      <family val="2"/>
    </font>
    <font>
      <sz val="18"/>
      <color theme="1"/>
      <name val="Gill Sans MT"/>
      <family val="2"/>
    </font>
    <font>
      <sz val="18"/>
      <name val="Gill Sans MT"/>
      <family val="2"/>
    </font>
    <font>
      <sz val="18"/>
      <color theme="5"/>
      <name val="Gill Sans MT"/>
      <family val="2"/>
    </font>
    <font>
      <sz val="18"/>
      <color theme="0"/>
      <name val="Gill Sans MT"/>
      <family val="2"/>
    </font>
    <font>
      <sz val="18"/>
      <color theme="4"/>
      <name val="Gill Sans MT"/>
      <family val="2"/>
    </font>
    <font>
      <b/>
      <sz val="18"/>
      <color theme="4"/>
      <name val="Gill Sans MT"/>
      <family val="2"/>
    </font>
    <font>
      <b/>
      <sz val="18"/>
      <color theme="0"/>
      <name val="Gill Sans MT"/>
      <family val="2"/>
    </font>
    <font>
      <b/>
      <sz val="20"/>
      <color theme="1"/>
      <name val="Gill Sans MT"/>
      <family val="2"/>
    </font>
    <font>
      <b/>
      <sz val="18"/>
      <name val="Gill Sans MT"/>
      <family val="2"/>
    </font>
    <font>
      <sz val="18"/>
      <color rgb="FFFF0000"/>
      <name val="Gill Sans MT"/>
      <family val="2"/>
    </font>
    <font>
      <sz val="18"/>
      <color theme="4" tint="-0.499984740745262"/>
      <name val="Gill Sans MT"/>
      <family val="2"/>
    </font>
    <font>
      <sz val="20"/>
      <color theme="1"/>
      <name val="Calibri"/>
      <family val="2"/>
      <scheme val="minor"/>
    </font>
    <font>
      <b/>
      <sz val="16"/>
      <color theme="1"/>
      <name val="Gill Sans MT"/>
      <family val="2"/>
    </font>
    <font>
      <sz val="20"/>
      <color theme="4" tint="-0.499984740745262"/>
      <name val="Calibri"/>
      <family val="2"/>
      <scheme val="minor"/>
    </font>
    <font>
      <b/>
      <sz val="18"/>
      <color theme="0" tint="-4.9989318521683403E-2"/>
      <name val="Gill Sans MT"/>
      <family val="2"/>
    </font>
    <font>
      <sz val="18"/>
      <color rgb="FF0070C0"/>
      <name val="Gill Sans MT"/>
      <family val="2"/>
    </font>
    <font>
      <b/>
      <sz val="22"/>
      <color theme="1"/>
      <name val="Calibri"/>
      <family val="2"/>
      <scheme val="minor"/>
    </font>
    <font>
      <b/>
      <sz val="36"/>
      <color theme="0"/>
      <name val="Calibri"/>
      <family val="2"/>
      <scheme val="minor"/>
    </font>
    <font>
      <b/>
      <sz val="28"/>
      <color theme="1"/>
      <name val="Calibri"/>
      <family val="2"/>
      <scheme val="minor"/>
    </font>
    <font>
      <sz val="26"/>
      <color theme="1"/>
      <name val="Calibri"/>
      <family val="2"/>
      <scheme val="minor"/>
    </font>
    <font>
      <b/>
      <i/>
      <sz val="26"/>
      <color theme="2" tint="-0.499984740745262"/>
      <name val="Calibri"/>
      <family val="2"/>
      <scheme val="minor"/>
    </font>
    <font>
      <sz val="28"/>
      <color theme="2" tint="-0.499984740745262"/>
      <name val="Calibri"/>
      <family val="2"/>
      <scheme val="minor"/>
    </font>
    <font>
      <sz val="36"/>
      <color theme="0"/>
      <name val="Calibri"/>
      <family val="2"/>
      <scheme val="minor"/>
    </font>
    <font>
      <sz val="28"/>
      <color theme="0"/>
      <name val="Calibri"/>
      <family val="2"/>
      <scheme val="minor"/>
    </font>
    <font>
      <sz val="14"/>
      <color theme="1"/>
      <name val="Calibri"/>
      <family val="2"/>
      <scheme val="minor"/>
    </font>
    <font>
      <b/>
      <sz val="14"/>
      <color theme="1"/>
      <name val="Calibri"/>
      <family val="2"/>
      <scheme val="minor"/>
    </font>
    <font>
      <b/>
      <sz val="11"/>
      <color theme="1"/>
      <name val="Gill Sans MT"/>
      <family val="2"/>
    </font>
    <font>
      <sz val="11"/>
      <color theme="1"/>
      <name val="Gill Sans MT"/>
      <family val="2"/>
    </font>
    <font>
      <b/>
      <sz val="12"/>
      <color theme="1"/>
      <name val="Gill Sans MT"/>
      <family val="2"/>
    </font>
    <font>
      <sz val="12"/>
      <color theme="1"/>
      <name val="Gill Sans MT"/>
      <family val="2"/>
    </font>
    <font>
      <sz val="11"/>
      <color rgb="FF9C5700"/>
      <name val="Calibri"/>
      <family val="2"/>
      <scheme val="minor"/>
    </font>
    <font>
      <sz val="10"/>
      <name val="Arial"/>
      <family val="2"/>
    </font>
    <font>
      <b/>
      <i/>
      <sz val="18"/>
      <color rgb="FFFF0000"/>
      <name val="Gill Sans MT"/>
      <family val="2"/>
    </font>
    <font>
      <i/>
      <sz val="18"/>
      <color theme="1"/>
      <name val="Gill Sans MT"/>
      <family val="2"/>
    </font>
    <font>
      <i/>
      <sz val="18"/>
      <name val="Gill Sans MT"/>
      <family val="2"/>
    </font>
    <font>
      <sz val="16"/>
      <color theme="1"/>
      <name val="Gill Sans MT"/>
      <family val="2"/>
    </font>
    <font>
      <i/>
      <sz val="18"/>
      <color rgb="FF0070C0"/>
      <name val="Gill Sans MT"/>
      <family val="2"/>
    </font>
    <font>
      <b/>
      <i/>
      <sz val="18"/>
      <color theme="1"/>
      <name val="Gill Sans MT"/>
      <family val="2"/>
    </font>
    <font>
      <sz val="18"/>
      <color theme="1"/>
      <name val="Gill Sans MT"/>
      <family val="2"/>
    </font>
    <font>
      <b/>
      <sz val="18"/>
      <color rgb="FFFF0000"/>
      <name val="Gill Sans MT"/>
      <family val="2"/>
    </font>
    <font>
      <b/>
      <sz val="18"/>
      <color theme="1"/>
      <name val="Gill Sans MT"/>
      <family val="2"/>
    </font>
    <font>
      <i/>
      <sz val="18"/>
      <color theme="4"/>
      <name val="Gill Sans MT"/>
      <family val="2"/>
    </font>
    <font>
      <sz val="18"/>
      <color rgb="FFFF0000"/>
      <name val="Gill Sans MT"/>
      <family val="2"/>
    </font>
    <font>
      <i/>
      <sz val="18"/>
      <color rgb="FFFF0000"/>
      <name val="Gill Sans MT"/>
      <family val="2"/>
    </font>
    <font>
      <b/>
      <i/>
      <sz val="18"/>
      <color theme="4"/>
      <name val="Gill Sans MT"/>
      <family val="2"/>
    </font>
    <font>
      <b/>
      <sz val="11"/>
      <color theme="1"/>
      <name val="Calibri"/>
      <family val="2"/>
      <scheme val="minor"/>
    </font>
    <font>
      <b/>
      <sz val="18"/>
      <color rgb="FFFFFF00"/>
      <name val="Gill Sans MT"/>
      <family val="2"/>
    </font>
    <font>
      <b/>
      <i/>
      <sz val="18"/>
      <color rgb="FFFFFF00"/>
      <name val="Gill Sans MT"/>
      <family val="2"/>
    </font>
    <font>
      <sz val="18"/>
      <color rgb="FF0070C0"/>
      <name val="Gill Sans MT"/>
      <family val="2"/>
    </font>
    <font>
      <sz val="11"/>
      <color theme="1"/>
      <name val="Gill Sans MT"/>
      <family val="2"/>
    </font>
    <font>
      <b/>
      <sz val="12"/>
      <color theme="1"/>
      <name val="Gill Sans MT"/>
      <family val="2"/>
    </font>
  </fonts>
  <fills count="1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theme="9" tint="0.79995117038483843"/>
        <bgColor indexed="64"/>
      </patternFill>
    </fill>
    <fill>
      <patternFill patternType="solid">
        <fgColor rgb="FFFFEB9C"/>
        <bgColor indexed="64"/>
      </patternFill>
    </fill>
    <fill>
      <patternFill patternType="solid">
        <fgColor theme="0" tint="-0.14999847407452621"/>
        <bgColor indexed="64"/>
      </patternFill>
    </fill>
  </fills>
  <borders count="241">
    <border>
      <left/>
      <right/>
      <top/>
      <bottom/>
      <diagonal/>
    </border>
    <border>
      <left style="medium">
        <color theme="9"/>
      </left>
      <right style="medium">
        <color theme="9"/>
      </right>
      <top style="medium">
        <color theme="9"/>
      </top>
      <bottom style="medium">
        <color theme="9"/>
      </bottom>
      <diagonal/>
    </border>
    <border>
      <left style="medium">
        <color theme="9"/>
      </left>
      <right/>
      <top style="medium">
        <color theme="9"/>
      </top>
      <bottom style="medium">
        <color theme="9"/>
      </bottom>
      <diagonal/>
    </border>
    <border>
      <left/>
      <right style="medium">
        <color theme="9"/>
      </right>
      <top style="medium">
        <color theme="9"/>
      </top>
      <bottom style="medium">
        <color theme="9"/>
      </bottom>
      <diagonal/>
    </border>
    <border>
      <left/>
      <right/>
      <top style="medium">
        <color theme="9"/>
      </top>
      <bottom style="medium">
        <color theme="9"/>
      </bottom>
      <diagonal/>
    </border>
    <border>
      <left style="medium">
        <color theme="9"/>
      </left>
      <right style="thin">
        <color theme="2" tint="-0.249977111117893"/>
      </right>
      <top style="medium">
        <color theme="9"/>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medium">
        <color theme="9"/>
      </left>
      <right style="medium">
        <color theme="9"/>
      </right>
      <top style="medium">
        <color theme="9"/>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thin">
        <color theme="2" tint="-0.249977111117893"/>
      </left>
      <right style="thin">
        <color theme="2" tint="-0.249977111117893"/>
      </right>
      <top style="thin">
        <color theme="2" tint="-0.249977111117893"/>
      </top>
      <bottom style="medium">
        <color theme="9"/>
      </bottom>
      <diagonal/>
    </border>
    <border>
      <left style="medium">
        <color theme="9"/>
      </left>
      <right style="medium">
        <color theme="9"/>
      </right>
      <top style="medium">
        <color theme="9"/>
      </top>
      <bottom/>
      <diagonal/>
    </border>
    <border>
      <left/>
      <right/>
      <top/>
      <bottom style="thin">
        <color theme="2" tint="-0.249977111117893"/>
      </bottom>
      <diagonal/>
    </border>
    <border>
      <left style="medium">
        <color theme="9"/>
      </left>
      <right style="thin">
        <color theme="2" tint="-0.249977111117893"/>
      </right>
      <top style="medium">
        <color theme="9"/>
      </top>
      <bottom style="thin">
        <color theme="2" tint="-0.249977111117893"/>
      </bottom>
      <diagonal/>
    </border>
    <border>
      <left style="thin">
        <color theme="2" tint="-0.249977111117893"/>
      </left>
      <right style="thin">
        <color theme="2" tint="-0.249977111117893"/>
      </right>
      <top style="medium">
        <color theme="9"/>
      </top>
      <bottom style="thin">
        <color theme="2" tint="-0.249977111117893"/>
      </bottom>
      <diagonal/>
    </border>
    <border>
      <left style="medium">
        <color theme="9"/>
      </left>
      <right style="medium">
        <color theme="9"/>
      </right>
      <top/>
      <bottom/>
      <diagonal/>
    </border>
    <border>
      <left/>
      <right/>
      <top style="thin">
        <color theme="2" tint="-0.249977111117893"/>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medium">
        <color theme="9"/>
      </bottom>
      <diagonal/>
    </border>
    <border>
      <left style="thin">
        <color theme="0" tint="-0.249977111117893"/>
      </left>
      <right style="thin">
        <color theme="0" tint="-0.249977111117893"/>
      </right>
      <top style="thin">
        <color theme="0" tint="-0.249977111117893"/>
      </top>
      <bottom style="medium">
        <color theme="9"/>
      </bottom>
      <diagonal/>
    </border>
    <border>
      <left/>
      <right style="thin">
        <color theme="2" tint="-0.249977111117893"/>
      </right>
      <top style="thin">
        <color theme="2" tint="-0.249977111117893"/>
      </top>
      <bottom style="thin">
        <color theme="2" tint="-0.249977111117893"/>
      </bottom>
      <diagonal/>
    </border>
    <border>
      <left style="medium">
        <color theme="9"/>
      </left>
      <right style="thin">
        <color theme="2" tint="-0.249977111117893"/>
      </right>
      <top/>
      <bottom/>
      <diagonal/>
    </border>
    <border>
      <left style="thin">
        <color theme="2" tint="-0.249977111117893"/>
      </left>
      <right style="thin">
        <color theme="2" tint="-0.249977111117893"/>
      </right>
      <top/>
      <bottom/>
      <diagonal/>
    </border>
    <border>
      <left/>
      <right/>
      <top style="medium">
        <color theme="9"/>
      </top>
      <bottom style="thin">
        <color theme="2" tint="-0.249977111117893"/>
      </bottom>
      <diagonal/>
    </border>
    <border>
      <left style="medium">
        <color theme="9"/>
      </left>
      <right/>
      <top style="medium">
        <color theme="9"/>
      </top>
      <bottom style="thin">
        <color theme="2" tint="-0.249977111117893"/>
      </bottom>
      <diagonal/>
    </border>
    <border>
      <left style="thin">
        <color theme="0" tint="-0.14996795556505021"/>
      </left>
      <right style="thin">
        <color theme="0" tint="-0.14996795556505021"/>
      </right>
      <top style="medium">
        <color theme="9"/>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style="medium">
        <color theme="9"/>
      </left>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9"/>
      </left>
      <right style="medium">
        <color theme="9"/>
      </right>
      <top/>
      <bottom style="medium">
        <color theme="9"/>
      </bottom>
      <diagonal/>
    </border>
    <border>
      <left style="thin">
        <color theme="0" tint="-0.34998626667073579"/>
      </left>
      <right/>
      <top style="thin">
        <color theme="0" tint="-0.34998626667073579"/>
      </top>
      <bottom style="medium">
        <color theme="9"/>
      </bottom>
      <diagonal/>
    </border>
    <border>
      <left style="medium">
        <color theme="9"/>
      </left>
      <right/>
      <top style="thin">
        <color theme="0" tint="-0.34998626667073579"/>
      </top>
      <bottom style="medium">
        <color theme="9"/>
      </bottom>
      <diagonal/>
    </border>
    <border>
      <left style="medium">
        <color theme="9"/>
      </left>
      <right style="thin">
        <color theme="2" tint="-0.249977111117893"/>
      </right>
      <top style="thin">
        <color theme="2" tint="-0.249977111117893"/>
      </top>
      <bottom style="medium">
        <color theme="9"/>
      </bottom>
      <diagonal/>
    </border>
    <border>
      <left style="medium">
        <color theme="9"/>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0" tint="-0.14996795556505021"/>
      </left>
      <right style="thin">
        <color theme="0" tint="-0.14996795556505021"/>
      </right>
      <top style="thin">
        <color theme="0" tint="-0.14996795556505021"/>
      </top>
      <bottom/>
      <diagonal/>
    </border>
    <border>
      <left style="thin">
        <color theme="2" tint="-0.249977111117893"/>
      </left>
      <right/>
      <top style="medium">
        <color theme="9"/>
      </top>
      <bottom style="thin">
        <color theme="2" tint="-0.249977111117893"/>
      </bottom>
      <diagonal/>
    </border>
    <border>
      <left style="thin">
        <color theme="0" tint="-0.249977111117893"/>
      </left>
      <right style="thin">
        <color theme="0" tint="-0.249977111117893"/>
      </right>
      <top style="medium">
        <color theme="9"/>
      </top>
      <bottom style="thin">
        <color theme="0"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style="thin">
        <color theme="2" tint="-0.249977111117893"/>
      </top>
      <bottom style="medium">
        <color theme="9"/>
      </bottom>
      <diagonal/>
    </border>
    <border>
      <left style="medium">
        <color theme="9"/>
      </left>
      <right style="thin">
        <color theme="2" tint="-0.249977111117893"/>
      </right>
      <top/>
      <bottom style="thin">
        <color theme="2" tint="-0.249977111117893"/>
      </bottom>
      <diagonal/>
    </border>
    <border>
      <left style="medium">
        <color theme="9"/>
      </left>
      <right style="medium">
        <color theme="9"/>
      </right>
      <top style="thin">
        <color theme="0" tint="-0.34998626667073579"/>
      </top>
      <bottom style="thin">
        <color theme="0" tint="-0.34998626667073579"/>
      </bottom>
      <diagonal/>
    </border>
    <border>
      <left/>
      <right style="thin">
        <color theme="2" tint="-0.249977111117893"/>
      </right>
      <top style="medium">
        <color theme="9"/>
      </top>
      <bottom style="thin">
        <color theme="2" tint="-0.249977111117893"/>
      </bottom>
      <diagonal/>
    </border>
    <border>
      <left style="medium">
        <color theme="9"/>
      </left>
      <right style="thin">
        <color theme="0" tint="-0.34998626667073579"/>
      </right>
      <top style="medium">
        <color theme="9"/>
      </top>
      <bottom style="thin">
        <color theme="0" tint="-0.34998626667073579"/>
      </bottom>
      <diagonal/>
    </border>
    <border>
      <left style="thin">
        <color theme="0" tint="-0.34998626667073579"/>
      </left>
      <right style="medium">
        <color theme="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thin">
        <color theme="2" tint="-0.249977111117893"/>
      </left>
      <right style="medium">
        <color theme="9"/>
      </right>
      <top style="thin">
        <color theme="2" tint="-0.249977111117893"/>
      </top>
      <bottom style="thin">
        <color theme="2"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medium">
        <color theme="9"/>
      </bottom>
      <diagonal/>
    </border>
    <border>
      <left/>
      <right style="medium">
        <color theme="9"/>
      </right>
      <top style="thin">
        <color theme="2" tint="-0.249977111117893"/>
      </top>
      <bottom style="thin">
        <color theme="2" tint="-0.249977111117893"/>
      </bottom>
      <diagonal/>
    </border>
    <border>
      <left style="thin">
        <color theme="2" tint="-0.249977111117893"/>
      </left>
      <right/>
      <top/>
      <bottom/>
      <diagonal/>
    </border>
    <border>
      <left style="medium">
        <color theme="9"/>
      </left>
      <right style="thin">
        <color theme="0" tint="-0.34998626667073579"/>
      </right>
      <top style="thin">
        <color theme="0" tint="-0.34998626667073579"/>
      </top>
      <bottom style="medium">
        <color theme="9"/>
      </bottom>
      <diagonal/>
    </border>
    <border>
      <left style="thin">
        <color theme="0" tint="-0.34998626667073579"/>
      </left>
      <right style="medium">
        <color theme="9"/>
      </right>
      <top style="thin">
        <color theme="0" tint="-0.34998626667073579"/>
      </top>
      <bottom style="medium">
        <color theme="9"/>
      </bottom>
      <diagonal/>
    </border>
    <border>
      <left/>
      <right style="thin">
        <color theme="2" tint="-0.249977111117893"/>
      </right>
      <top/>
      <bottom/>
      <diagonal/>
    </border>
    <border>
      <left style="thin">
        <color theme="0" tint="-0.14996795556505021"/>
      </left>
      <right style="medium">
        <color theme="9"/>
      </right>
      <top style="medium">
        <color theme="9"/>
      </top>
      <bottom style="thin">
        <color theme="0" tint="-0.14996795556505021"/>
      </bottom>
      <diagonal/>
    </border>
    <border>
      <left/>
      <right style="thin">
        <color theme="0" tint="-0.14996795556505021"/>
      </right>
      <top style="medium">
        <color theme="9"/>
      </top>
      <bottom style="thin">
        <color theme="0" tint="-0.14996795556505021"/>
      </bottom>
      <diagonal/>
    </border>
    <border>
      <left style="thin">
        <color theme="0" tint="-0.14996795556505021"/>
      </left>
      <right style="medium">
        <color theme="9"/>
      </right>
      <top style="thin">
        <color theme="0" tint="-0.14996795556505021"/>
      </top>
      <bottom style="thin">
        <color theme="0" tint="-0.14996795556505021"/>
      </bottom>
      <diagonal/>
    </border>
    <border>
      <left style="thin">
        <color theme="0" tint="-0.14996795556505021"/>
      </left>
      <right style="medium">
        <color theme="9"/>
      </right>
      <top style="thin">
        <color theme="0" tint="-0.14996795556505021"/>
      </top>
      <bottom style="medium">
        <color theme="9"/>
      </bottom>
      <diagonal/>
    </border>
    <border>
      <left style="medium">
        <color theme="9"/>
      </left>
      <right style="thin">
        <color theme="0" tint="-0.14996795556505021"/>
      </right>
      <top style="thin">
        <color theme="0" tint="-0.14996795556505021"/>
      </top>
      <bottom style="medium">
        <color theme="9"/>
      </bottom>
      <diagonal/>
    </border>
    <border>
      <left style="thin">
        <color theme="0" tint="-0.249977111117893"/>
      </left>
      <right style="medium">
        <color theme="9"/>
      </right>
      <top style="medium">
        <color theme="9"/>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style="medium">
        <color theme="9"/>
      </right>
      <top style="thin">
        <color theme="0" tint="-0.249977111117893"/>
      </top>
      <bottom style="thin">
        <color theme="0" tint="-0.249977111117893"/>
      </bottom>
      <diagonal/>
    </border>
    <border>
      <left style="thin">
        <color theme="0" tint="-0.249977111117893"/>
      </left>
      <right style="medium">
        <color theme="9"/>
      </right>
      <top style="thin">
        <color theme="0" tint="-0.249977111117893"/>
      </top>
      <bottom style="medium">
        <color theme="9"/>
      </bottom>
      <diagonal/>
    </border>
    <border>
      <left style="thin">
        <color theme="2" tint="-0.249977111117893"/>
      </left>
      <right style="medium">
        <color theme="9"/>
      </right>
      <top style="medium">
        <color theme="9"/>
      </top>
      <bottom style="medium">
        <color theme="9"/>
      </bottom>
      <diagonal/>
    </border>
    <border>
      <left style="thin">
        <color theme="2" tint="-0.249977111117893"/>
      </left>
      <right/>
      <top/>
      <bottom style="thin">
        <color theme="2" tint="-0.249977111117893"/>
      </bottom>
      <diagonal/>
    </border>
    <border>
      <left style="medium">
        <color theme="9"/>
      </left>
      <right style="medium">
        <color theme="9"/>
      </right>
      <top/>
      <bottom style="thin">
        <color theme="2" tint="-0.249977111117893"/>
      </bottom>
      <diagonal/>
    </border>
    <border>
      <left/>
      <right/>
      <top style="thin">
        <color theme="2" tint="-0.249977111117893"/>
      </top>
      <bottom style="medium">
        <color theme="9"/>
      </bottom>
      <diagonal/>
    </border>
    <border>
      <left style="medium">
        <color theme="9"/>
      </left>
      <right style="medium">
        <color theme="9"/>
      </right>
      <top style="thin">
        <color theme="2" tint="-0.249977111117893"/>
      </top>
      <bottom/>
      <diagonal/>
    </border>
    <border>
      <left style="medium">
        <color theme="9"/>
      </left>
      <right style="medium">
        <color theme="9"/>
      </right>
      <top style="thin">
        <color theme="0" tint="-0.249977111117893"/>
      </top>
      <bottom style="thin">
        <color theme="0" tint="-0.249977111117893"/>
      </bottom>
      <diagonal/>
    </border>
    <border>
      <left style="medium">
        <color theme="9"/>
      </left>
      <right/>
      <top style="thin">
        <color theme="2" tint="-0.249977111117893"/>
      </top>
      <bottom/>
      <diagonal/>
    </border>
    <border>
      <left/>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medium">
        <color theme="9"/>
      </left>
      <right style="medium">
        <color theme="9"/>
      </right>
      <top style="medium">
        <color theme="9"/>
      </top>
      <bottom style="thin">
        <color theme="0" tint="-0.249977111117893"/>
      </bottom>
      <diagonal/>
    </border>
    <border>
      <left style="thin">
        <color theme="0" tint="-0.14996795556505021"/>
      </left>
      <right/>
      <top style="medium">
        <color theme="9"/>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medium">
        <color theme="9"/>
      </left>
      <right style="thin">
        <color theme="2" tint="-0.249977111117893"/>
      </right>
      <top style="medium">
        <color theme="9"/>
      </top>
      <bottom/>
      <diagonal/>
    </border>
    <border>
      <left style="thin">
        <color theme="2" tint="-0.249977111117893"/>
      </left>
      <right style="thin">
        <color theme="2" tint="-0.249977111117893"/>
      </right>
      <top style="medium">
        <color theme="9"/>
      </top>
      <bottom/>
      <diagonal/>
    </border>
    <border>
      <left style="medium">
        <color theme="9"/>
      </left>
      <right style="medium">
        <color theme="9"/>
      </right>
      <top style="thin">
        <color theme="0" tint="-0.34998626667073579"/>
      </top>
      <bottom style="medium">
        <color theme="9"/>
      </bottom>
      <diagonal/>
    </border>
    <border>
      <left style="medium">
        <color theme="9"/>
      </left>
      <right/>
      <top style="thin">
        <color theme="0" tint="-0.34998626667073579"/>
      </top>
      <bottom/>
      <diagonal/>
    </border>
    <border>
      <left/>
      <right style="thin">
        <color theme="2" tint="-0.249977111117893"/>
      </right>
      <top style="thin">
        <color theme="2" tint="-0.249977111117893"/>
      </top>
      <bottom/>
      <diagonal/>
    </border>
    <border>
      <left style="medium">
        <color theme="9"/>
      </left>
      <right style="medium">
        <color theme="9"/>
      </right>
      <top style="medium">
        <color theme="9"/>
      </top>
      <bottom style="thin">
        <color theme="0" tint="-0.34998626667073579"/>
      </bottom>
      <diagonal/>
    </border>
    <border>
      <left style="thin">
        <color theme="0" tint="-0.34998626667073579"/>
      </left>
      <right/>
      <top style="medium">
        <color theme="9"/>
      </top>
      <bottom style="thin">
        <color theme="0" tint="-0.34998626667073579"/>
      </bottom>
      <diagonal/>
    </border>
    <border>
      <left style="medium">
        <color theme="9"/>
      </left>
      <right style="medium">
        <color theme="9"/>
      </right>
      <top style="thin">
        <color theme="0" tint="-0.249977111117893"/>
      </top>
      <bottom/>
      <diagonal/>
    </border>
    <border>
      <left style="medium">
        <color theme="9"/>
      </left>
      <right style="medium">
        <color theme="9"/>
      </right>
      <top style="thin">
        <color theme="0" tint="-0.34998626667073579"/>
      </top>
      <bottom/>
      <diagonal/>
    </border>
    <border>
      <left style="medium">
        <color theme="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medium">
        <color theme="9"/>
      </left>
      <right style="thin">
        <color theme="0" tint="-0.249977111117893"/>
      </right>
      <top style="medium">
        <color theme="9"/>
      </top>
      <bottom style="thin">
        <color theme="0" tint="-0.249977111117893"/>
      </bottom>
      <diagonal/>
    </border>
    <border>
      <left style="medium">
        <color theme="9"/>
      </left>
      <right style="thin">
        <color theme="0" tint="-0.249977111117893"/>
      </right>
      <top style="thin">
        <color theme="0" tint="-0.249977111117893"/>
      </top>
      <bottom style="medium">
        <color theme="9"/>
      </bottom>
      <diagonal/>
    </border>
    <border>
      <left style="medium">
        <color theme="9"/>
      </left>
      <right style="thin">
        <color theme="0" tint="-0.249977111117893"/>
      </right>
      <top style="thin">
        <color theme="0" tint="-0.249977111117893"/>
      </top>
      <bottom style="thin">
        <color theme="0" tint="-0.249977111117893"/>
      </bottom>
      <diagonal/>
    </border>
    <border>
      <left style="medium">
        <color theme="9"/>
      </left>
      <right style="thin">
        <color theme="2" tint="-0.249977111117893"/>
      </right>
      <top/>
      <bottom style="medium">
        <color theme="9"/>
      </bottom>
      <diagonal/>
    </border>
    <border>
      <left style="thin">
        <color theme="2" tint="-0.249977111117893"/>
      </left>
      <right style="thin">
        <color theme="2" tint="-0.249977111117893"/>
      </right>
      <top/>
      <bottom style="medium">
        <color theme="9"/>
      </bottom>
      <diagonal/>
    </border>
    <border>
      <left/>
      <right/>
      <top style="thin">
        <color theme="2" tint="-0.249977111117893"/>
      </top>
      <bottom/>
      <diagonal/>
    </border>
    <border>
      <left/>
      <right/>
      <top style="medium">
        <color theme="9"/>
      </top>
      <bottom/>
      <diagonal/>
    </border>
    <border>
      <left/>
      <right style="thin">
        <color theme="2" tint="-0.249977111117893"/>
      </right>
      <top style="medium">
        <color theme="9"/>
      </top>
      <bottom/>
      <diagonal/>
    </border>
    <border>
      <left style="thin">
        <color theme="2" tint="-0.249977111117893"/>
      </left>
      <right/>
      <top style="thin">
        <color theme="2" tint="-0.249977111117893"/>
      </top>
      <bottom/>
      <diagonal/>
    </border>
    <border>
      <left style="thin">
        <color theme="0" tint="-0.34998626667073579"/>
      </left>
      <right style="thin">
        <color theme="0" tint="-0.34998626667073579"/>
      </right>
      <top style="medium">
        <color theme="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9"/>
      </bottom>
      <diagonal/>
    </border>
    <border>
      <left style="thin">
        <color theme="2" tint="-0.249977111117893"/>
      </left>
      <right style="medium">
        <color theme="9"/>
      </right>
      <top style="medium">
        <color theme="9"/>
      </top>
      <bottom style="thin">
        <color theme="2" tint="-0.249977111117893"/>
      </bottom>
      <diagonal/>
    </border>
    <border>
      <left style="thin">
        <color theme="2" tint="-0.249977111117893"/>
      </left>
      <right style="medium">
        <color theme="9"/>
      </right>
      <top style="thin">
        <color theme="2" tint="-0.249977111117893"/>
      </top>
      <bottom/>
      <diagonal/>
    </border>
    <border>
      <left style="thin">
        <color theme="2" tint="-0.249977111117893"/>
      </left>
      <right style="medium">
        <color theme="9"/>
      </right>
      <top style="thin">
        <color theme="2" tint="-0.249977111117893"/>
      </top>
      <bottom style="medium">
        <color theme="9"/>
      </bottom>
      <diagonal/>
    </border>
    <border>
      <left/>
      <right style="thin">
        <color theme="2" tint="-0.249977111117893"/>
      </right>
      <top style="thin">
        <color theme="2" tint="-0.249977111117893"/>
      </top>
      <bottom style="medium">
        <color theme="9"/>
      </bottom>
      <diagonal/>
    </border>
    <border>
      <left style="thin">
        <color theme="0" tint="-0.34998626667073579"/>
      </left>
      <right style="medium">
        <color theme="9"/>
      </right>
      <top style="thin">
        <color theme="0" tint="-0.34998626667073579"/>
      </top>
      <bottom/>
      <diagonal/>
    </border>
    <border>
      <left/>
      <right style="thin">
        <color theme="2" tint="-0.249977111117893"/>
      </right>
      <top/>
      <bottom style="thin">
        <color theme="2" tint="-0.249977111117893"/>
      </bottom>
      <diagonal/>
    </border>
    <border>
      <left style="thin">
        <color theme="0" tint="-0.249977111117893"/>
      </left>
      <right style="medium">
        <color theme="9"/>
      </right>
      <top style="thin">
        <color theme="0" tint="-0.249977111117893"/>
      </top>
      <bottom/>
      <diagonal/>
    </border>
    <border>
      <left style="medium">
        <color theme="9"/>
      </left>
      <right style="thin">
        <color theme="0" tint="-0.249977111117893"/>
      </right>
      <top style="thin">
        <color theme="0" tint="-0.249977111117893"/>
      </top>
      <bottom/>
      <diagonal/>
    </border>
    <border>
      <left style="medium">
        <color theme="9"/>
      </left>
      <right style="thin">
        <color theme="0" tint="-0.249977111117893"/>
      </right>
      <top/>
      <bottom/>
      <diagonal/>
    </border>
    <border>
      <left/>
      <right style="thin">
        <color theme="0" tint="-0.249977111117893"/>
      </right>
      <top/>
      <bottom/>
      <diagonal/>
    </border>
    <border>
      <left style="medium">
        <color theme="9"/>
      </left>
      <right/>
      <top/>
      <bottom/>
      <diagonal/>
    </border>
    <border>
      <left style="medium">
        <color theme="9"/>
      </left>
      <right/>
      <top style="medium">
        <color theme="9"/>
      </top>
      <bottom/>
      <diagonal/>
    </border>
    <border>
      <left style="medium">
        <color theme="9"/>
      </left>
      <right/>
      <top/>
      <bottom style="medium">
        <color theme="9"/>
      </bottom>
      <diagonal/>
    </border>
    <border>
      <left/>
      <right/>
      <top/>
      <bottom style="medium">
        <color theme="9"/>
      </bottom>
      <diagonal/>
    </border>
    <border>
      <left/>
      <right style="medium">
        <color theme="9"/>
      </right>
      <top/>
      <bottom style="thin">
        <color theme="2" tint="-0.249977111117893"/>
      </bottom>
      <diagonal/>
    </border>
    <border>
      <left/>
      <right style="medium">
        <color theme="9"/>
      </right>
      <top/>
      <bottom/>
      <diagonal/>
    </border>
    <border>
      <left/>
      <right style="medium">
        <color theme="9"/>
      </right>
      <top style="thin">
        <color theme="0" tint="-0.249977111117893"/>
      </top>
      <bottom style="thin">
        <color theme="0" tint="-0.249977111117893"/>
      </bottom>
      <diagonal/>
    </border>
    <border>
      <left/>
      <right style="medium">
        <color theme="9"/>
      </right>
      <top style="thin">
        <color theme="0" tint="-0.249977111117893"/>
      </top>
      <bottom/>
      <diagonal/>
    </border>
    <border>
      <left style="thin">
        <color theme="9"/>
      </left>
      <right/>
      <top style="thin">
        <color theme="9"/>
      </top>
      <bottom style="thin">
        <color theme="9"/>
      </bottom>
      <diagonal/>
    </border>
    <border>
      <left style="thin">
        <color theme="2" tint="-0.249977111117893"/>
      </left>
      <right/>
      <top/>
      <bottom style="medium">
        <color theme="9"/>
      </bottom>
      <diagonal/>
    </border>
    <border>
      <left style="thin">
        <color theme="2" tint="-0.249977111117893"/>
      </left>
      <right/>
      <top style="medium">
        <color theme="9"/>
      </top>
      <bottom style="medium">
        <color theme="9"/>
      </bottom>
      <diagonal/>
    </border>
    <border>
      <left/>
      <right style="medium">
        <color theme="9"/>
      </right>
      <top style="medium">
        <color theme="9"/>
      </top>
      <bottom/>
      <diagonal/>
    </border>
    <border>
      <left style="medium">
        <color theme="9"/>
      </left>
      <right/>
      <top/>
      <bottom style="thin">
        <color theme="2" tint="-0.249977111117893"/>
      </bottom>
      <diagonal/>
    </border>
    <border>
      <left style="medium">
        <color theme="9"/>
      </left>
      <right/>
      <top style="thin">
        <color theme="2" tint="-0.249977111117893"/>
      </top>
      <bottom style="medium">
        <color theme="9"/>
      </bottom>
      <diagonal/>
    </border>
    <border>
      <left/>
      <right style="medium">
        <color theme="9"/>
      </right>
      <top style="medium">
        <color theme="9"/>
      </top>
      <bottom style="thin">
        <color theme="2" tint="-0.249977111117893"/>
      </bottom>
      <diagonal/>
    </border>
    <border>
      <left style="medium">
        <color theme="9"/>
      </left>
      <right/>
      <top style="thin">
        <color theme="2" tint="-0.249977111117893"/>
      </top>
      <bottom style="thin">
        <color theme="2" tint="-0.249977111117893"/>
      </bottom>
      <diagonal/>
    </border>
    <border>
      <left/>
      <right style="medium">
        <color theme="9"/>
      </right>
      <top/>
      <bottom style="medium">
        <color theme="9"/>
      </bottom>
      <diagonal/>
    </border>
    <border>
      <left/>
      <right style="medium">
        <color theme="9"/>
      </right>
      <top style="thin">
        <color theme="2" tint="-0.249977111117893"/>
      </top>
      <bottom/>
      <diagonal/>
    </border>
    <border>
      <left/>
      <right style="medium">
        <color theme="9"/>
      </right>
      <top style="thin">
        <color theme="2" tint="-0.249977111117893"/>
      </top>
      <bottom style="medium">
        <color theme="9"/>
      </bottom>
      <diagonal/>
    </border>
    <border>
      <left style="medium">
        <color theme="9"/>
      </left>
      <right style="thin">
        <color theme="0" tint="-0.34998626667073579"/>
      </right>
      <top/>
      <bottom/>
      <diagonal/>
    </border>
    <border>
      <left style="thin">
        <color theme="0" tint="-0.34998626667073579"/>
      </left>
      <right style="thin">
        <color theme="0" tint="-0.34998626667073579"/>
      </right>
      <top/>
      <bottom/>
      <diagonal/>
    </border>
    <border>
      <left/>
      <right style="thin">
        <color theme="2" tint="-0.249977111117893"/>
      </right>
      <top style="medium">
        <color theme="9"/>
      </top>
      <bottom style="medium">
        <color theme="9"/>
      </bottom>
      <diagonal/>
    </border>
    <border>
      <left/>
      <right style="thin">
        <color theme="2" tint="-0.249977111117893"/>
      </right>
      <top/>
      <bottom style="medium">
        <color theme="9"/>
      </bottom>
      <diagonal/>
    </border>
    <border>
      <left/>
      <right/>
      <top style="medium">
        <color theme="9"/>
      </top>
      <bottom style="thin">
        <color theme="9"/>
      </bottom>
      <diagonal/>
    </border>
    <border>
      <left style="medium">
        <color theme="9"/>
      </left>
      <right style="medium">
        <color theme="9"/>
      </right>
      <top style="medium">
        <color theme="0" tint="-0.34998626667073579"/>
      </top>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theme="9"/>
      </left>
      <right style="medium">
        <color theme="9"/>
      </right>
      <top style="thin">
        <color theme="2" tint="-0.249977111117893"/>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style="thin">
        <color theme="0" tint="-0.34998626667073579"/>
      </right>
      <top style="medium">
        <color theme="9"/>
      </top>
      <bottom style="thin">
        <color theme="0" tint="-0.34998626667073579"/>
      </bottom>
      <diagonal/>
    </border>
    <border>
      <left/>
      <right style="thin">
        <color theme="0" tint="-0.34998626667073579"/>
      </right>
      <top style="thin">
        <color theme="0" tint="-0.34998626667073579"/>
      </top>
      <bottom style="medium">
        <color theme="9"/>
      </bottom>
      <diagonal/>
    </border>
    <border>
      <left/>
      <right style="thin">
        <color theme="0" tint="-0.34998626667073579"/>
      </right>
      <top/>
      <bottom/>
      <diagonal/>
    </border>
    <border>
      <left style="medium">
        <color theme="9"/>
      </left>
      <right/>
      <top style="medium">
        <color theme="9"/>
      </top>
      <bottom style="thin">
        <color theme="0" tint="-0.34998626667073579"/>
      </bottom>
      <diagonal/>
    </border>
    <border>
      <left/>
      <right style="thin">
        <color theme="0" tint="-0.249977111117893"/>
      </right>
      <top style="medium">
        <color theme="9"/>
      </top>
      <bottom style="thin">
        <color theme="0" tint="-0.249977111117893"/>
      </bottom>
      <diagonal/>
    </border>
    <border>
      <left style="thin">
        <color theme="0" tint="-0.249977111117893"/>
      </left>
      <right/>
      <top style="medium">
        <color theme="9"/>
      </top>
      <bottom style="thin">
        <color theme="0" tint="-0.249977111117893"/>
      </bottom>
      <diagonal/>
    </border>
    <border>
      <left style="thin">
        <color theme="2" tint="-0.249977111117893"/>
      </left>
      <right style="medium">
        <color theme="9"/>
      </right>
      <top/>
      <bottom style="medium">
        <color theme="9"/>
      </bottom>
      <diagonal/>
    </border>
    <border>
      <left style="thin">
        <color theme="2" tint="-0.249977111117893"/>
      </left>
      <right style="medium">
        <color theme="9"/>
      </right>
      <top/>
      <bottom style="thin">
        <color theme="2" tint="-0.249977111117893"/>
      </bottom>
      <diagonal/>
    </border>
    <border>
      <left style="thin">
        <color theme="2" tint="-0.249977111117893"/>
      </left>
      <right/>
      <top style="medium">
        <color theme="9"/>
      </top>
      <bottom/>
      <diagonal/>
    </border>
    <border>
      <left/>
      <right style="medium">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9"/>
      </left>
      <right style="thin">
        <color theme="0" tint="-0.249977111117893"/>
      </right>
      <top/>
      <bottom style="thin">
        <color theme="0" tint="-0.249977111117893"/>
      </bottom>
      <diagonal/>
    </border>
    <border>
      <left style="medium">
        <color theme="9"/>
      </left>
      <right style="thin">
        <color theme="0" tint="-0.249977111117893"/>
      </right>
      <top style="medium">
        <color theme="9"/>
      </top>
      <bottom style="medium">
        <color theme="9"/>
      </bottom>
      <diagonal/>
    </border>
    <border>
      <left style="thin">
        <color theme="2" tint="-0.249977111117893"/>
      </left>
      <right style="medium">
        <color theme="9"/>
      </right>
      <top style="medium">
        <color theme="9"/>
      </top>
      <bottom/>
      <diagonal/>
    </border>
    <border>
      <left style="thin">
        <color theme="2" tint="-0.249977111117893"/>
      </left>
      <right style="medium">
        <color theme="9"/>
      </right>
      <top/>
      <bottom/>
      <diagonal/>
    </border>
    <border>
      <left style="thin">
        <color theme="0" tint="-0.249977111117893"/>
      </left>
      <right/>
      <top/>
      <bottom style="thin">
        <color theme="0" tint="-0.249977111117893"/>
      </bottom>
      <diagonal/>
    </border>
    <border>
      <left style="thin">
        <color theme="0" tint="-0.249977111117893"/>
      </left>
      <right style="medium">
        <color theme="9"/>
      </right>
      <top/>
      <bottom style="thin">
        <color theme="0" tint="-0.249977111117893"/>
      </bottom>
      <diagonal/>
    </border>
    <border>
      <left style="thin">
        <color theme="0" tint="-0.249977111117893"/>
      </left>
      <right style="thin">
        <color theme="0" tint="-0.249977111117893"/>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249977111117893"/>
      </left>
      <right style="thin">
        <color theme="0" tint="-0.34998626667073579"/>
      </right>
      <top style="thin">
        <color theme="2" tint="-0.249977111117893"/>
      </top>
      <bottom style="medium">
        <color theme="9"/>
      </bottom>
      <diagonal/>
    </border>
    <border>
      <left style="thin">
        <color theme="0" tint="-0.34998626667073579"/>
      </left>
      <right style="thin">
        <color theme="0" tint="-0.34998626667073579"/>
      </right>
      <top style="medium">
        <color theme="9"/>
      </top>
      <bottom style="medium">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249977111117893"/>
      </right>
      <top/>
      <bottom style="medium">
        <color theme="9"/>
      </bottom>
      <diagonal/>
    </border>
    <border>
      <left style="thin">
        <color theme="0" tint="-0.249977111117893"/>
      </left>
      <right style="thin">
        <color theme="0" tint="-0.249977111117893"/>
      </right>
      <top/>
      <bottom style="medium">
        <color theme="9"/>
      </bottom>
      <diagonal/>
    </border>
    <border>
      <left style="thin">
        <color theme="0" tint="-0.249977111117893"/>
      </left>
      <right style="medium">
        <color theme="9"/>
      </right>
      <top/>
      <bottom/>
      <diagonal/>
    </border>
    <border>
      <left style="thin">
        <color theme="0" tint="-0.249977111117893"/>
      </left>
      <right style="medium">
        <color theme="9"/>
      </right>
      <top/>
      <bottom style="medium">
        <color theme="9"/>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thin">
        <color theme="9"/>
      </left>
      <right style="thin">
        <color theme="9"/>
      </right>
      <top/>
      <bottom style="thin">
        <color theme="9"/>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thin">
        <color theme="2" tint="-9.9978637043366805E-2"/>
      </bottom>
      <diagonal/>
    </border>
    <border>
      <left style="medium">
        <color theme="9"/>
      </left>
      <right style="thin">
        <color theme="6"/>
      </right>
      <top style="medium">
        <color theme="9"/>
      </top>
      <bottom/>
      <diagonal/>
    </border>
    <border>
      <left style="thin">
        <color theme="6"/>
      </left>
      <right style="thin">
        <color theme="6"/>
      </right>
      <top style="medium">
        <color theme="9"/>
      </top>
      <bottom/>
      <diagonal/>
    </border>
    <border>
      <left/>
      <right style="thin">
        <color theme="9"/>
      </right>
      <top style="medium">
        <color theme="9"/>
      </top>
      <bottom style="thin">
        <color theme="9"/>
      </bottom>
      <diagonal/>
    </border>
    <border>
      <left/>
      <right style="medium">
        <color theme="0" tint="-0.249977111117893"/>
      </right>
      <top/>
      <bottom style="thin">
        <color theme="0" tint="-0.249977111117893"/>
      </bottom>
      <diagonal/>
    </border>
    <border>
      <left/>
      <right style="medium">
        <color theme="0" tint="-0.249977111117893"/>
      </right>
      <top style="thin">
        <color theme="0" tint="-0.249977111117893"/>
      </top>
      <bottom/>
      <diagonal/>
    </border>
    <border>
      <left/>
      <right style="thin">
        <color theme="9"/>
      </right>
      <top style="thin">
        <color theme="9"/>
      </top>
      <bottom style="thin">
        <color theme="9"/>
      </bottom>
      <diagonal/>
    </border>
    <border>
      <left style="medium">
        <color theme="9"/>
      </left>
      <right style="thin">
        <color theme="6"/>
      </right>
      <top/>
      <bottom/>
      <diagonal/>
    </border>
    <border>
      <left/>
      <right style="thin">
        <color theme="6"/>
      </right>
      <top/>
      <bottom/>
      <diagonal/>
    </border>
    <border>
      <left/>
      <right style="medium">
        <color theme="0" tint="-0.249977111117893"/>
      </right>
      <top style="thin">
        <color theme="0" tint="-0.249977111117893"/>
      </top>
      <bottom style="medium">
        <color theme="9"/>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style="medium">
        <color theme="4"/>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theme="0"/>
      </left>
      <right/>
      <top style="medium">
        <color rgb="FFFF0000"/>
      </top>
      <bottom style="medium">
        <color rgb="FFFF0000"/>
      </bottom>
      <diagonal/>
    </border>
    <border>
      <left/>
      <right style="medium">
        <color rgb="FFFF0000"/>
      </right>
      <top style="medium">
        <color rgb="FFFF0000"/>
      </top>
      <bottom/>
      <diagonal/>
    </border>
    <border>
      <left/>
      <right style="medium">
        <color rgb="FFFF0000"/>
      </right>
      <top/>
      <bottom/>
      <diagonal/>
    </border>
    <border>
      <left/>
      <right style="medium">
        <color rgb="FFFF0000"/>
      </right>
      <top/>
      <bottom style="medium">
        <color rgb="FFFF0000"/>
      </bottom>
      <diagonal/>
    </border>
    <border>
      <left/>
      <right style="medium">
        <color theme="4"/>
      </right>
      <top/>
      <bottom/>
      <diagonal/>
    </border>
    <border>
      <left/>
      <right style="medium">
        <color auto="1"/>
      </right>
      <top style="medium">
        <color auto="1"/>
      </top>
      <bottom/>
      <diagonal/>
    </border>
    <border>
      <left/>
      <right style="medium">
        <color auto="1"/>
      </right>
      <top/>
      <bottom/>
      <diagonal/>
    </border>
    <border>
      <left style="thin">
        <color theme="6"/>
      </left>
      <right style="medium">
        <color theme="9"/>
      </right>
      <top style="medium">
        <color theme="9"/>
      </top>
      <bottom/>
      <diagonal/>
    </border>
    <border>
      <left/>
      <right style="medium">
        <color rgb="FFFF0000"/>
      </right>
      <top style="medium">
        <color rgb="FFFF0000"/>
      </top>
      <bottom style="medium">
        <color rgb="FFFF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9"/>
      </left>
      <right/>
      <top style="medium">
        <color theme="9"/>
      </top>
      <bottom style="thin">
        <color theme="9"/>
      </bottom>
      <diagonal/>
    </border>
    <border>
      <left/>
      <right style="medium">
        <color theme="9"/>
      </right>
      <top style="medium">
        <color theme="9"/>
      </top>
      <bottom style="thin">
        <color theme="9"/>
      </bottom>
      <diagonal/>
    </border>
    <border>
      <left style="medium">
        <color theme="9"/>
      </left>
      <right style="thin">
        <color theme="9"/>
      </right>
      <top/>
      <bottom style="thin">
        <color theme="9"/>
      </bottom>
      <diagonal/>
    </border>
    <border>
      <left style="thin">
        <color theme="9"/>
      </left>
      <right style="medium">
        <color theme="9"/>
      </right>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9"/>
      </left>
      <right style="thin">
        <color theme="0" tint="-0.34998626667073579"/>
      </right>
      <top/>
      <bottom style="thin">
        <color theme="0" tint="-0.34998626667073579"/>
      </bottom>
      <diagonal/>
    </border>
    <border>
      <left style="thin">
        <color theme="0" tint="-0.34998626667073579"/>
      </left>
      <right style="medium">
        <color theme="9"/>
      </right>
      <top/>
      <bottom style="thin">
        <color theme="0" tint="-0.34998626667073579"/>
      </bottom>
      <diagonal/>
    </border>
    <border>
      <left/>
      <right style="thin">
        <color theme="0" tint="-0.34998626667073579"/>
      </right>
      <top style="thin">
        <color theme="0" tint="-0.34998626667073579"/>
      </top>
      <bottom/>
      <diagonal/>
    </border>
    <border>
      <left style="thin">
        <color theme="0" tint="-0.14996795556505021"/>
      </left>
      <right style="thin">
        <color theme="0" tint="-0.14996795556505021"/>
      </right>
      <top/>
      <bottom style="thin">
        <color theme="0" tint="-0.14996795556505021"/>
      </bottom>
      <diagonal/>
    </border>
    <border>
      <left style="medium">
        <color theme="9"/>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9"/>
      </right>
      <top style="thin">
        <color theme="0" tint="-0.14999847407452621"/>
      </top>
      <bottom style="thin">
        <color theme="0" tint="-0.14999847407452621"/>
      </bottom>
      <diagonal/>
    </border>
    <border>
      <left style="medium">
        <color theme="9"/>
      </left>
      <right style="thin">
        <color theme="0" tint="-0.14999847407452621"/>
      </right>
      <top style="thin">
        <color theme="0" tint="-0.14999847407452621"/>
      </top>
      <bottom style="medium">
        <color theme="9"/>
      </bottom>
      <diagonal/>
    </border>
    <border>
      <left style="thin">
        <color theme="0" tint="-0.14999847407452621"/>
      </left>
      <right style="thin">
        <color theme="0" tint="-0.14999847407452621"/>
      </right>
      <top style="thin">
        <color theme="0" tint="-0.14999847407452621"/>
      </top>
      <bottom style="medium">
        <color theme="9"/>
      </bottom>
      <diagonal/>
    </border>
    <border>
      <left style="thin">
        <color theme="0" tint="-0.14999847407452621"/>
      </left>
      <right style="medium">
        <color theme="9"/>
      </right>
      <top style="thin">
        <color theme="0" tint="-0.14999847407452621"/>
      </top>
      <bottom style="medium">
        <color theme="9"/>
      </bottom>
      <diagonal/>
    </border>
    <border>
      <left style="medium">
        <color theme="9" tint="-0.249977111117893"/>
      </left>
      <right/>
      <top/>
      <bottom/>
      <diagonal/>
    </border>
    <border>
      <left/>
      <right/>
      <top style="thin">
        <color theme="9"/>
      </top>
      <bottom style="thin">
        <color theme="9"/>
      </bottom>
      <diagonal/>
    </border>
    <border>
      <left style="thin">
        <color theme="0" tint="-0.34998626667073579"/>
      </left>
      <right/>
      <top/>
      <bottom/>
      <diagonal/>
    </border>
    <border>
      <left style="thin">
        <color theme="0" tint="-0.34998626667073579"/>
      </left>
      <right/>
      <top style="thin">
        <color theme="0" tint="-0.34998626667073579"/>
      </top>
      <bottom style="medium">
        <color theme="0" tint="-0.34998626667073579"/>
      </bottom>
      <diagonal/>
    </border>
    <border>
      <left/>
      <right/>
      <top style="medium">
        <color theme="0" tint="-0.249977111117893"/>
      </top>
      <bottom style="thin">
        <color theme="0" tint="-0.249977111117893"/>
      </bottom>
      <diagonal/>
    </border>
    <border>
      <left/>
      <right/>
      <top style="thin">
        <color theme="0" tint="-0.249977111117893"/>
      </top>
      <bottom style="medium">
        <color theme="0" tint="-0.249977111117893"/>
      </bottom>
      <diagonal/>
    </border>
    <border>
      <left/>
      <right/>
      <top/>
      <bottom style="thin">
        <color theme="0" tint="-0.249977111117893"/>
      </bottom>
      <diagonal/>
    </border>
    <border>
      <left style="medium">
        <color theme="9"/>
      </left>
      <right style="thin">
        <color theme="0" tint="-0.14999847407452621"/>
      </right>
      <top style="medium">
        <color theme="9"/>
      </top>
      <bottom style="thin">
        <color theme="0" tint="-0.14999847407452621"/>
      </bottom>
      <diagonal/>
    </border>
    <border>
      <left style="thin">
        <color theme="0" tint="-0.14999847407452621"/>
      </left>
      <right style="thin">
        <color theme="0" tint="-0.14999847407452621"/>
      </right>
      <top style="medium">
        <color theme="9"/>
      </top>
      <bottom style="thin">
        <color theme="0" tint="-0.14999847407452621"/>
      </bottom>
      <diagonal/>
    </border>
    <border>
      <left style="thin">
        <color theme="0" tint="-0.14999847407452621"/>
      </left>
      <right style="medium">
        <color theme="9"/>
      </right>
      <top style="medium">
        <color theme="9"/>
      </top>
      <bottom style="thin">
        <color theme="0" tint="-0.14999847407452621"/>
      </bottom>
      <diagonal/>
    </border>
    <border>
      <left style="thin">
        <color theme="0" tint="-0.34998626667073579"/>
      </left>
      <right style="thin">
        <color theme="0" tint="-0.34998626667073579"/>
      </right>
      <top/>
      <bottom style="medium">
        <color theme="9"/>
      </bottom>
      <diagonal/>
    </border>
    <border>
      <left style="thin">
        <color theme="0" tint="-0.34998626667073579"/>
      </left>
      <right/>
      <top/>
      <bottom style="medium">
        <color theme="9"/>
      </bottom>
      <diagonal/>
    </border>
  </borders>
  <cellStyleXfs count="3">
    <xf numFmtId="0" fontId="0" fillId="0" borderId="0"/>
    <xf numFmtId="0" fontId="42" fillId="17" borderId="0" applyNumberFormat="0" applyBorder="0" applyAlignment="0" applyProtection="0"/>
    <xf numFmtId="0" fontId="43" fillId="0" borderId="0" applyNumberFormat="0" applyFont="0" applyFill="0" applyBorder="0" applyAlignment="0" applyProtection="0"/>
  </cellStyleXfs>
  <cellXfs count="1053">
    <xf numFmtId="0" fontId="0" fillId="0" borderId="0" xfId="0"/>
    <xf numFmtId="0" fontId="1" fillId="0" borderId="0" xfId="0" applyFont="1" applyAlignment="1">
      <alignment horizontal="lef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2" borderId="0" xfId="0" applyFont="1" applyFill="1"/>
    <xf numFmtId="0" fontId="3" fillId="0" borderId="0" xfId="0" applyFont="1"/>
    <xf numFmtId="0" fontId="3" fillId="0" borderId="0" xfId="0" applyFont="1" applyAlignment="1">
      <alignment vertical="center"/>
    </xf>
    <xf numFmtId="0" fontId="3" fillId="0" borderId="0" xfId="0" applyFont="1" applyAlignment="1">
      <alignment wrapText="1"/>
    </xf>
    <xf numFmtId="0" fontId="4" fillId="0" borderId="0" xfId="0" applyFont="1" applyAlignment="1">
      <alignment vertical="center"/>
    </xf>
    <xf numFmtId="0" fontId="5" fillId="0" borderId="0" xfId="0" applyFont="1"/>
    <xf numFmtId="0" fontId="6" fillId="0" borderId="0" xfId="0" applyFont="1" applyAlignment="1">
      <alignment horizontal="left" vertical="center" wrapText="1"/>
    </xf>
    <xf numFmtId="0" fontId="6" fillId="0" borderId="0" xfId="0" applyFont="1" applyAlignment="1">
      <alignment wrapText="1"/>
    </xf>
    <xf numFmtId="0" fontId="7" fillId="0" borderId="0" xfId="0" applyFont="1"/>
    <xf numFmtId="0" fontId="8" fillId="0" borderId="0" xfId="0" applyFont="1"/>
    <xf numFmtId="0" fontId="9" fillId="3" borderId="1"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wrapText="1"/>
    </xf>
    <xf numFmtId="0" fontId="12" fillId="6" borderId="7" xfId="0" applyFont="1" applyFill="1" applyBorder="1" applyAlignment="1">
      <alignment vertical="center"/>
    </xf>
    <xf numFmtId="0" fontId="12" fillId="6" borderId="9" xfId="0" applyFont="1" applyFill="1" applyBorder="1" applyAlignment="1">
      <alignment vertical="center"/>
    </xf>
    <xf numFmtId="49" fontId="13" fillId="6" borderId="10" xfId="2" applyNumberFormat="1" applyFont="1" applyFill="1" applyBorder="1" applyAlignment="1">
      <alignment horizontal="center" vertical="center"/>
    </xf>
    <xf numFmtId="0" fontId="12" fillId="0" borderId="11" xfId="0" applyFont="1" applyBorder="1" applyAlignment="1">
      <alignment horizontal="left" vertical="center" wrapText="1"/>
    </xf>
    <xf numFmtId="0" fontId="12" fillId="0" borderId="12" xfId="0" applyFont="1" applyBorder="1" applyAlignment="1">
      <alignment wrapText="1"/>
    </xf>
    <xf numFmtId="0" fontId="12" fillId="6" borderId="13" xfId="0" applyFont="1" applyFill="1" applyBorder="1" applyAlignment="1">
      <alignment horizontal="center" vertical="center"/>
    </xf>
    <xf numFmtId="0" fontId="12" fillId="6" borderId="14" xfId="0" applyFont="1" applyFill="1" applyBorder="1" applyAlignment="1">
      <alignment horizontal="center" vertical="center"/>
    </xf>
    <xf numFmtId="0" fontId="12" fillId="0" borderId="14" xfId="0" applyFont="1" applyBorder="1" applyAlignment="1" applyProtection="1">
      <alignment horizontal="center" vertical="center"/>
      <protection locked="0"/>
    </xf>
    <xf numFmtId="0" fontId="12" fillId="0" borderId="16" xfId="0" applyFont="1" applyBorder="1" applyAlignment="1">
      <alignment wrapText="1"/>
    </xf>
    <xf numFmtId="0" fontId="12" fillId="6" borderId="17" xfId="0" applyFont="1" applyFill="1" applyBorder="1" applyAlignment="1">
      <alignment vertical="center"/>
    </xf>
    <xf numFmtId="0" fontId="12" fillId="6" borderId="18" xfId="0" applyFont="1" applyFill="1" applyBorder="1" applyAlignment="1">
      <alignment horizontal="center" vertical="center"/>
    </xf>
    <xf numFmtId="0" fontId="12" fillId="6" borderId="19" xfId="0" applyFont="1" applyFill="1" applyBorder="1" applyAlignment="1">
      <alignment horizontal="center" vertical="center"/>
    </xf>
    <xf numFmtId="0" fontId="12" fillId="0" borderId="19" xfId="0" applyFont="1" applyBorder="1" applyAlignment="1" applyProtection="1">
      <alignment horizontal="center" vertical="center"/>
      <protection locked="0"/>
    </xf>
    <xf numFmtId="0" fontId="9" fillId="0" borderId="16" xfId="0" applyFont="1" applyBorder="1" applyAlignment="1">
      <alignment wrapText="1"/>
    </xf>
    <xf numFmtId="0" fontId="9" fillId="0" borderId="20"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11" fillId="2" borderId="24"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2" fillId="3" borderId="26" xfId="0" applyFont="1" applyFill="1" applyBorder="1" applyAlignment="1">
      <alignment horizontal="center" vertical="center"/>
    </xf>
    <xf numFmtId="0" fontId="12" fillId="0" borderId="0" xfId="0" applyFont="1" applyAlignment="1">
      <alignment wrapText="1"/>
    </xf>
    <xf numFmtId="0" fontId="12" fillId="6" borderId="15" xfId="0" applyFont="1" applyFill="1" applyBorder="1" applyAlignment="1">
      <alignment vertical="center"/>
    </xf>
    <xf numFmtId="0" fontId="15" fillId="6" borderId="27" xfId="0" applyFont="1" applyFill="1" applyBorder="1" applyAlignment="1">
      <alignment horizontal="center" vertical="center"/>
    </xf>
    <xf numFmtId="0" fontId="12" fillId="0" borderId="29" xfId="0" applyFont="1" applyBorder="1" applyAlignment="1">
      <alignment wrapText="1"/>
    </xf>
    <xf numFmtId="0" fontId="12" fillId="6" borderId="30" xfId="0" applyFont="1" applyFill="1" applyBorder="1" applyAlignment="1">
      <alignment vertical="center"/>
    </xf>
    <xf numFmtId="0" fontId="12" fillId="0" borderId="31" xfId="0" applyFont="1" applyBorder="1" applyAlignment="1" applyProtection="1">
      <alignment horizontal="center" vertical="center"/>
      <protection locked="0"/>
    </xf>
    <xf numFmtId="0" fontId="9" fillId="0" borderId="32" xfId="0" applyFont="1" applyBorder="1" applyAlignment="1">
      <alignment wrapText="1"/>
    </xf>
    <xf numFmtId="0" fontId="12" fillId="6" borderId="33" xfId="0" applyFont="1" applyFill="1" applyBorder="1" applyAlignment="1">
      <alignment vertical="center"/>
    </xf>
    <xf numFmtId="0" fontId="12" fillId="0" borderId="32" xfId="0" applyFont="1" applyBorder="1" applyAlignment="1">
      <alignment wrapText="1"/>
    </xf>
    <xf numFmtId="0" fontId="12" fillId="2" borderId="36" xfId="0" applyFont="1" applyFill="1" applyBorder="1" applyAlignment="1">
      <alignment wrapText="1"/>
    </xf>
    <xf numFmtId="0" fontId="12" fillId="6" borderId="37" xfId="0" applyFont="1" applyFill="1" applyBorder="1" applyAlignment="1">
      <alignment vertical="center"/>
    </xf>
    <xf numFmtId="0" fontId="12" fillId="6" borderId="38"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31" xfId="0" applyFont="1" applyFill="1" applyBorder="1" applyAlignment="1">
      <alignment horizontal="center" vertical="center"/>
    </xf>
    <xf numFmtId="0" fontId="12" fillId="6" borderId="34" xfId="0" applyFont="1" applyFill="1" applyBorder="1" applyAlignment="1">
      <alignment horizontal="center" vertical="center"/>
    </xf>
    <xf numFmtId="0" fontId="12" fillId="7" borderId="31" xfId="0" applyFont="1" applyFill="1" applyBorder="1" applyAlignment="1">
      <alignment horizontal="center" vertical="center"/>
    </xf>
    <xf numFmtId="0" fontId="10" fillId="0" borderId="34" xfId="0" applyFont="1" applyBorder="1" applyAlignment="1">
      <alignment horizontal="center" vertical="center"/>
    </xf>
    <xf numFmtId="0" fontId="16" fillId="0" borderId="32" xfId="0" applyFont="1" applyBorder="1" applyAlignment="1">
      <alignment wrapText="1"/>
    </xf>
    <xf numFmtId="0" fontId="16" fillId="6" borderId="33" xfId="0" applyFont="1" applyFill="1" applyBorder="1" applyAlignment="1">
      <alignment vertical="center"/>
    </xf>
    <xf numFmtId="0" fontId="16" fillId="2" borderId="36" xfId="0" applyFont="1" applyFill="1" applyBorder="1" applyAlignment="1">
      <alignment wrapText="1"/>
    </xf>
    <xf numFmtId="0" fontId="16" fillId="6" borderId="37" xfId="0" applyFont="1" applyFill="1" applyBorder="1" applyAlignment="1">
      <alignment vertical="center"/>
    </xf>
    <xf numFmtId="0" fontId="12" fillId="6" borderId="39" xfId="0" applyFont="1" applyFill="1" applyBorder="1" applyAlignment="1">
      <alignment horizontal="center" vertical="center"/>
    </xf>
    <xf numFmtId="0" fontId="12" fillId="6" borderId="40" xfId="0" applyFont="1" applyFill="1" applyBorder="1" applyAlignment="1">
      <alignment horizontal="center" vertical="center"/>
    </xf>
    <xf numFmtId="0" fontId="16" fillId="0" borderId="29" xfId="0" applyFont="1" applyBorder="1" applyAlignment="1">
      <alignment wrapText="1"/>
    </xf>
    <xf numFmtId="0" fontId="16" fillId="6" borderId="30" xfId="0" applyFont="1" applyFill="1" applyBorder="1" applyAlignment="1">
      <alignment vertical="center"/>
    </xf>
    <xf numFmtId="0" fontId="12" fillId="6" borderId="42" xfId="0" applyFont="1" applyFill="1" applyBorder="1" applyAlignment="1">
      <alignment horizontal="center" vertical="center"/>
    </xf>
    <xf numFmtId="0" fontId="12" fillId="7" borderId="43" xfId="0" applyFont="1" applyFill="1" applyBorder="1" applyAlignment="1">
      <alignment horizontal="center" vertical="center"/>
    </xf>
    <xf numFmtId="0" fontId="17" fillId="0" borderId="32" xfId="0" applyFont="1" applyBorder="1" applyAlignment="1">
      <alignment wrapText="1"/>
    </xf>
    <xf numFmtId="0" fontId="12" fillId="6" borderId="44" xfId="0" applyFont="1" applyFill="1" applyBorder="1" applyAlignment="1">
      <alignment horizontal="center" vertical="center"/>
    </xf>
    <xf numFmtId="0" fontId="12" fillId="7" borderId="21" xfId="0" applyFont="1" applyFill="1" applyBorder="1" applyAlignment="1">
      <alignment horizontal="center" vertical="center"/>
    </xf>
    <xf numFmtId="0" fontId="12" fillId="6" borderId="45" xfId="0" applyFont="1" applyFill="1" applyBorder="1" applyAlignment="1">
      <alignment horizontal="center" vertical="center"/>
    </xf>
    <xf numFmtId="0" fontId="12" fillId="7" borderId="25" xfId="0" applyFont="1" applyFill="1" applyBorder="1" applyAlignment="1">
      <alignment horizontal="center" vertical="center"/>
    </xf>
    <xf numFmtId="0" fontId="16" fillId="6" borderId="7" xfId="0" applyFont="1" applyFill="1" applyBorder="1" applyAlignment="1">
      <alignment vertical="center"/>
    </xf>
    <xf numFmtId="0" fontId="15" fillId="6" borderId="46" xfId="0" applyFont="1" applyFill="1" applyBorder="1" applyAlignment="1">
      <alignment horizontal="center" vertical="center"/>
    </xf>
    <xf numFmtId="0" fontId="15" fillId="6" borderId="8" xfId="0" applyFont="1" applyFill="1" applyBorder="1" applyAlignment="1">
      <alignment horizontal="center" vertical="center"/>
    </xf>
    <xf numFmtId="0" fontId="12" fillId="7" borderId="8" xfId="0" applyFont="1" applyFill="1" applyBorder="1" applyAlignment="1">
      <alignment horizontal="center" vertical="center"/>
    </xf>
    <xf numFmtId="0" fontId="16" fillId="6" borderId="47" xfId="0" applyFont="1" applyFill="1" applyBorder="1" applyAlignment="1">
      <alignment vertical="center"/>
    </xf>
    <xf numFmtId="0" fontId="15" fillId="6" borderId="39" xfId="0" applyFont="1" applyFill="1" applyBorder="1" applyAlignment="1">
      <alignment horizontal="center" vertical="center"/>
    </xf>
    <xf numFmtId="0" fontId="15" fillId="6" borderId="40" xfId="0" applyFont="1" applyFill="1" applyBorder="1" applyAlignment="1">
      <alignment horizontal="center" vertical="center"/>
    </xf>
    <xf numFmtId="0" fontId="12" fillId="7" borderId="28" xfId="0" applyFont="1" applyFill="1" applyBorder="1" applyAlignment="1">
      <alignment horizontal="center" vertical="center"/>
    </xf>
    <xf numFmtId="0" fontId="12" fillId="0" borderId="28" xfId="0" applyFont="1" applyBorder="1" applyAlignment="1" applyProtection="1">
      <alignment horizontal="center" vertical="center"/>
      <protection locked="0"/>
    </xf>
    <xf numFmtId="0" fontId="9" fillId="0" borderId="1" xfId="0" applyFont="1" applyBorder="1" applyAlignment="1">
      <alignment horizontal="center" vertical="center"/>
    </xf>
    <xf numFmtId="0" fontId="9" fillId="3" borderId="4" xfId="0" applyFont="1" applyFill="1" applyBorder="1" applyAlignment="1">
      <alignment vertical="center"/>
    </xf>
    <xf numFmtId="49" fontId="13" fillId="6" borderId="40" xfId="2" applyNumberFormat="1" applyFont="1" applyFill="1" applyBorder="1" applyAlignment="1">
      <alignment horizontal="center" vertical="center"/>
    </xf>
    <xf numFmtId="0" fontId="12" fillId="0" borderId="42" xfId="0" applyFont="1" applyBorder="1" applyAlignment="1" applyProtection="1">
      <alignment horizontal="center" vertical="center"/>
      <protection locked="0"/>
    </xf>
    <xf numFmtId="0" fontId="9" fillId="3" borderId="49" xfId="0" applyFont="1" applyFill="1" applyBorder="1" applyAlignment="1">
      <alignment horizontal="center" vertical="center"/>
    </xf>
    <xf numFmtId="0" fontId="9" fillId="3" borderId="50" xfId="0" applyFont="1" applyFill="1" applyBorder="1" applyAlignment="1">
      <alignment horizontal="center" vertical="center"/>
    </xf>
    <xf numFmtId="0" fontId="12" fillId="0" borderId="48"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12" fillId="0" borderId="26" xfId="0" applyFont="1" applyBorder="1" applyAlignment="1" applyProtection="1">
      <alignment horizontal="center" vertical="center"/>
      <protection locked="0"/>
    </xf>
    <xf numFmtId="0" fontId="12" fillId="6" borderId="53" xfId="0" applyFont="1" applyFill="1" applyBorder="1" applyAlignment="1">
      <alignment horizontal="center" vertical="center"/>
    </xf>
    <xf numFmtId="0" fontId="12" fillId="6" borderId="26"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57" xfId="0" applyFont="1" applyFill="1" applyBorder="1" applyAlignment="1">
      <alignment horizontal="center" vertical="center"/>
    </xf>
    <xf numFmtId="0" fontId="12" fillId="0" borderId="58" xfId="0" applyFont="1" applyBorder="1" applyAlignment="1" applyProtection="1">
      <alignment horizontal="center" vertical="center"/>
      <protection locked="0"/>
    </xf>
    <xf numFmtId="0" fontId="9" fillId="3" borderId="59" xfId="0" applyFont="1" applyFill="1" applyBorder="1" applyAlignment="1">
      <alignment horizontal="center" vertical="center"/>
    </xf>
    <xf numFmtId="0" fontId="9" fillId="3" borderId="60" xfId="0" applyFont="1" applyFill="1" applyBorder="1" applyAlignment="1">
      <alignment horizontal="center" vertical="center"/>
    </xf>
    <xf numFmtId="0" fontId="12" fillId="0" borderId="61" xfId="0" applyFont="1" applyBorder="1" applyAlignment="1" applyProtection="1">
      <alignment horizontal="center" vertical="center"/>
      <protection locked="0"/>
    </xf>
    <xf numFmtId="0" fontId="12" fillId="0" borderId="62" xfId="0" applyFont="1" applyBorder="1" applyAlignment="1" applyProtection="1">
      <alignment horizontal="center" vertical="center"/>
      <protection locked="0"/>
    </xf>
    <xf numFmtId="0" fontId="12" fillId="0" borderId="63" xfId="0" applyFont="1" applyBorder="1" applyAlignment="1" applyProtection="1">
      <alignment horizontal="center" vertical="center"/>
      <protection locked="0"/>
    </xf>
    <xf numFmtId="0" fontId="9" fillId="3" borderId="66" xfId="0" applyFont="1" applyFill="1" applyBorder="1" applyAlignment="1">
      <alignment horizontal="center" vertical="center"/>
    </xf>
    <xf numFmtId="0" fontId="9" fillId="3" borderId="65" xfId="0" applyFont="1" applyFill="1" applyBorder="1" applyAlignment="1">
      <alignment horizontal="center" vertical="center"/>
    </xf>
    <xf numFmtId="0" fontId="12" fillId="7" borderId="67" xfId="0" applyFont="1" applyFill="1" applyBorder="1" applyAlignment="1">
      <alignment horizontal="center" vertical="center"/>
    </xf>
    <xf numFmtId="0" fontId="9" fillId="3" borderId="68" xfId="0" applyFont="1" applyFill="1" applyBorder="1" applyAlignment="1">
      <alignment horizontal="center" vertical="center"/>
    </xf>
    <xf numFmtId="0" fontId="12" fillId="7" borderId="69" xfId="0" applyFont="1" applyFill="1" applyBorder="1" applyAlignment="1">
      <alignment horizontal="center" vertical="center"/>
    </xf>
    <xf numFmtId="0" fontId="12" fillId="7" borderId="70" xfId="0" applyFont="1" applyFill="1" applyBorder="1" applyAlignment="1">
      <alignment horizontal="center" vertical="center"/>
    </xf>
    <xf numFmtId="0" fontId="9" fillId="0" borderId="3" xfId="0" applyFont="1" applyBorder="1" applyAlignment="1">
      <alignment wrapText="1"/>
    </xf>
    <xf numFmtId="0" fontId="9" fillId="3" borderId="7" xfId="0" applyFont="1" applyFill="1" applyBorder="1" applyAlignment="1">
      <alignment horizontal="center" vertical="center"/>
    </xf>
    <xf numFmtId="0" fontId="12" fillId="7" borderId="12" xfId="0" applyFont="1" applyFill="1" applyBorder="1" applyAlignment="1">
      <alignment horizontal="left" vertical="top" wrapText="1"/>
    </xf>
    <xf numFmtId="0" fontId="10" fillId="3" borderId="76" xfId="0" applyFont="1" applyFill="1" applyBorder="1" applyAlignment="1">
      <alignment horizontal="center" vertical="center"/>
    </xf>
    <xf numFmtId="0" fontId="9" fillId="5" borderId="16" xfId="0" applyFont="1" applyFill="1" applyBorder="1" applyAlignment="1">
      <alignment horizontal="left" vertical="top"/>
    </xf>
    <xf numFmtId="0" fontId="12" fillId="7" borderId="16" xfId="0" applyFont="1" applyFill="1" applyBorder="1" applyAlignment="1">
      <alignment horizontal="left" vertical="top" wrapText="1"/>
    </xf>
    <xf numFmtId="0" fontId="12" fillId="7" borderId="16" xfId="0" applyFont="1" applyFill="1" applyBorder="1" applyAlignment="1">
      <alignment horizontal="left" vertical="top"/>
    </xf>
    <xf numFmtId="0" fontId="9" fillId="5" borderId="77" xfId="0" applyFont="1" applyFill="1" applyBorder="1" applyAlignment="1">
      <alignment vertical="top"/>
    </xf>
    <xf numFmtId="0" fontId="9" fillId="11" borderId="16" xfId="0" applyFont="1" applyFill="1" applyBorder="1" applyAlignment="1">
      <alignment horizontal="left" vertical="top"/>
    </xf>
    <xf numFmtId="0" fontId="10" fillId="3" borderId="79" xfId="0" applyFont="1" applyFill="1" applyBorder="1" applyAlignment="1">
      <alignment horizontal="center" vertical="center"/>
    </xf>
    <xf numFmtId="0" fontId="10" fillId="3" borderId="80" xfId="0" applyFont="1" applyFill="1" applyBorder="1" applyAlignment="1">
      <alignment horizontal="center" vertical="center"/>
    </xf>
    <xf numFmtId="0" fontId="9" fillId="5" borderId="16" xfId="0" applyFont="1" applyFill="1" applyBorder="1" applyAlignment="1">
      <alignment vertical="top"/>
    </xf>
    <xf numFmtId="0" fontId="9" fillId="12" borderId="16" xfId="0" applyFont="1" applyFill="1" applyBorder="1" applyAlignment="1">
      <alignment horizontal="left" vertical="top"/>
    </xf>
    <xf numFmtId="0" fontId="9" fillId="5" borderId="0" xfId="0" applyFont="1" applyFill="1" applyAlignment="1">
      <alignment horizontal="left" vertical="top"/>
    </xf>
    <xf numFmtId="0" fontId="12" fillId="6" borderId="62" xfId="0" applyFont="1" applyFill="1" applyBorder="1" applyAlignment="1">
      <alignment horizontal="center" vertical="center"/>
    </xf>
    <xf numFmtId="0" fontId="12" fillId="6" borderId="64" xfId="0" applyFont="1" applyFill="1" applyBorder="1" applyAlignment="1">
      <alignment horizontal="center" vertical="center"/>
    </xf>
    <xf numFmtId="0" fontId="12" fillId="6" borderId="81" xfId="0" applyFont="1" applyFill="1" applyBorder="1" applyAlignment="1">
      <alignment horizontal="center" vertical="center"/>
    </xf>
    <xf numFmtId="0" fontId="12" fillId="6" borderId="82" xfId="0" applyFont="1" applyFill="1" applyBorder="1" applyAlignment="1">
      <alignment horizontal="center" vertical="center"/>
    </xf>
    <xf numFmtId="0" fontId="12" fillId="0" borderId="81" xfId="0" applyFont="1" applyBorder="1" applyAlignment="1" applyProtection="1">
      <alignment horizontal="center" vertical="center"/>
      <protection locked="0"/>
    </xf>
    <xf numFmtId="0" fontId="12" fillId="7" borderId="81" xfId="0" applyFont="1" applyFill="1" applyBorder="1" applyAlignment="1">
      <alignment horizontal="center" vertical="center"/>
    </xf>
    <xf numFmtId="0" fontId="10" fillId="0" borderId="82" xfId="0" applyFont="1" applyBorder="1" applyAlignment="1">
      <alignment horizontal="center" vertical="center"/>
    </xf>
    <xf numFmtId="0" fontId="19" fillId="0" borderId="0" xfId="0" applyFont="1" applyAlignment="1">
      <alignment horizontal="left" vertical="center"/>
    </xf>
    <xf numFmtId="0" fontId="19" fillId="0" borderId="0" xfId="0" applyFont="1"/>
    <xf numFmtId="0" fontId="19" fillId="0" borderId="0" xfId="0" applyFont="1" applyAlignment="1">
      <alignment vertical="center"/>
    </xf>
    <xf numFmtId="0" fontId="8" fillId="2" borderId="0" xfId="0" applyFont="1" applyFill="1"/>
    <xf numFmtId="0" fontId="15" fillId="0" borderId="0" xfId="0" applyFont="1" applyAlignment="1">
      <alignment horizontal="center"/>
    </xf>
    <xf numFmtId="0" fontId="8" fillId="0" borderId="0" xfId="0" applyFont="1" applyAlignment="1">
      <alignment vertical="center"/>
    </xf>
    <xf numFmtId="0" fontId="16" fillId="0" borderId="7" xfId="0" applyFont="1" applyBorder="1" applyAlignment="1">
      <alignment wrapText="1"/>
    </xf>
    <xf numFmtId="0" fontId="15" fillId="6" borderId="83" xfId="0" applyFont="1" applyFill="1" applyBorder="1" applyAlignment="1">
      <alignment horizontal="center" vertical="center"/>
    </xf>
    <xf numFmtId="0" fontId="15" fillId="6" borderId="84" xfId="0" applyFont="1" applyFill="1" applyBorder="1" applyAlignment="1">
      <alignment horizontal="center" vertical="center"/>
    </xf>
    <xf numFmtId="0" fontId="17" fillId="0" borderId="85" xfId="0" applyFont="1" applyBorder="1" applyAlignment="1">
      <alignment wrapText="1"/>
    </xf>
    <xf numFmtId="0" fontId="16" fillId="6" borderId="86" xfId="0" applyFont="1" applyFill="1" applyBorder="1" applyAlignment="1">
      <alignment vertical="center"/>
    </xf>
    <xf numFmtId="0" fontId="15" fillId="6" borderId="38" xfId="0" applyFont="1" applyFill="1" applyBorder="1" applyAlignment="1">
      <alignment horizontal="center" vertical="center"/>
    </xf>
    <xf numFmtId="0" fontId="15" fillId="6" borderId="10" xfId="0" applyFont="1" applyFill="1" applyBorder="1" applyAlignment="1">
      <alignment horizontal="center" vertical="center"/>
    </xf>
    <xf numFmtId="0" fontId="16" fillId="2" borderId="0" xfId="0" applyFont="1" applyFill="1" applyAlignment="1">
      <alignment wrapText="1"/>
    </xf>
    <xf numFmtId="0" fontId="16" fillId="6" borderId="11" xfId="0" applyFont="1" applyFill="1" applyBorder="1" applyAlignment="1">
      <alignment vertical="center"/>
    </xf>
    <xf numFmtId="0" fontId="16" fillId="6" borderId="35" xfId="0" applyFont="1" applyFill="1" applyBorder="1" applyAlignment="1">
      <alignment vertical="center"/>
    </xf>
    <xf numFmtId="0" fontId="12" fillId="6" borderId="48" xfId="0" applyFont="1" applyFill="1" applyBorder="1" applyAlignment="1">
      <alignment horizontal="center" vertical="center"/>
    </xf>
    <xf numFmtId="0" fontId="12" fillId="6" borderId="47" xfId="0" applyFont="1" applyFill="1" applyBorder="1" applyAlignment="1">
      <alignment vertical="center"/>
    </xf>
    <xf numFmtId="0" fontId="12" fillId="6" borderId="85" xfId="0" applyFont="1" applyFill="1" applyBorder="1" applyAlignment="1">
      <alignment vertical="center"/>
    </xf>
    <xf numFmtId="0" fontId="12" fillId="6" borderId="87" xfId="0" applyFont="1" applyFill="1" applyBorder="1" applyAlignment="1">
      <alignment horizontal="center" vertical="center"/>
    </xf>
    <xf numFmtId="0" fontId="9" fillId="0" borderId="80" xfId="0" applyFont="1" applyBorder="1" applyAlignment="1">
      <alignment wrapText="1"/>
    </xf>
    <xf numFmtId="0" fontId="12" fillId="6" borderId="88" xfId="0" applyFont="1" applyFill="1" applyBorder="1" applyAlignment="1">
      <alignment vertical="center"/>
    </xf>
    <xf numFmtId="0" fontId="15" fillId="6" borderId="49" xfId="0" applyFont="1" applyFill="1" applyBorder="1" applyAlignment="1">
      <alignment horizontal="center" vertical="center"/>
    </xf>
    <xf numFmtId="0" fontId="15" fillId="6" borderId="89" xfId="0" applyFont="1" applyFill="1" applyBorder="1" applyAlignment="1">
      <alignment horizontal="center" vertical="center"/>
    </xf>
    <xf numFmtId="0" fontId="12" fillId="0" borderId="43" xfId="0" applyFont="1" applyBorder="1" applyAlignment="1" applyProtection="1">
      <alignment horizontal="center" vertical="center"/>
      <protection locked="0"/>
    </xf>
    <xf numFmtId="0" fontId="12" fillId="0" borderId="76" xfId="0" applyFont="1" applyBorder="1" applyAlignment="1">
      <alignment wrapText="1"/>
    </xf>
    <xf numFmtId="0" fontId="12" fillId="6" borderId="51" xfId="0" applyFont="1" applyFill="1" applyBorder="1" applyAlignment="1">
      <alignment horizontal="center" vertical="center"/>
    </xf>
    <xf numFmtId="0" fontId="12" fillId="6" borderId="32" xfId="0" applyFont="1" applyFill="1" applyBorder="1" applyAlignment="1">
      <alignment horizontal="center" vertical="center"/>
    </xf>
    <xf numFmtId="0" fontId="12" fillId="0" borderId="21" xfId="0" applyFont="1" applyBorder="1" applyAlignment="1" applyProtection="1">
      <alignment horizontal="center" vertical="center"/>
      <protection locked="0"/>
    </xf>
    <xf numFmtId="0" fontId="9" fillId="0" borderId="90" xfId="0" applyFont="1" applyBorder="1" applyAlignment="1">
      <alignment wrapText="1"/>
    </xf>
    <xf numFmtId="0" fontId="12" fillId="6" borderId="91" xfId="0" applyFont="1" applyFill="1" applyBorder="1" applyAlignment="1">
      <alignment vertical="center"/>
    </xf>
    <xf numFmtId="0" fontId="12" fillId="6" borderId="92" xfId="0" applyFont="1" applyFill="1" applyBorder="1" applyAlignment="1">
      <alignment horizontal="center" vertical="center"/>
    </xf>
    <xf numFmtId="0" fontId="12" fillId="6" borderId="93" xfId="0" applyFont="1" applyFill="1" applyBorder="1" applyAlignment="1">
      <alignment horizontal="center" vertical="center"/>
    </xf>
    <xf numFmtId="0" fontId="12" fillId="0" borderId="47" xfId="0" applyFont="1" applyBorder="1" applyAlignment="1">
      <alignment wrapText="1"/>
    </xf>
    <xf numFmtId="0" fontId="9" fillId="6" borderId="51" xfId="0" applyFont="1" applyFill="1" applyBorder="1" applyAlignment="1">
      <alignment horizontal="center" vertical="center"/>
    </xf>
    <xf numFmtId="0" fontId="9" fillId="6" borderId="32" xfId="0" applyFont="1" applyFill="1" applyBorder="1" applyAlignment="1">
      <alignment horizontal="center" vertical="center"/>
    </xf>
    <xf numFmtId="0" fontId="12" fillId="3" borderId="21" xfId="0" applyFont="1" applyFill="1" applyBorder="1" applyAlignment="1">
      <alignment horizontal="center" vertical="center"/>
    </xf>
    <xf numFmtId="0" fontId="12" fillId="0" borderId="91" xfId="0" applyFont="1" applyBorder="1" applyAlignment="1">
      <alignment wrapText="1"/>
    </xf>
    <xf numFmtId="0" fontId="9" fillId="6" borderId="92" xfId="0" applyFont="1" applyFill="1" applyBorder="1" applyAlignment="1">
      <alignment horizontal="center" vertical="center"/>
    </xf>
    <xf numFmtId="0" fontId="9" fillId="6" borderId="93" xfId="0" applyFont="1" applyFill="1" applyBorder="1" applyAlignment="1">
      <alignment horizontal="center" vertical="center"/>
    </xf>
    <xf numFmtId="0" fontId="12" fillId="6" borderId="94"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95" xfId="0" applyFont="1" applyFill="1" applyBorder="1" applyAlignment="1">
      <alignment horizontal="center" vertical="center"/>
    </xf>
    <xf numFmtId="0" fontId="12" fillId="6" borderId="25" xfId="0" applyFont="1" applyFill="1" applyBorder="1" applyAlignment="1">
      <alignment horizontal="center" vertical="center"/>
    </xf>
    <xf numFmtId="0" fontId="9" fillId="3" borderId="80" xfId="0" applyFont="1" applyFill="1" applyBorder="1" applyAlignment="1">
      <alignment wrapText="1"/>
    </xf>
    <xf numFmtId="0" fontId="12" fillId="6" borderId="80" xfId="0" applyFont="1" applyFill="1" applyBorder="1" applyAlignment="1">
      <alignment vertical="center"/>
    </xf>
    <xf numFmtId="0" fontId="20" fillId="3" borderId="94" xfId="0" applyFont="1" applyFill="1" applyBorder="1" applyAlignment="1">
      <alignment horizontal="center" vertical="center"/>
    </xf>
    <xf numFmtId="0" fontId="20" fillId="3" borderId="43" xfId="0" applyFont="1" applyFill="1" applyBorder="1" applyAlignment="1">
      <alignment horizontal="center" vertical="center"/>
    </xf>
    <xf numFmtId="0" fontId="9" fillId="3" borderId="76" xfId="0" applyFont="1" applyFill="1" applyBorder="1" applyAlignment="1">
      <alignment wrapText="1"/>
    </xf>
    <xf numFmtId="0" fontId="20" fillId="3" borderId="96" xfId="0" applyFont="1" applyFill="1" applyBorder="1" applyAlignment="1">
      <alignment horizontal="center" vertical="center"/>
    </xf>
    <xf numFmtId="0" fontId="20" fillId="3" borderId="21" xfId="0" applyFont="1" applyFill="1" applyBorder="1" applyAlignment="1">
      <alignment horizontal="center" vertical="center"/>
    </xf>
    <xf numFmtId="0" fontId="9" fillId="3" borderId="79" xfId="0" applyFont="1" applyFill="1" applyBorder="1" applyAlignment="1">
      <alignment wrapText="1"/>
    </xf>
    <xf numFmtId="0" fontId="20" fillId="3" borderId="95" xfId="0" applyFont="1" applyFill="1" applyBorder="1" applyAlignment="1">
      <alignment horizontal="center" vertical="center"/>
    </xf>
    <xf numFmtId="0" fontId="20" fillId="3" borderId="25" xfId="0" applyFont="1" applyFill="1" applyBorder="1" applyAlignment="1">
      <alignment horizontal="center" vertical="center"/>
    </xf>
    <xf numFmtId="0" fontId="12" fillId="0" borderId="7" xfId="0" applyFont="1" applyBorder="1" applyAlignment="1">
      <alignment horizontal="left" vertical="center" wrapText="1"/>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9" fillId="0" borderId="74" xfId="0" applyFont="1" applyBorder="1" applyAlignment="1">
      <alignment wrapText="1"/>
    </xf>
    <xf numFmtId="0" fontId="12" fillId="6" borderId="75" xfId="0" applyFont="1" applyFill="1" applyBorder="1" applyAlignment="1">
      <alignment vertical="center"/>
    </xf>
    <xf numFmtId="0" fontId="12" fillId="0" borderId="99" xfId="0" applyFont="1" applyBorder="1" applyAlignment="1">
      <alignment wrapText="1"/>
    </xf>
    <xf numFmtId="0" fontId="12" fillId="2" borderId="11" xfId="0" applyFont="1" applyFill="1" applyBorder="1" applyAlignment="1">
      <alignment horizontal="left" vertical="center" wrapText="1"/>
    </xf>
    <xf numFmtId="49" fontId="9" fillId="2" borderId="100" xfId="0" applyNumberFormat="1" applyFont="1" applyFill="1" applyBorder="1" applyAlignment="1">
      <alignment wrapText="1"/>
    </xf>
    <xf numFmtId="0" fontId="12" fillId="6" borderId="11" xfId="0" applyFont="1" applyFill="1" applyBorder="1" applyAlignment="1">
      <alignment vertical="center"/>
    </xf>
    <xf numFmtId="0" fontId="12" fillId="6" borderId="101" xfId="0" applyFont="1" applyFill="1" applyBorder="1" applyAlignment="1">
      <alignment horizontal="center" vertical="center"/>
    </xf>
    <xf numFmtId="0" fontId="12" fillId="6" borderId="84" xfId="0" applyFont="1" applyFill="1" applyBorder="1" applyAlignment="1">
      <alignment horizontal="center" vertical="center"/>
    </xf>
    <xf numFmtId="0" fontId="12" fillId="0" borderId="74" xfId="0" applyFont="1" applyBorder="1" applyAlignment="1">
      <alignment wrapText="1"/>
    </xf>
    <xf numFmtId="0" fontId="12" fillId="2" borderId="35" xfId="0" applyFont="1" applyFill="1" applyBorder="1" applyAlignment="1">
      <alignment horizontal="left" vertical="center" wrapText="1"/>
    </xf>
    <xf numFmtId="0" fontId="12" fillId="6" borderId="102" xfId="0" applyFont="1" applyFill="1" applyBorder="1" applyAlignment="1">
      <alignment horizontal="center" vertical="center"/>
    </xf>
    <xf numFmtId="0" fontId="12" fillId="0" borderId="7" xfId="0" applyFont="1" applyBorder="1" applyAlignment="1">
      <alignment wrapText="1"/>
    </xf>
    <xf numFmtId="0" fontId="12" fillId="6" borderId="49" xfId="0" applyFont="1" applyFill="1" applyBorder="1" applyAlignment="1">
      <alignment horizontal="center" vertical="center"/>
    </xf>
    <xf numFmtId="0" fontId="12" fillId="6" borderId="103" xfId="0" applyFont="1" applyFill="1" applyBorder="1" applyAlignment="1">
      <alignment horizontal="center" vertical="center"/>
    </xf>
    <xf numFmtId="0" fontId="9" fillId="2" borderId="35" xfId="0" applyFont="1" applyFill="1" applyBorder="1" applyAlignment="1">
      <alignment horizontal="left" vertical="center" wrapText="1"/>
    </xf>
    <xf numFmtId="0" fontId="12" fillId="0" borderId="9" xfId="0" applyFont="1" applyBorder="1" applyAlignment="1">
      <alignment wrapText="1"/>
    </xf>
    <xf numFmtId="0" fontId="12" fillId="6" borderId="35" xfId="0" applyFont="1" applyFill="1" applyBorder="1" applyAlignment="1">
      <alignment vertical="center"/>
    </xf>
    <xf numFmtId="0" fontId="12" fillId="6" borderId="59" xfId="0" applyFont="1" applyFill="1" applyBorder="1" applyAlignment="1">
      <alignment horizontal="center" vertical="center"/>
    </xf>
    <xf numFmtId="0" fontId="12" fillId="6" borderId="104" xfId="0" applyFont="1" applyFill="1" applyBorder="1" applyAlignment="1">
      <alignment horizontal="center" vertical="center"/>
    </xf>
    <xf numFmtId="0" fontId="14" fillId="0" borderId="10" xfId="0" applyFont="1" applyBorder="1" applyAlignment="1" applyProtection="1">
      <alignment horizontal="center" vertical="center"/>
      <protection locked="0"/>
    </xf>
    <xf numFmtId="0" fontId="12" fillId="6" borderId="105" xfId="0" applyFont="1" applyFill="1" applyBorder="1" applyAlignment="1">
      <alignment horizontal="center" vertical="center"/>
    </xf>
    <xf numFmtId="0" fontId="12" fillId="3" borderId="19" xfId="0" applyFont="1" applyFill="1" applyBorder="1" applyAlignment="1">
      <alignment horizontal="center" vertical="center"/>
    </xf>
    <xf numFmtId="0" fontId="12" fillId="6" borderId="106" xfId="0" applyFont="1" applyFill="1" applyBorder="1" applyAlignment="1">
      <alignment horizontal="center" vertical="center"/>
    </xf>
    <xf numFmtId="0" fontId="12" fillId="0" borderId="87" xfId="0" applyFont="1" applyBorder="1" applyAlignment="1" applyProtection="1">
      <alignment horizontal="center" vertical="center"/>
      <protection locked="0"/>
    </xf>
    <xf numFmtId="0" fontId="12" fillId="0" borderId="40" xfId="0" applyFont="1" applyBorder="1" applyAlignment="1" applyProtection="1">
      <alignment horizontal="center" vertical="center"/>
      <protection locked="0"/>
    </xf>
    <xf numFmtId="49" fontId="13" fillId="6" borderId="108" xfId="2" applyNumberFormat="1" applyFont="1" applyFill="1" applyBorder="1" applyAlignment="1">
      <alignment horizontal="center" vertical="center"/>
    </xf>
    <xf numFmtId="1" fontId="9" fillId="3" borderId="84" xfId="0" applyNumberFormat="1" applyFont="1" applyFill="1" applyBorder="1" applyAlignment="1">
      <alignment horizontal="center" vertical="center"/>
    </xf>
    <xf numFmtId="1" fontId="9" fillId="3" borderId="6" xfId="0" applyNumberFormat="1" applyFont="1" applyFill="1" applyBorder="1" applyAlignment="1">
      <alignment horizontal="center" vertical="center"/>
    </xf>
    <xf numFmtId="0" fontId="12" fillId="0" borderId="103" xfId="0" applyFont="1" applyBorder="1" applyAlignment="1" applyProtection="1">
      <alignment horizontal="center" vertical="center"/>
      <protection locked="0"/>
    </xf>
    <xf numFmtId="0" fontId="12" fillId="0" borderId="104" xfId="0" applyFont="1" applyBorder="1" applyAlignment="1" applyProtection="1">
      <alignment horizontal="center" vertical="center"/>
      <protection locked="0"/>
    </xf>
    <xf numFmtId="0" fontId="12" fillId="7" borderId="14" xfId="0" applyFont="1" applyFill="1" applyBorder="1" applyAlignment="1">
      <alignment horizontal="center" vertical="center"/>
    </xf>
    <xf numFmtId="0" fontId="9" fillId="3" borderId="92" xfId="0" applyFont="1" applyFill="1" applyBorder="1" applyAlignment="1">
      <alignment horizontal="center" vertical="center"/>
    </xf>
    <xf numFmtId="0" fontId="9" fillId="3" borderId="109" xfId="0" applyFont="1" applyFill="1" applyBorder="1" applyAlignment="1">
      <alignment horizontal="center" vertical="center"/>
    </xf>
    <xf numFmtId="0" fontId="12" fillId="0" borderId="67" xfId="0" applyFont="1" applyBorder="1" applyAlignment="1" applyProtection="1">
      <alignment horizontal="center" vertical="center"/>
      <protection locked="0"/>
    </xf>
    <xf numFmtId="0" fontId="9" fillId="3" borderId="20" xfId="0" applyFont="1" applyFill="1" applyBorder="1" applyAlignment="1">
      <alignment horizontal="center" vertical="center"/>
    </xf>
    <xf numFmtId="0" fontId="9" fillId="3" borderId="54" xfId="0" applyFont="1" applyFill="1" applyBorder="1" applyAlignment="1">
      <alignment horizontal="center" vertical="center"/>
    </xf>
    <xf numFmtId="0" fontId="12" fillId="0" borderId="94" xfId="0" applyFont="1" applyBorder="1" applyAlignment="1" applyProtection="1">
      <alignment horizontal="center" vertical="center"/>
      <protection locked="0"/>
    </xf>
    <xf numFmtId="0" fontId="9" fillId="3" borderId="22" xfId="0" applyFont="1" applyFill="1" applyBorder="1" applyAlignment="1">
      <alignment horizontal="center" vertical="center"/>
    </xf>
    <xf numFmtId="0" fontId="9" fillId="3" borderId="55" xfId="0" applyFont="1" applyFill="1" applyBorder="1" applyAlignment="1">
      <alignment horizontal="center" vertical="center"/>
    </xf>
    <xf numFmtId="0" fontId="9" fillId="3" borderId="94" xfId="0" applyFont="1" applyFill="1" applyBorder="1" applyAlignment="1">
      <alignment horizontal="center" vertical="center"/>
    </xf>
    <xf numFmtId="0" fontId="9" fillId="3" borderId="67" xfId="0" applyFont="1" applyFill="1" applyBorder="1" applyAlignment="1">
      <alignment horizontal="center" vertical="center"/>
    </xf>
    <xf numFmtId="0" fontId="12" fillId="0" borderId="69" xfId="0" applyFont="1" applyBorder="1" applyAlignment="1" applyProtection="1">
      <alignment horizontal="center" vertical="center"/>
      <protection locked="0"/>
    </xf>
    <xf numFmtId="0" fontId="9" fillId="3" borderId="96" xfId="0" applyFont="1" applyFill="1" applyBorder="1" applyAlignment="1">
      <alignment horizontal="center" vertical="center"/>
    </xf>
    <xf numFmtId="0" fontId="9" fillId="3" borderId="69" xfId="0" applyFont="1" applyFill="1" applyBorder="1" applyAlignment="1">
      <alignment horizontal="center" vertical="center"/>
    </xf>
    <xf numFmtId="0" fontId="12" fillId="0" borderId="96" xfId="0" applyFont="1" applyBorder="1" applyAlignment="1" applyProtection="1">
      <alignment horizontal="center" vertical="center"/>
      <protection locked="0"/>
    </xf>
    <xf numFmtId="0" fontId="12" fillId="3" borderId="110" xfId="0" applyFont="1" applyFill="1" applyBorder="1" applyAlignment="1">
      <alignment horizontal="center" vertical="center"/>
    </xf>
    <xf numFmtId="0" fontId="9" fillId="0" borderId="111" xfId="0" applyFont="1" applyBorder="1" applyAlignment="1" applyProtection="1">
      <alignment horizontal="center" vertical="center"/>
      <protection locked="0"/>
    </xf>
    <xf numFmtId="0" fontId="9" fillId="3" borderId="112" xfId="0" applyFont="1" applyFill="1" applyBorder="1" applyAlignment="1">
      <alignment horizontal="center" vertical="center"/>
    </xf>
    <xf numFmtId="0" fontId="9" fillId="3" borderId="111" xfId="0" applyFont="1" applyFill="1" applyBorder="1" applyAlignment="1">
      <alignment horizontal="center" vertical="center"/>
    </xf>
    <xf numFmtId="0" fontId="9" fillId="0" borderId="113" xfId="0" applyFont="1" applyBorder="1" applyAlignment="1" applyProtection="1">
      <alignment horizontal="center" vertical="center"/>
      <protection locked="0"/>
    </xf>
    <xf numFmtId="0" fontId="9" fillId="0" borderId="114" xfId="0" applyFont="1" applyBorder="1" applyAlignment="1" applyProtection="1">
      <alignment horizontal="center" vertical="center"/>
      <protection locked="0"/>
    </xf>
    <xf numFmtId="0" fontId="20" fillId="3" borderId="67" xfId="0" applyFont="1" applyFill="1" applyBorder="1" applyAlignment="1">
      <alignment horizontal="center" vertical="center"/>
    </xf>
    <xf numFmtId="0" fontId="20" fillId="3" borderId="69" xfId="0" applyFont="1" applyFill="1" applyBorder="1" applyAlignment="1">
      <alignment horizontal="center" vertical="center"/>
    </xf>
    <xf numFmtId="0" fontId="20" fillId="3" borderId="70" xfId="0" applyFont="1" applyFill="1" applyBorder="1" applyAlignment="1">
      <alignment horizontal="center" vertical="center"/>
    </xf>
    <xf numFmtId="0" fontId="12" fillId="6" borderId="115" xfId="0" applyFont="1" applyFill="1" applyBorder="1" applyAlignment="1">
      <alignment horizontal="center" vertical="center"/>
    </xf>
    <xf numFmtId="0" fontId="12" fillId="6" borderId="0" xfId="0" applyFont="1" applyFill="1" applyAlignment="1">
      <alignment horizontal="center" vertical="center"/>
    </xf>
    <xf numFmtId="0" fontId="14" fillId="0" borderId="45" xfId="0" applyFont="1" applyBorder="1" applyAlignment="1" applyProtection="1">
      <alignment horizontal="center" vertical="center"/>
      <protection locked="0"/>
    </xf>
    <xf numFmtId="49" fontId="13" fillId="6" borderId="115" xfId="2" applyNumberFormat="1" applyFont="1" applyFill="1" applyBorder="1" applyAlignment="1">
      <alignment horizontal="center" vertical="center"/>
    </xf>
    <xf numFmtId="49" fontId="13" fillId="6" borderId="0" xfId="2" applyNumberFormat="1" applyFont="1" applyFill="1" applyBorder="1" applyAlignment="1">
      <alignment horizontal="center" vertical="center"/>
    </xf>
    <xf numFmtId="0" fontId="12" fillId="6" borderId="116" xfId="0" applyFont="1" applyFill="1" applyBorder="1" applyAlignment="1">
      <alignment horizontal="center" vertical="center"/>
    </xf>
    <xf numFmtId="0" fontId="12" fillId="6" borderId="100" xfId="0" applyFont="1" applyFill="1" applyBorder="1" applyAlignment="1">
      <alignment horizontal="center" vertical="center"/>
    </xf>
    <xf numFmtId="0" fontId="12" fillId="3" borderId="44" xfId="0" applyFont="1" applyFill="1" applyBorder="1" applyAlignment="1">
      <alignment horizontal="center" vertical="center"/>
    </xf>
    <xf numFmtId="0" fontId="12" fillId="0" borderId="102" xfId="0" applyFont="1" applyBorder="1" applyAlignment="1" applyProtection="1">
      <alignment horizontal="center" vertical="center"/>
      <protection locked="0"/>
    </xf>
    <xf numFmtId="49" fontId="13" fillId="6" borderId="45" xfId="2" applyNumberFormat="1" applyFont="1" applyFill="1" applyBorder="1" applyAlignment="1">
      <alignment horizontal="center" vertical="center"/>
    </xf>
    <xf numFmtId="49" fontId="13" fillId="6" borderId="117" xfId="2" applyNumberFormat="1" applyFont="1" applyFill="1" applyBorder="1" applyAlignment="1">
      <alignment horizontal="center" vertical="center"/>
    </xf>
    <xf numFmtId="49" fontId="13" fillId="6" borderId="118" xfId="2" applyNumberFormat="1" applyFont="1" applyFill="1" applyBorder="1" applyAlignment="1">
      <alignment horizontal="center" vertical="center"/>
    </xf>
    <xf numFmtId="0" fontId="12" fillId="0" borderId="105" xfId="0" applyFont="1" applyBorder="1" applyAlignment="1" applyProtection="1">
      <alignment horizontal="center" vertical="center"/>
      <protection locked="0"/>
    </xf>
    <xf numFmtId="0" fontId="12" fillId="0" borderId="53" xfId="0" applyFont="1" applyBorder="1" applyAlignment="1" applyProtection="1">
      <alignment horizontal="center" vertical="center"/>
      <protection locked="0"/>
    </xf>
    <xf numFmtId="0" fontId="12" fillId="7" borderId="42" xfId="0" applyFont="1" applyFill="1" applyBorder="1" applyAlignment="1">
      <alignment horizontal="center" vertical="center"/>
    </xf>
    <xf numFmtId="0" fontId="9" fillId="3" borderId="80" xfId="0" applyFont="1" applyFill="1" applyBorder="1" applyAlignment="1">
      <alignment horizontal="center" vertical="center"/>
    </xf>
    <xf numFmtId="0" fontId="9" fillId="3" borderId="76" xfId="0" applyFont="1" applyFill="1" applyBorder="1" applyAlignment="1">
      <alignment horizontal="center" vertical="center"/>
    </xf>
    <xf numFmtId="0" fontId="10" fillId="3" borderId="73" xfId="0" applyFont="1" applyFill="1" applyBorder="1" applyAlignment="1">
      <alignment horizontal="center" vertical="center"/>
    </xf>
    <xf numFmtId="0" fontId="9" fillId="0" borderId="120" xfId="0" applyFont="1" applyBorder="1" applyAlignment="1" applyProtection="1">
      <alignment horizontal="center" vertical="center"/>
      <protection locked="0"/>
    </xf>
    <xf numFmtId="0" fontId="10" fillId="3" borderId="90" xfId="0" applyFont="1" applyFill="1" applyBorder="1" applyAlignment="1">
      <alignment horizontal="center" vertical="center"/>
    </xf>
    <xf numFmtId="0" fontId="10" fillId="3" borderId="121" xfId="0" applyFont="1" applyFill="1" applyBorder="1" applyAlignment="1">
      <alignment horizontal="center" vertical="center"/>
    </xf>
    <xf numFmtId="0" fontId="10" fillId="3" borderId="122" xfId="0" applyFont="1" applyFill="1" applyBorder="1" applyAlignment="1">
      <alignment horizontal="center" vertical="center"/>
    </xf>
    <xf numFmtId="0" fontId="10" fillId="3" borderId="7" xfId="0" applyFont="1" applyFill="1" applyBorder="1" applyAlignment="1">
      <alignment horizontal="center" vertical="center"/>
    </xf>
    <xf numFmtId="0" fontId="9" fillId="5" borderId="123" xfId="0" applyFont="1" applyFill="1" applyBorder="1" applyAlignment="1">
      <alignment vertical="top"/>
    </xf>
    <xf numFmtId="0" fontId="9" fillId="7" borderId="16" xfId="0" applyFont="1" applyFill="1" applyBorder="1" applyAlignment="1">
      <alignment horizontal="left" vertical="top" wrapText="1"/>
    </xf>
    <xf numFmtId="0" fontId="9" fillId="7" borderId="99" xfId="0" applyFont="1" applyFill="1" applyBorder="1" applyAlignment="1">
      <alignment horizontal="left" vertical="top"/>
    </xf>
    <xf numFmtId="0" fontId="9" fillId="5" borderId="0" xfId="0" applyFont="1" applyFill="1" applyAlignment="1">
      <alignment vertical="top"/>
    </xf>
    <xf numFmtId="0" fontId="9" fillId="7" borderId="0" xfId="0" applyFont="1" applyFill="1" applyAlignment="1">
      <alignment horizontal="left" vertical="top"/>
    </xf>
    <xf numFmtId="0" fontId="12" fillId="6" borderId="120" xfId="0" applyFont="1" applyFill="1" applyBorder="1" applyAlignment="1">
      <alignment horizontal="center" vertical="center"/>
    </xf>
    <xf numFmtId="0" fontId="9" fillId="3" borderId="29" xfId="0" applyFont="1" applyFill="1" applyBorder="1" applyAlignment="1">
      <alignment horizontal="center" vertical="center"/>
    </xf>
    <xf numFmtId="0" fontId="10" fillId="3" borderId="74" xfId="0" applyFont="1" applyFill="1" applyBorder="1" applyAlignment="1">
      <alignment horizontal="center" vertical="center"/>
    </xf>
    <xf numFmtId="49" fontId="13" fillId="6" borderId="120" xfId="2" applyNumberFormat="1" applyFont="1" applyFill="1" applyBorder="1" applyAlignment="1">
      <alignment horizontal="center" vertical="center"/>
    </xf>
    <xf numFmtId="0" fontId="12" fillId="6" borderId="126" xfId="0" applyFont="1" applyFill="1" applyBorder="1" applyAlignment="1">
      <alignment horizontal="center" vertical="center"/>
    </xf>
    <xf numFmtId="0" fontId="9" fillId="3" borderId="129" xfId="0" applyFont="1" applyFill="1" applyBorder="1" applyAlignment="1">
      <alignment horizontal="center" vertical="center"/>
    </xf>
    <xf numFmtId="0" fontId="12" fillId="5" borderId="16" xfId="0" applyFont="1" applyFill="1" applyBorder="1" applyAlignment="1">
      <alignment horizontal="left" vertical="top"/>
    </xf>
    <xf numFmtId="0" fontId="9" fillId="3" borderId="57" xfId="0" applyFont="1" applyFill="1" applyBorder="1" applyAlignment="1">
      <alignment horizontal="center" vertical="center"/>
    </xf>
    <xf numFmtId="0" fontId="12" fillId="5" borderId="99" xfId="0" applyFont="1" applyFill="1" applyBorder="1" applyAlignment="1">
      <alignment horizontal="left" vertical="top"/>
    </xf>
    <xf numFmtId="0" fontId="12" fillId="7" borderId="99" xfId="0" applyFont="1" applyFill="1" applyBorder="1" applyAlignment="1">
      <alignment horizontal="left" vertical="top" wrapText="1"/>
    </xf>
    <xf numFmtId="49" fontId="13" fillId="6" borderId="131" xfId="2" applyNumberFormat="1" applyFont="1" applyFill="1" applyBorder="1" applyAlignment="1">
      <alignment horizontal="center" vertical="center"/>
    </xf>
    <xf numFmtId="0" fontId="9" fillId="3" borderId="132" xfId="0" applyFont="1" applyFill="1" applyBorder="1" applyAlignment="1">
      <alignment horizontal="center" vertical="center"/>
    </xf>
    <xf numFmtId="0" fontId="9" fillId="3" borderId="119" xfId="0" applyFont="1" applyFill="1" applyBorder="1" applyAlignment="1">
      <alignment horizontal="center" vertical="center"/>
    </xf>
    <xf numFmtId="0" fontId="9" fillId="3" borderId="133" xfId="0" applyFont="1" applyFill="1" applyBorder="1" applyAlignment="1">
      <alignment horizontal="center" vertical="center"/>
    </xf>
    <xf numFmtId="0" fontId="12" fillId="5" borderId="16" xfId="0" applyFont="1" applyFill="1" applyBorder="1" applyAlignment="1">
      <alignment vertical="top"/>
    </xf>
    <xf numFmtId="0" fontId="15" fillId="0" borderId="115" xfId="0" applyFont="1" applyBorder="1" applyAlignment="1">
      <alignment horizontal="center"/>
    </xf>
    <xf numFmtId="0" fontId="12" fillId="0" borderId="15" xfId="0" applyFont="1" applyBorder="1" applyAlignment="1">
      <alignment wrapText="1"/>
    </xf>
    <xf numFmtId="0" fontId="12" fillId="6" borderId="134" xfId="0" applyFont="1" applyFill="1" applyBorder="1" applyAlignment="1">
      <alignment horizontal="center" vertical="center"/>
    </xf>
    <xf numFmtId="0" fontId="12" fillId="6" borderId="135" xfId="0" applyFont="1" applyFill="1" applyBorder="1" applyAlignment="1">
      <alignment horizontal="center" vertical="center"/>
    </xf>
    <xf numFmtId="0" fontId="12" fillId="6" borderId="1" xfId="0" applyFont="1" applyFill="1" applyBorder="1" applyAlignment="1">
      <alignment vertical="center"/>
    </xf>
    <xf numFmtId="0" fontId="12" fillId="6" borderId="6" xfId="0" applyFont="1" applyFill="1" applyBorder="1" applyAlignment="1">
      <alignment horizontal="center" vertical="center"/>
    </xf>
    <xf numFmtId="0" fontId="12" fillId="0" borderId="30" xfId="0" applyFont="1" applyBorder="1" applyAlignment="1">
      <alignment wrapText="1"/>
    </xf>
    <xf numFmtId="0" fontId="12" fillId="0" borderId="128" xfId="0" applyFont="1" applyBorder="1" applyAlignment="1">
      <alignment wrapText="1"/>
    </xf>
    <xf numFmtId="0" fontId="12" fillId="6" borderId="108" xfId="0" applyFont="1" applyFill="1" applyBorder="1" applyAlignment="1">
      <alignment horizontal="center" vertical="center"/>
    </xf>
    <xf numFmtId="0" fontId="12" fillId="0" borderId="118" xfId="0" applyFont="1" applyBorder="1" applyAlignment="1">
      <alignment wrapText="1"/>
    </xf>
    <xf numFmtId="0" fontId="12" fillId="6" borderId="137" xfId="0" applyFont="1" applyFill="1" applyBorder="1" applyAlignment="1">
      <alignment horizontal="center" vertical="center"/>
    </xf>
    <xf numFmtId="0" fontId="12" fillId="6" borderId="98" xfId="0" applyFont="1" applyFill="1" applyBorder="1" applyAlignment="1">
      <alignment horizontal="center" vertical="center"/>
    </xf>
    <xf numFmtId="0" fontId="12" fillId="0" borderId="138" xfId="0" applyFont="1" applyBorder="1" applyAlignment="1">
      <alignment wrapText="1"/>
    </xf>
    <xf numFmtId="0" fontId="12" fillId="6" borderId="139" xfId="0" applyFont="1" applyFill="1" applyBorder="1" applyAlignment="1">
      <alignment vertical="center"/>
    </xf>
    <xf numFmtId="0" fontId="12" fillId="6" borderId="140" xfId="0" applyFont="1" applyFill="1" applyBorder="1" applyAlignment="1">
      <alignment horizontal="center" vertical="center"/>
    </xf>
    <xf numFmtId="0" fontId="12" fillId="6" borderId="141" xfId="0" applyFont="1" applyFill="1" applyBorder="1" applyAlignment="1">
      <alignment horizontal="center" vertical="center"/>
    </xf>
    <xf numFmtId="0" fontId="12" fillId="6" borderId="142" xfId="0" applyFont="1" applyFill="1" applyBorder="1" applyAlignment="1">
      <alignment vertical="center"/>
    </xf>
    <xf numFmtId="0" fontId="12" fillId="6" borderId="143" xfId="0" applyFont="1" applyFill="1" applyBorder="1" applyAlignment="1">
      <alignment horizontal="center" vertical="center"/>
    </xf>
    <xf numFmtId="0" fontId="12" fillId="6" borderId="144" xfId="0" applyFont="1" applyFill="1" applyBorder="1" applyAlignment="1">
      <alignment horizontal="center" vertical="center"/>
    </xf>
    <xf numFmtId="0" fontId="12" fillId="6" borderId="145" xfId="0" applyFont="1" applyFill="1" applyBorder="1" applyAlignment="1">
      <alignment horizontal="center" vertical="center"/>
    </xf>
    <xf numFmtId="0" fontId="12" fillId="0" borderId="115" xfId="0" applyFont="1" applyBorder="1" applyAlignment="1">
      <alignment wrapText="1"/>
    </xf>
    <xf numFmtId="0" fontId="12" fillId="6" borderId="146" xfId="0" applyFont="1" applyFill="1" applyBorder="1" applyAlignment="1">
      <alignment horizontal="center" vertical="center"/>
    </xf>
    <xf numFmtId="0" fontId="12" fillId="0" borderId="30" xfId="0" applyFont="1" applyBorder="1" applyAlignment="1">
      <alignment vertical="center" wrapText="1"/>
    </xf>
    <xf numFmtId="0" fontId="12" fillId="6" borderId="73" xfId="0" applyFont="1" applyFill="1" applyBorder="1" applyAlignment="1">
      <alignment vertical="center"/>
    </xf>
    <xf numFmtId="0" fontId="9" fillId="0" borderId="99" xfId="0" applyFont="1" applyBorder="1" applyAlignment="1">
      <alignment wrapText="1"/>
    </xf>
    <xf numFmtId="0" fontId="12" fillId="0" borderId="147" xfId="0" applyFont="1" applyBorder="1" applyAlignment="1">
      <alignment wrapText="1"/>
    </xf>
    <xf numFmtId="0" fontId="12" fillId="0" borderId="33" xfId="0" applyFont="1" applyBorder="1" applyAlignment="1">
      <alignment wrapText="1"/>
    </xf>
    <xf numFmtId="0" fontId="12" fillId="2" borderId="37" xfId="0" applyFont="1" applyFill="1" applyBorder="1" applyAlignment="1">
      <alignment wrapText="1"/>
    </xf>
    <xf numFmtId="49" fontId="12" fillId="3" borderId="12" xfId="0" applyNumberFormat="1" applyFont="1" applyFill="1" applyBorder="1" applyAlignment="1">
      <alignment wrapText="1"/>
    </xf>
    <xf numFmtId="0" fontId="12" fillId="6" borderId="46" xfId="0" applyFont="1" applyFill="1" applyBorder="1" applyAlignment="1">
      <alignment horizontal="center" vertical="center"/>
    </xf>
    <xf numFmtId="0" fontId="12" fillId="6" borderId="8" xfId="0" applyFont="1" applyFill="1" applyBorder="1" applyAlignment="1">
      <alignment horizontal="center" vertical="center"/>
    </xf>
    <xf numFmtId="49" fontId="12" fillId="3" borderId="74" xfId="0" applyNumberFormat="1" applyFont="1" applyFill="1" applyBorder="1" applyAlignment="1">
      <alignment wrapText="1"/>
    </xf>
    <xf numFmtId="0" fontId="12" fillId="13" borderId="29" xfId="0" applyFont="1" applyFill="1" applyBorder="1" applyAlignment="1">
      <alignment wrapText="1"/>
    </xf>
    <xf numFmtId="0" fontId="9" fillId="6" borderId="26" xfId="0" applyFont="1" applyFill="1" applyBorder="1" applyAlignment="1">
      <alignment horizontal="center" vertical="center"/>
    </xf>
    <xf numFmtId="0" fontId="9" fillId="6" borderId="19" xfId="0" applyFont="1" applyFill="1" applyBorder="1" applyAlignment="1">
      <alignment horizontal="center" vertical="center"/>
    </xf>
    <xf numFmtId="0" fontId="10" fillId="6" borderId="40" xfId="0" applyFont="1" applyFill="1" applyBorder="1" applyAlignment="1">
      <alignment horizontal="center" vertical="center"/>
    </xf>
    <xf numFmtId="0" fontId="9" fillId="0" borderId="77" xfId="0" applyFont="1" applyBorder="1" applyAlignment="1">
      <alignment wrapText="1"/>
    </xf>
    <xf numFmtId="0" fontId="10" fillId="6" borderId="10" xfId="0" applyFont="1" applyFill="1" applyBorder="1" applyAlignment="1">
      <alignment horizontal="center" vertical="center"/>
    </xf>
    <xf numFmtId="0" fontId="9" fillId="0" borderId="9" xfId="0" applyFont="1" applyBorder="1" applyAlignment="1">
      <alignment wrapText="1"/>
    </xf>
    <xf numFmtId="0" fontId="17" fillId="0" borderId="0" xfId="0" applyFont="1" applyAlignment="1">
      <alignment wrapText="1"/>
    </xf>
    <xf numFmtId="0" fontId="11" fillId="4" borderId="116" xfId="0" applyFont="1" applyFill="1" applyBorder="1" applyAlignment="1">
      <alignment horizontal="left" vertical="center"/>
    </xf>
    <xf numFmtId="0" fontId="11" fillId="4" borderId="100" xfId="0" applyFont="1" applyFill="1" applyBorder="1"/>
    <xf numFmtId="0" fontId="11" fillId="4" borderId="100" xfId="0" applyFont="1" applyFill="1" applyBorder="1" applyAlignment="1">
      <alignment horizontal="left" vertical="center"/>
    </xf>
    <xf numFmtId="0" fontId="11" fillId="4" borderId="101" xfId="0" applyFont="1" applyFill="1" applyBorder="1" applyAlignment="1">
      <alignment horizontal="left" vertical="center"/>
    </xf>
    <xf numFmtId="0" fontId="11" fillId="4" borderId="84" xfId="0" applyFont="1" applyFill="1" applyBorder="1" applyAlignment="1">
      <alignment horizontal="left" vertical="center"/>
    </xf>
    <xf numFmtId="49" fontId="13" fillId="6" borderId="87" xfId="2" applyNumberFormat="1" applyFont="1" applyFill="1" applyBorder="1" applyAlignment="1">
      <alignment horizontal="center" vertical="center"/>
    </xf>
    <xf numFmtId="0" fontId="12" fillId="6" borderId="148" xfId="0" applyFont="1" applyFill="1" applyBorder="1" applyAlignment="1">
      <alignment horizontal="center" vertical="center"/>
    </xf>
    <xf numFmtId="0" fontId="12" fillId="0" borderId="130" xfId="0" applyFont="1" applyBorder="1" applyAlignment="1">
      <alignment wrapText="1"/>
    </xf>
    <xf numFmtId="0" fontId="12" fillId="6" borderId="20" xfId="0" applyFont="1" applyFill="1" applyBorder="1" applyAlignment="1">
      <alignment horizontal="center" vertical="center"/>
    </xf>
    <xf numFmtId="0" fontId="12" fillId="6" borderId="21" xfId="0" applyFont="1" applyFill="1" applyBorder="1" applyAlignment="1">
      <alignment horizontal="center" vertical="center"/>
    </xf>
    <xf numFmtId="49" fontId="9" fillId="3" borderId="128" xfId="0" applyNumberFormat="1" applyFont="1" applyFill="1" applyBorder="1" applyAlignment="1">
      <alignment wrapText="1"/>
    </xf>
    <xf numFmtId="0" fontId="12" fillId="6" borderId="24" xfId="0" applyFont="1" applyFill="1" applyBorder="1" applyAlignment="1">
      <alignment horizontal="center" vertical="center"/>
    </xf>
    <xf numFmtId="0" fontId="12" fillId="0" borderId="6"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98" xfId="0" applyFont="1" applyBorder="1" applyAlignment="1" applyProtection="1">
      <alignment horizontal="center" vertical="center"/>
      <protection locked="0"/>
    </xf>
    <xf numFmtId="0" fontId="12" fillId="0" borderId="141" xfId="0" applyFont="1" applyBorder="1" applyAlignment="1" applyProtection="1">
      <alignment horizontal="center" vertical="center"/>
      <protection locked="0"/>
    </xf>
    <xf numFmtId="0" fontId="12" fillId="0" borderId="143" xfId="0" applyFont="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0" fillId="0" borderId="19" xfId="0" applyFont="1" applyBorder="1" applyAlignment="1" applyProtection="1">
      <alignment horizontal="center" vertical="center"/>
      <protection locked="0"/>
    </xf>
    <xf numFmtId="0" fontId="10" fillId="6" borderId="19" xfId="0" applyFont="1" applyFill="1" applyBorder="1" applyAlignment="1">
      <alignment horizontal="center" vertical="center"/>
    </xf>
    <xf numFmtId="0" fontId="10" fillId="0" borderId="40" xfId="0" applyFont="1" applyBorder="1" applyAlignment="1" applyProtection="1">
      <alignment horizontal="center" vertical="center"/>
      <protection locked="0"/>
    </xf>
    <xf numFmtId="0" fontId="9" fillId="0" borderId="43" xfId="0" applyFont="1" applyBorder="1" applyAlignment="1" applyProtection="1">
      <alignment horizontal="center" vertical="center"/>
      <protection locked="0"/>
    </xf>
    <xf numFmtId="0" fontId="9" fillId="6" borderId="43"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5" xfId="0" applyFont="1" applyFill="1" applyBorder="1" applyAlignment="1">
      <alignment horizontal="center" vertical="center"/>
    </xf>
    <xf numFmtId="49" fontId="9" fillId="3" borderId="8" xfId="0" applyNumberFormat="1" applyFont="1" applyFill="1" applyBorder="1" applyAlignment="1">
      <alignment horizontal="center" vertical="center"/>
    </xf>
    <xf numFmtId="49" fontId="9" fillId="3" borderId="10" xfId="0" applyNumberFormat="1" applyFont="1" applyFill="1" applyBorder="1" applyAlignment="1">
      <alignment horizontal="center" vertical="center"/>
    </xf>
    <xf numFmtId="0" fontId="10" fillId="0" borderId="10" xfId="0" applyFont="1" applyBorder="1" applyAlignment="1" applyProtection="1">
      <alignment horizontal="center" vertical="center"/>
      <protection locked="0"/>
    </xf>
    <xf numFmtId="0" fontId="9" fillId="3" borderId="43"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4" xfId="0" applyFont="1" applyFill="1" applyBorder="1" applyAlignment="1">
      <alignment horizontal="center" vertical="center"/>
    </xf>
    <xf numFmtId="0" fontId="12" fillId="6" borderId="149" xfId="0" applyFont="1" applyFill="1" applyBorder="1" applyAlignment="1">
      <alignment horizontal="center" vertical="center"/>
    </xf>
    <xf numFmtId="0" fontId="12" fillId="6" borderId="54" xfId="0" applyFont="1" applyFill="1" applyBorder="1" applyAlignment="1">
      <alignment horizontal="center" vertical="center"/>
    </xf>
    <xf numFmtId="0" fontId="12" fillId="6" borderId="56" xfId="0" applyFont="1" applyFill="1" applyBorder="1" applyAlignment="1">
      <alignment horizontal="center" vertical="center"/>
    </xf>
    <xf numFmtId="49" fontId="9" fillId="3" borderId="95" xfId="0" applyNumberFormat="1" applyFont="1" applyFill="1" applyBorder="1" applyAlignment="1">
      <alignment horizontal="center" vertical="center"/>
    </xf>
    <xf numFmtId="49" fontId="9" fillId="3" borderId="25" xfId="0" applyNumberFormat="1" applyFont="1" applyFill="1" applyBorder="1" applyAlignment="1">
      <alignment horizontal="center" vertical="center"/>
    </xf>
    <xf numFmtId="0" fontId="12" fillId="0" borderId="95"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150" xfId="0" applyFont="1" applyBorder="1" applyAlignment="1" applyProtection="1">
      <alignment horizontal="center" vertical="center"/>
      <protection locked="0"/>
    </xf>
    <xf numFmtId="0" fontId="12" fillId="6" borderId="107" xfId="0" applyFont="1" applyFill="1" applyBorder="1" applyAlignment="1">
      <alignment horizontal="center" vertical="center"/>
    </xf>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12" fillId="6" borderId="151" xfId="0" applyFont="1" applyFill="1" applyBorder="1" applyAlignment="1">
      <alignment horizontal="center" vertical="center"/>
    </xf>
    <xf numFmtId="0" fontId="10" fillId="6" borderId="107" xfId="0" applyFont="1" applyFill="1" applyBorder="1" applyAlignment="1">
      <alignment horizontal="center" vertical="center"/>
    </xf>
    <xf numFmtId="0" fontId="10" fillId="6" borderId="115" xfId="0" applyFont="1" applyFill="1" applyBorder="1" applyAlignment="1">
      <alignment horizontal="center" vertical="center"/>
    </xf>
    <xf numFmtId="0" fontId="10" fillId="6" borderId="0" xfId="0" applyFont="1" applyFill="1" applyAlignment="1">
      <alignment horizontal="center" vertical="center"/>
    </xf>
    <xf numFmtId="0" fontId="10" fillId="6" borderId="106" xfId="0" applyFont="1" applyFill="1" applyBorder="1" applyAlignment="1">
      <alignment horizontal="center" vertical="center"/>
    </xf>
    <xf numFmtId="0" fontId="11" fillId="4" borderId="152" xfId="0" applyFont="1" applyFill="1" applyBorder="1" applyAlignment="1">
      <alignment horizontal="left" vertical="center"/>
    </xf>
    <xf numFmtId="0" fontId="11" fillId="4" borderId="58" xfId="0" applyFont="1" applyFill="1" applyBorder="1" applyAlignment="1">
      <alignment horizontal="left" vertical="center"/>
    </xf>
    <xf numFmtId="0" fontId="11" fillId="4" borderId="61" xfId="0" applyFont="1" applyFill="1" applyBorder="1" applyAlignment="1">
      <alignment horizontal="left" vertical="center"/>
    </xf>
    <xf numFmtId="49" fontId="13" fillId="6" borderId="102" xfId="2" applyNumberFormat="1" applyFont="1" applyFill="1" applyBorder="1" applyAlignment="1">
      <alignment horizontal="center" vertical="center"/>
    </xf>
    <xf numFmtId="0" fontId="12" fillId="0" borderId="148" xfId="0" applyFont="1" applyBorder="1" applyAlignment="1" applyProtection="1">
      <alignment horizontal="center" vertical="center"/>
      <protection locked="0"/>
    </xf>
    <xf numFmtId="0" fontId="12" fillId="5" borderId="43" xfId="0" applyFont="1" applyFill="1" applyBorder="1" applyAlignment="1">
      <alignment horizontal="center" vertical="center"/>
    </xf>
    <xf numFmtId="0" fontId="12" fillId="0" borderId="20" xfId="0" applyFont="1" applyBorder="1" applyAlignment="1" applyProtection="1">
      <alignment horizontal="center" vertical="center"/>
      <protection locked="0"/>
    </xf>
    <xf numFmtId="0" fontId="12" fillId="5" borderId="21" xfId="0" applyFont="1" applyFill="1" applyBorder="1" applyAlignment="1">
      <alignment horizontal="center" vertical="center"/>
    </xf>
    <xf numFmtId="0" fontId="9" fillId="3" borderId="70" xfId="0" applyFont="1" applyFill="1" applyBorder="1" applyAlignment="1">
      <alignment horizontal="center" vertical="center"/>
    </xf>
    <xf numFmtId="49" fontId="9" fillId="3" borderId="24" xfId="0" applyNumberFormat="1" applyFont="1" applyFill="1" applyBorder="1" applyAlignment="1">
      <alignment horizontal="center" vertical="center"/>
    </xf>
    <xf numFmtId="0" fontId="12" fillId="0" borderId="24" xfId="0" applyFont="1" applyBorder="1" applyAlignment="1" applyProtection="1">
      <alignment horizontal="center" vertical="center"/>
      <protection locked="0"/>
    </xf>
    <xf numFmtId="0" fontId="12" fillId="5" borderId="25" xfId="0" applyFont="1" applyFill="1" applyBorder="1" applyAlignment="1">
      <alignment horizontal="center" vertical="center"/>
    </xf>
    <xf numFmtId="0" fontId="9" fillId="3" borderId="17" xfId="0" applyFont="1" applyFill="1" applyBorder="1" applyAlignment="1">
      <alignment horizontal="center" vertical="center"/>
    </xf>
    <xf numFmtId="0" fontId="12" fillId="7" borderId="0" xfId="0" applyFont="1" applyFill="1" applyAlignment="1">
      <alignment horizontal="left" vertical="top" wrapText="1"/>
    </xf>
    <xf numFmtId="49" fontId="9" fillId="3" borderId="119" xfId="0" applyNumberFormat="1" applyFont="1" applyFill="1" applyBorder="1" applyAlignment="1">
      <alignment horizontal="center" vertical="center"/>
    </xf>
    <xf numFmtId="0" fontId="12" fillId="5" borderId="12" xfId="0" applyFont="1" applyFill="1" applyBorder="1" applyAlignment="1">
      <alignment horizontal="left" vertical="top"/>
    </xf>
    <xf numFmtId="0" fontId="12" fillId="7" borderId="12" xfId="0" applyFont="1" applyFill="1" applyBorder="1" applyAlignment="1">
      <alignment wrapText="1"/>
    </xf>
    <xf numFmtId="49" fontId="9" fillId="3" borderId="57" xfId="0" applyNumberFormat="1" applyFont="1" applyFill="1" applyBorder="1" applyAlignment="1">
      <alignment horizontal="center" vertical="center"/>
    </xf>
    <xf numFmtId="0" fontId="12" fillId="7" borderId="16" xfId="0" applyFont="1" applyFill="1" applyBorder="1" applyAlignment="1">
      <alignment wrapText="1"/>
    </xf>
    <xf numFmtId="49" fontId="9" fillId="3" borderId="133" xfId="0" applyNumberFormat="1" applyFont="1" applyFill="1" applyBorder="1" applyAlignment="1">
      <alignment horizontal="center" vertical="center"/>
    </xf>
    <xf numFmtId="49" fontId="9" fillId="3" borderId="129" xfId="0" applyNumberFormat="1" applyFont="1" applyFill="1" applyBorder="1" applyAlignment="1">
      <alignment horizontal="center" vertical="center"/>
    </xf>
    <xf numFmtId="0" fontId="10" fillId="6" borderId="120" xfId="0" applyFont="1" applyFill="1" applyBorder="1" applyAlignment="1">
      <alignment horizontal="center" vertical="center"/>
    </xf>
    <xf numFmtId="0" fontId="11" fillId="4" borderId="0" xfId="0" applyFont="1" applyFill="1" applyAlignment="1">
      <alignment horizontal="left" vertical="center"/>
    </xf>
    <xf numFmtId="49" fontId="13" fillId="6" borderId="106" xfId="2" applyNumberFormat="1" applyFont="1" applyFill="1" applyBorder="1" applyAlignment="1">
      <alignment horizontal="center" vertical="center"/>
    </xf>
    <xf numFmtId="49" fontId="9" fillId="3" borderId="70" xfId="0" applyNumberFormat="1" applyFont="1" applyFill="1" applyBorder="1" applyAlignment="1">
      <alignment horizontal="center" vertical="center"/>
    </xf>
    <xf numFmtId="0" fontId="12" fillId="6" borderId="154" xfId="0" applyFont="1" applyFill="1" applyBorder="1" applyAlignment="1">
      <alignment horizontal="center" vertical="center"/>
    </xf>
    <xf numFmtId="0" fontId="9" fillId="3" borderId="21" xfId="0" applyFont="1" applyFill="1" applyBorder="1" applyAlignment="1">
      <alignment horizontal="center" vertical="center"/>
    </xf>
    <xf numFmtId="0" fontId="12" fillId="0" borderId="70" xfId="0" applyFont="1" applyBorder="1" applyAlignment="1" applyProtection="1">
      <alignment horizontal="center" vertical="center"/>
      <protection locked="0"/>
    </xf>
    <xf numFmtId="0" fontId="15" fillId="5" borderId="16" xfId="0" applyFont="1" applyFill="1" applyBorder="1" applyAlignment="1">
      <alignment horizontal="left" vertical="top"/>
    </xf>
    <xf numFmtId="0" fontId="12" fillId="6" borderId="155" xfId="0" applyFont="1" applyFill="1" applyBorder="1" applyAlignment="1">
      <alignment horizontal="center" vertical="center"/>
    </xf>
    <xf numFmtId="0" fontId="21" fillId="6" borderId="9" xfId="0" applyFont="1" applyFill="1" applyBorder="1" applyAlignment="1">
      <alignment vertical="center"/>
    </xf>
    <xf numFmtId="0" fontId="12" fillId="6" borderId="22" xfId="0" applyFont="1" applyFill="1" applyBorder="1" applyAlignment="1">
      <alignment horizontal="center" vertical="center"/>
    </xf>
    <xf numFmtId="0" fontId="12" fillId="6" borderId="23" xfId="0" applyFont="1" applyFill="1" applyBorder="1" applyAlignment="1">
      <alignment horizontal="center" vertical="center"/>
    </xf>
    <xf numFmtId="0" fontId="16" fillId="0" borderId="12" xfId="0" applyFont="1" applyBorder="1" applyAlignment="1">
      <alignment wrapText="1"/>
    </xf>
    <xf numFmtId="0" fontId="16" fillId="6" borderId="17" xfId="0" applyFont="1" applyFill="1" applyBorder="1" applyAlignment="1">
      <alignment vertical="center"/>
    </xf>
    <xf numFmtId="0" fontId="12" fillId="6" borderId="156" xfId="0" applyFont="1" applyFill="1" applyBorder="1" applyAlignment="1">
      <alignment horizontal="center" vertical="center"/>
    </xf>
    <xf numFmtId="0" fontId="12" fillId="6" borderId="96" xfId="0" applyFont="1" applyFill="1" applyBorder="1" applyAlignment="1">
      <alignment horizontal="center" vertical="center"/>
    </xf>
    <xf numFmtId="0" fontId="16" fillId="0" borderId="99" xfId="0" applyFont="1" applyBorder="1" applyAlignment="1">
      <alignment wrapText="1"/>
    </xf>
    <xf numFmtId="0" fontId="16" fillId="6" borderId="90" xfId="0" applyFont="1" applyFill="1" applyBorder="1" applyAlignment="1">
      <alignment vertical="center"/>
    </xf>
    <xf numFmtId="0" fontId="12" fillId="6" borderId="112" xfId="0" applyFont="1" applyFill="1" applyBorder="1" applyAlignment="1">
      <alignment horizontal="center" vertical="center"/>
    </xf>
    <xf numFmtId="0" fontId="12" fillId="6" borderId="73" xfId="0" applyFont="1" applyFill="1" applyBorder="1"/>
    <xf numFmtId="0" fontId="12" fillId="0" borderId="8" xfId="0" applyFont="1" applyBorder="1" applyAlignment="1" applyProtection="1">
      <alignment horizontal="center"/>
      <protection locked="0"/>
    </xf>
    <xf numFmtId="0" fontId="12" fillId="2" borderId="16" xfId="0" applyFont="1" applyFill="1" applyBorder="1" applyAlignment="1">
      <alignment wrapText="1"/>
    </xf>
    <xf numFmtId="0" fontId="12" fillId="6" borderId="17" xfId="0" applyFont="1" applyFill="1" applyBorder="1"/>
    <xf numFmtId="0" fontId="12" fillId="0" borderId="19" xfId="0" applyFont="1" applyBorder="1" applyAlignment="1" applyProtection="1">
      <alignment horizontal="center" wrapText="1"/>
      <protection locked="0"/>
    </xf>
    <xf numFmtId="49" fontId="20" fillId="6" borderId="26" xfId="2" applyNumberFormat="1" applyFont="1" applyFill="1" applyBorder="1" applyAlignment="1">
      <alignment horizontal="center"/>
    </xf>
    <xf numFmtId="49" fontId="20" fillId="6" borderId="19" xfId="2" applyNumberFormat="1" applyFont="1" applyFill="1" applyBorder="1" applyAlignment="1">
      <alignment horizontal="center"/>
    </xf>
    <xf numFmtId="49" fontId="9" fillId="3" borderId="16" xfId="0" applyNumberFormat="1" applyFont="1" applyFill="1" applyBorder="1" applyAlignment="1">
      <alignment wrapText="1"/>
    </xf>
    <xf numFmtId="0" fontId="12" fillId="4" borderId="19" xfId="0" applyFont="1" applyFill="1" applyBorder="1" applyAlignment="1">
      <alignment horizontal="center"/>
    </xf>
    <xf numFmtId="0" fontId="12" fillId="2" borderId="19" xfId="0" applyFont="1" applyFill="1" applyBorder="1" applyAlignment="1" applyProtection="1">
      <alignment horizontal="center"/>
      <protection locked="0"/>
    </xf>
    <xf numFmtId="0" fontId="12" fillId="0" borderId="19" xfId="0" applyFont="1" applyBorder="1" applyAlignment="1" applyProtection="1">
      <alignment horizontal="center"/>
      <protection locked="0"/>
    </xf>
    <xf numFmtId="0" fontId="12" fillId="2" borderId="99" xfId="0" applyFont="1" applyFill="1" applyBorder="1" applyAlignment="1">
      <alignment wrapText="1"/>
    </xf>
    <xf numFmtId="0" fontId="12" fillId="6" borderId="75" xfId="0" applyFont="1" applyFill="1" applyBorder="1"/>
    <xf numFmtId="0" fontId="12" fillId="6" borderId="52" xfId="0" applyFont="1" applyFill="1" applyBorder="1" applyAlignment="1">
      <alignment horizontal="center" vertical="center"/>
    </xf>
    <xf numFmtId="0" fontId="9" fillId="0" borderId="148" xfId="0" applyFont="1" applyBorder="1" applyAlignment="1" applyProtection="1">
      <alignment horizontal="center" vertical="center"/>
      <protection locked="0"/>
    </xf>
    <xf numFmtId="0" fontId="9" fillId="6" borderId="52" xfId="0" applyFont="1" applyFill="1" applyBorder="1" applyAlignment="1">
      <alignment horizontal="center" vertical="center"/>
    </xf>
    <xf numFmtId="0" fontId="9" fillId="6" borderId="59" xfId="0" applyFont="1" applyFill="1" applyBorder="1" applyAlignment="1">
      <alignment horizontal="center" vertical="center"/>
    </xf>
    <xf numFmtId="0" fontId="9" fillId="6" borderId="60" xfId="0" applyFont="1" applyFill="1" applyBorder="1" applyAlignment="1">
      <alignment horizontal="center" vertical="center"/>
    </xf>
    <xf numFmtId="49" fontId="9" fillId="3" borderId="99" xfId="0" applyNumberFormat="1" applyFont="1" applyFill="1" applyBorder="1" applyAlignment="1">
      <alignment wrapText="1"/>
    </xf>
    <xf numFmtId="0" fontId="12" fillId="4" borderId="40" xfId="0" applyFont="1" applyFill="1" applyBorder="1" applyAlignment="1">
      <alignment horizontal="center"/>
    </xf>
    <xf numFmtId="0" fontId="12" fillId="2" borderId="30" xfId="0" applyFont="1" applyFill="1" applyBorder="1" applyAlignment="1">
      <alignment wrapText="1"/>
    </xf>
    <xf numFmtId="0" fontId="12" fillId="6" borderId="7" xfId="0" applyFont="1" applyFill="1" applyBorder="1"/>
    <xf numFmtId="0" fontId="12" fillId="0" borderId="14" xfId="0" applyFont="1" applyBorder="1" applyAlignment="1" applyProtection="1">
      <alignment horizontal="center"/>
      <protection locked="0"/>
    </xf>
    <xf numFmtId="0" fontId="12" fillId="2" borderId="130" xfId="0" applyFont="1" applyFill="1" applyBorder="1" applyAlignment="1">
      <alignment wrapText="1"/>
    </xf>
    <xf numFmtId="0" fontId="12" fillId="6" borderId="9" xfId="0" applyFont="1" applyFill="1" applyBorder="1"/>
    <xf numFmtId="0" fontId="12" fillId="4" borderId="10" xfId="0" applyFont="1" applyFill="1" applyBorder="1" applyAlignment="1">
      <alignment horizontal="center"/>
    </xf>
    <xf numFmtId="0" fontId="12" fillId="0" borderId="1" xfId="0" applyFont="1" applyBorder="1" applyAlignment="1">
      <alignment horizontal="left" vertical="center" wrapText="1"/>
    </xf>
    <xf numFmtId="0" fontId="9" fillId="3" borderId="2" xfId="0" applyFont="1" applyFill="1" applyBorder="1" applyAlignment="1">
      <alignment wrapText="1"/>
    </xf>
    <xf numFmtId="0" fontId="22" fillId="3" borderId="136" xfId="1" applyFont="1" applyFill="1" applyBorder="1" applyAlignment="1" applyProtection="1">
      <alignment horizontal="center" vertical="center" wrapText="1"/>
    </xf>
    <xf numFmtId="0" fontId="22" fillId="3" borderId="6" xfId="1" applyFont="1" applyFill="1" applyBorder="1" applyAlignment="1" applyProtection="1">
      <alignment horizontal="center" vertical="center" wrapText="1"/>
    </xf>
    <xf numFmtId="0" fontId="23" fillId="0" borderId="101" xfId="0" applyFont="1" applyBorder="1" applyAlignment="1" applyProtection="1">
      <alignment horizontal="center" vertical="center"/>
      <protection locked="0"/>
    </xf>
    <xf numFmtId="0" fontId="23" fillId="0" borderId="84" xfId="0" applyFont="1" applyBorder="1" applyAlignment="1" applyProtection="1">
      <alignment horizontal="center" vertical="center"/>
      <protection locked="0"/>
    </xf>
    <xf numFmtId="0" fontId="12" fillId="6" borderId="130" xfId="0" applyFont="1" applyFill="1" applyBorder="1" applyAlignment="1">
      <alignment vertical="center"/>
    </xf>
    <xf numFmtId="0" fontId="23" fillId="6" borderId="34" xfId="0" applyFont="1" applyFill="1" applyBorder="1" applyAlignment="1">
      <alignment horizontal="center" vertical="center"/>
    </xf>
    <xf numFmtId="0" fontId="12" fillId="6" borderId="128" xfId="0" applyFont="1" applyFill="1" applyBorder="1" applyAlignment="1">
      <alignment vertical="center"/>
    </xf>
    <xf numFmtId="0" fontId="12" fillId="0" borderId="1" xfId="0" applyFont="1" applyBorder="1" applyAlignment="1">
      <alignment wrapText="1"/>
    </xf>
    <xf numFmtId="0" fontId="23" fillId="6" borderId="26" xfId="0" applyFont="1" applyFill="1" applyBorder="1" applyAlignment="1">
      <alignment horizontal="center" vertical="center"/>
    </xf>
    <xf numFmtId="0" fontId="23" fillId="0" borderId="26" xfId="0" applyFont="1" applyBorder="1" applyAlignment="1" applyProtection="1">
      <alignment horizontal="center" vertical="center"/>
      <protection locked="0"/>
    </xf>
    <xf numFmtId="0" fontId="12" fillId="6" borderId="115" xfId="0" applyFont="1" applyFill="1" applyBorder="1" applyAlignment="1">
      <alignment vertical="center"/>
    </xf>
    <xf numFmtId="0" fontId="23" fillId="0" borderId="108" xfId="0" applyFont="1" applyBorder="1" applyAlignment="1" applyProtection="1">
      <alignment horizontal="center" vertical="center"/>
      <protection locked="0"/>
    </xf>
    <xf numFmtId="0" fontId="22" fillId="3" borderId="136" xfId="1" applyFont="1" applyFill="1" applyBorder="1" applyAlignment="1" applyProtection="1">
      <alignment horizontal="center" vertical="center"/>
    </xf>
    <xf numFmtId="0" fontId="12" fillId="0" borderId="127" xfId="0" applyFont="1" applyBorder="1" applyAlignment="1">
      <alignment wrapText="1"/>
    </xf>
    <xf numFmtId="0" fontId="23" fillId="0" borderId="46" xfId="0" applyFont="1" applyBorder="1" applyAlignment="1" applyProtection="1">
      <alignment horizontal="center" vertical="center"/>
      <protection locked="0"/>
    </xf>
    <xf numFmtId="0" fontId="23" fillId="0" borderId="8" xfId="0" applyFont="1" applyBorder="1" applyAlignment="1" applyProtection="1">
      <alignment horizontal="center" vertical="center"/>
      <protection locked="0"/>
    </xf>
    <xf numFmtId="0" fontId="23" fillId="0" borderId="13" xfId="0" applyFont="1" applyBorder="1" applyAlignment="1" applyProtection="1">
      <alignment horizontal="center" vertical="center"/>
      <protection locked="0"/>
    </xf>
    <xf numFmtId="0" fontId="23" fillId="0" borderId="14" xfId="0" applyFont="1" applyBorder="1" applyAlignment="1" applyProtection="1">
      <alignment horizontal="center" vertical="center"/>
      <protection locked="0"/>
    </xf>
    <xf numFmtId="0" fontId="23" fillId="0" borderId="18" xfId="0" applyFont="1" applyBorder="1" applyAlignment="1" applyProtection="1">
      <alignment horizontal="center" vertical="center"/>
      <protection locked="0"/>
    </xf>
    <xf numFmtId="0" fontId="23" fillId="0" borderId="19" xfId="0" applyFont="1" applyBorder="1" applyAlignment="1" applyProtection="1">
      <alignment horizontal="center" vertical="center"/>
      <protection locked="0"/>
    </xf>
    <xf numFmtId="0" fontId="9" fillId="3" borderId="128" xfId="0" applyFont="1" applyFill="1" applyBorder="1" applyAlignment="1">
      <alignment wrapText="1"/>
    </xf>
    <xf numFmtId="0" fontId="25" fillId="3" borderId="40" xfId="1" applyFont="1" applyFill="1" applyBorder="1" applyAlignment="1" applyProtection="1">
      <alignment horizontal="center" vertical="center"/>
    </xf>
    <xf numFmtId="0" fontId="12" fillId="0" borderId="2" xfId="0" applyFont="1" applyBorder="1" applyAlignment="1">
      <alignment wrapText="1"/>
    </xf>
    <xf numFmtId="0" fontId="12" fillId="6" borderId="2" xfId="0" applyFont="1" applyFill="1" applyBorder="1" applyAlignment="1">
      <alignment vertical="center"/>
    </xf>
    <xf numFmtId="0" fontId="12" fillId="3" borderId="108" xfId="0" applyFont="1" applyFill="1" applyBorder="1" applyAlignment="1">
      <alignment horizontal="center" vertical="center"/>
    </xf>
    <xf numFmtId="0" fontId="23" fillId="0" borderId="110" xfId="0" applyFont="1" applyBorder="1" applyAlignment="1" applyProtection="1">
      <alignment horizontal="center" vertical="center"/>
      <protection locked="0"/>
    </xf>
    <xf numFmtId="0" fontId="12" fillId="0" borderId="127" xfId="0" applyFont="1" applyBorder="1"/>
    <xf numFmtId="0" fontId="12" fillId="0" borderId="130" xfId="0" applyFont="1" applyBorder="1"/>
    <xf numFmtId="0" fontId="25" fillId="3" borderId="108" xfId="1" applyFont="1" applyFill="1" applyBorder="1" applyAlignment="1" applyProtection="1">
      <alignment horizontal="center" vertical="center"/>
    </xf>
    <xf numFmtId="0" fontId="23" fillId="0" borderId="48" xfId="0" applyFont="1" applyBorder="1" applyAlignment="1" applyProtection="1">
      <alignment horizontal="center" vertical="center"/>
      <protection locked="0"/>
    </xf>
    <xf numFmtId="0" fontId="12" fillId="6" borderId="160" xfId="0" applyFont="1" applyFill="1" applyBorder="1" applyAlignment="1">
      <alignment horizontal="center" vertical="center"/>
    </xf>
    <xf numFmtId="0" fontId="12" fillId="0" borderId="156" xfId="0" applyFont="1" applyBorder="1" applyAlignment="1" applyProtection="1">
      <alignment horizontal="center" vertical="center"/>
      <protection locked="0"/>
    </xf>
    <xf numFmtId="0" fontId="12" fillId="0" borderId="155" xfId="0" applyFont="1" applyBorder="1" applyAlignment="1" applyProtection="1">
      <alignment horizontal="center" vertical="center"/>
      <protection locked="0"/>
    </xf>
    <xf numFmtId="0" fontId="12" fillId="6" borderId="55" xfId="0" applyFont="1" applyFill="1" applyBorder="1" applyAlignment="1">
      <alignment horizontal="center" vertical="center"/>
    </xf>
    <xf numFmtId="0" fontId="12" fillId="0" borderId="112"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23" fillId="0" borderId="10" xfId="0" applyFont="1" applyBorder="1" applyAlignment="1" applyProtection="1">
      <alignment horizontal="center" vertical="center"/>
      <protection locked="0"/>
    </xf>
    <xf numFmtId="0" fontId="23" fillId="6" borderId="6" xfId="0" applyFont="1" applyFill="1" applyBorder="1" applyAlignment="1">
      <alignment horizontal="center" vertical="center"/>
    </xf>
    <xf numFmtId="0" fontId="3" fillId="0" borderId="0" xfId="0" applyFont="1" applyProtection="1">
      <protection locked="0"/>
    </xf>
    <xf numFmtId="0" fontId="9" fillId="3" borderId="161" xfId="0" applyFont="1" applyFill="1" applyBorder="1" applyAlignment="1">
      <alignment horizontal="center" vertical="center"/>
    </xf>
    <xf numFmtId="0" fontId="12" fillId="6" borderId="114" xfId="0" applyFont="1" applyFill="1" applyBorder="1" applyAlignment="1">
      <alignment horizontal="center" vertical="center"/>
    </xf>
    <xf numFmtId="0" fontId="12" fillId="6" borderId="162" xfId="0" applyFont="1" applyFill="1" applyBorder="1" applyAlignment="1">
      <alignment horizontal="center" vertical="center"/>
    </xf>
    <xf numFmtId="0" fontId="9" fillId="3" borderId="163" xfId="0" applyFont="1" applyFill="1" applyBorder="1" applyAlignment="1">
      <alignment horizontal="center"/>
    </xf>
    <xf numFmtId="0" fontId="9" fillId="3" borderId="163" xfId="0" applyFont="1" applyFill="1" applyBorder="1" applyAlignment="1">
      <alignment horizontal="center" vertical="center"/>
    </xf>
    <xf numFmtId="0" fontId="23" fillId="0" borderId="42" xfId="0" applyFont="1" applyBorder="1" applyAlignment="1" applyProtection="1">
      <alignment horizontal="center" vertical="center"/>
      <protection locked="0"/>
    </xf>
    <xf numFmtId="0" fontId="23" fillId="0" borderId="44" xfId="0" applyFont="1" applyBorder="1" applyAlignment="1" applyProtection="1">
      <alignment horizontal="center" vertical="center"/>
      <protection locked="0"/>
    </xf>
    <xf numFmtId="0" fontId="23" fillId="6" borderId="125" xfId="0" applyFont="1" applyFill="1" applyBorder="1" applyAlignment="1">
      <alignment horizontal="center" vertical="center"/>
    </xf>
    <xf numFmtId="0" fontId="23" fillId="6" borderId="117" xfId="0" applyFont="1" applyFill="1" applyBorder="1" applyAlignment="1">
      <alignment horizontal="center" vertical="center"/>
    </xf>
    <xf numFmtId="0" fontId="23" fillId="6" borderId="118" xfId="0" applyFont="1" applyFill="1" applyBorder="1" applyAlignment="1">
      <alignment horizontal="center" vertical="center"/>
    </xf>
    <xf numFmtId="0" fontId="2" fillId="3" borderId="163" xfId="0" applyFont="1" applyFill="1" applyBorder="1" applyAlignment="1">
      <alignment horizontal="center" vertical="center"/>
    </xf>
    <xf numFmtId="0" fontId="23" fillId="0" borderId="164" xfId="0" applyFont="1" applyBorder="1" applyAlignment="1" applyProtection="1">
      <alignment horizontal="center" vertical="center"/>
      <protection locked="0"/>
    </xf>
    <xf numFmtId="0" fontId="9" fillId="3" borderId="165" xfId="0" applyFont="1" applyFill="1" applyBorder="1" applyAlignment="1">
      <alignment horizontal="center" vertical="center"/>
    </xf>
    <xf numFmtId="0" fontId="23" fillId="0" borderId="72" xfId="0" applyFont="1" applyBorder="1" applyAlignment="1" applyProtection="1">
      <alignment horizontal="center" vertical="center"/>
      <protection locked="0"/>
    </xf>
    <xf numFmtId="0" fontId="2" fillId="3" borderId="166" xfId="0" applyFont="1" applyFill="1" applyBorder="1" applyAlignment="1">
      <alignment horizontal="center" vertical="center"/>
    </xf>
    <xf numFmtId="0" fontId="23" fillId="0" borderId="12" xfId="0" applyFont="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0" fontId="23" fillId="0" borderId="45" xfId="0" applyFont="1" applyBorder="1" applyAlignment="1" applyProtection="1">
      <alignment horizontal="center" vertical="center"/>
      <protection locked="0"/>
    </xf>
    <xf numFmtId="0" fontId="23" fillId="0" borderId="74" xfId="0" applyFont="1" applyBorder="1" applyAlignment="1" applyProtection="1">
      <alignment horizontal="center" vertical="center"/>
      <protection locked="0"/>
    </xf>
    <xf numFmtId="0" fontId="23" fillId="0" borderId="29" xfId="0" applyFont="1" applyBorder="1" applyAlignment="1" applyProtection="1">
      <alignment horizontal="center" vertical="center"/>
      <protection locked="0"/>
    </xf>
    <xf numFmtId="0" fontId="25" fillId="3" borderId="102" xfId="1" applyFont="1" applyFill="1" applyBorder="1" applyAlignment="1" applyProtection="1">
      <alignment horizontal="center" vertical="center"/>
    </xf>
    <xf numFmtId="0" fontId="2" fillId="3" borderId="167" xfId="0" applyFont="1" applyFill="1" applyBorder="1" applyAlignment="1">
      <alignment horizontal="center" vertical="center"/>
    </xf>
    <xf numFmtId="0" fontId="25" fillId="3" borderId="87" xfId="1" applyFont="1" applyFill="1" applyBorder="1" applyAlignment="1" applyProtection="1">
      <alignment horizontal="center" vertical="center"/>
    </xf>
    <xf numFmtId="0" fontId="12" fillId="6" borderId="168" xfId="0" applyFont="1" applyFill="1" applyBorder="1" applyAlignment="1">
      <alignment horizontal="center" vertical="center"/>
    </xf>
    <xf numFmtId="0" fontId="12" fillId="6" borderId="169" xfId="0" applyFont="1" applyFill="1" applyBorder="1" applyAlignment="1">
      <alignment horizontal="center" vertical="center"/>
    </xf>
    <xf numFmtId="0" fontId="2" fillId="3" borderId="49" xfId="0" applyFont="1" applyFill="1" applyBorder="1" applyAlignment="1">
      <alignment horizontal="center" vertical="center"/>
    </xf>
    <xf numFmtId="0" fontId="2" fillId="3" borderId="50" xfId="0" applyFont="1" applyFill="1" applyBorder="1" applyAlignment="1">
      <alignment horizontal="center" vertical="center"/>
    </xf>
    <xf numFmtId="0" fontId="2" fillId="3" borderId="51" xfId="0" applyFont="1" applyFill="1" applyBorder="1" applyAlignment="1">
      <alignment horizontal="center" vertical="center"/>
    </xf>
    <xf numFmtId="0" fontId="2" fillId="3" borderId="52" xfId="0" applyFont="1" applyFill="1" applyBorder="1" applyAlignment="1">
      <alignment horizontal="center" vertical="center"/>
    </xf>
    <xf numFmtId="0" fontId="25" fillId="3" borderId="74" xfId="1" applyFont="1" applyFill="1" applyBorder="1" applyAlignment="1" applyProtection="1">
      <alignment horizontal="center" vertical="center"/>
    </xf>
    <xf numFmtId="0" fontId="2" fillId="3" borderId="59" xfId="0" applyFont="1" applyFill="1" applyBorder="1" applyAlignment="1">
      <alignment horizontal="center" vertical="center"/>
    </xf>
    <xf numFmtId="0" fontId="2" fillId="3" borderId="60" xfId="0" applyFont="1" applyFill="1" applyBorder="1" applyAlignment="1">
      <alignment horizontal="center" vertical="center"/>
    </xf>
    <xf numFmtId="0" fontId="12" fillId="6" borderId="67" xfId="0" applyFont="1" applyFill="1" applyBorder="1" applyAlignment="1">
      <alignment horizontal="center" vertical="center"/>
    </xf>
    <xf numFmtId="0" fontId="12" fillId="5" borderId="7" xfId="0" applyFont="1" applyFill="1" applyBorder="1" applyAlignment="1">
      <alignment horizontal="left" vertical="top"/>
    </xf>
    <xf numFmtId="0" fontId="12" fillId="6" borderId="161" xfId="0" applyFont="1" applyFill="1" applyBorder="1" applyAlignment="1">
      <alignment horizontal="center" vertical="center"/>
    </xf>
    <xf numFmtId="0" fontId="12" fillId="5" borderId="17" xfId="0" applyFont="1" applyFill="1" applyBorder="1" applyAlignment="1">
      <alignment horizontal="left" vertical="top"/>
    </xf>
    <xf numFmtId="0" fontId="12" fillId="5" borderId="75" xfId="0" applyFont="1" applyFill="1" applyBorder="1" applyAlignment="1">
      <alignment horizontal="left" vertical="top"/>
    </xf>
    <xf numFmtId="0" fontId="12" fillId="6" borderId="170" xfId="0" applyFont="1" applyFill="1" applyBorder="1" applyAlignment="1">
      <alignment horizontal="center" vertical="center"/>
    </xf>
    <xf numFmtId="0" fontId="12" fillId="5" borderId="15" xfId="0" applyFont="1" applyFill="1" applyBorder="1" applyAlignment="1">
      <alignment horizontal="left" vertical="top"/>
    </xf>
    <xf numFmtId="0" fontId="9" fillId="3" borderId="119" xfId="0" applyFont="1" applyFill="1" applyBorder="1" applyAlignment="1">
      <alignment horizontal="center"/>
    </xf>
    <xf numFmtId="0" fontId="9" fillId="5" borderId="12" xfId="0" applyFont="1" applyFill="1" applyBorder="1"/>
    <xf numFmtId="0" fontId="12" fillId="7" borderId="12" xfId="0" applyFont="1" applyFill="1" applyBorder="1" applyAlignment="1">
      <alignment horizontal="left" wrapText="1"/>
    </xf>
    <xf numFmtId="0" fontId="9" fillId="3" borderId="57" xfId="0" applyFont="1" applyFill="1" applyBorder="1" applyAlignment="1">
      <alignment horizontal="center"/>
    </xf>
    <xf numFmtId="0" fontId="12" fillId="5" borderId="16" xfId="0" applyFont="1" applyFill="1" applyBorder="1"/>
    <xf numFmtId="0" fontId="12" fillId="7" borderId="16" xfId="0" applyFont="1" applyFill="1" applyBorder="1" applyAlignment="1">
      <alignment horizontal="left" wrapText="1"/>
    </xf>
    <xf numFmtId="0" fontId="9" fillId="5" borderId="16" xfId="0" applyFont="1" applyFill="1" applyBorder="1"/>
    <xf numFmtId="0" fontId="12" fillId="7" borderId="16" xfId="0" applyFont="1" applyFill="1" applyBorder="1" applyAlignment="1">
      <alignment horizontal="left"/>
    </xf>
    <xf numFmtId="0" fontId="9" fillId="3" borderId="132" xfId="0" applyFont="1" applyFill="1" applyBorder="1" applyAlignment="1">
      <alignment horizontal="center"/>
    </xf>
    <xf numFmtId="0" fontId="12" fillId="5" borderId="16" xfId="0" applyFont="1" applyFill="1" applyBorder="1" applyAlignment="1">
      <alignment horizontal="left"/>
    </xf>
    <xf numFmtId="0" fontId="9" fillId="3" borderId="129" xfId="0" applyFont="1" applyFill="1" applyBorder="1" applyAlignment="1">
      <alignment horizontal="center"/>
    </xf>
    <xf numFmtId="0" fontId="9" fillId="3" borderId="133" xfId="0" applyFont="1" applyFill="1" applyBorder="1" applyAlignment="1">
      <alignment horizontal="center"/>
    </xf>
    <xf numFmtId="0" fontId="9" fillId="3" borderId="3"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2" fillId="5" borderId="16" xfId="0" applyFont="1" applyFill="1" applyBorder="1" applyAlignment="1">
      <alignment horizontal="left" vertical="center"/>
    </xf>
    <xf numFmtId="0" fontId="12" fillId="7" borderId="16" xfId="0" applyFont="1" applyFill="1" applyBorder="1" applyAlignment="1">
      <alignment horizontal="left" vertical="center" wrapText="1"/>
    </xf>
    <xf numFmtId="0" fontId="12" fillId="6" borderId="171" xfId="0" applyFont="1" applyFill="1" applyBorder="1" applyAlignment="1">
      <alignment horizontal="center" vertical="center"/>
    </xf>
    <xf numFmtId="0" fontId="2" fillId="3" borderId="119" xfId="0" applyFont="1" applyFill="1" applyBorder="1" applyAlignment="1">
      <alignment horizontal="center" vertical="center"/>
    </xf>
    <xf numFmtId="0" fontId="2" fillId="3" borderId="57" xfId="0" applyFont="1" applyFill="1" applyBorder="1" applyAlignment="1">
      <alignment horizontal="center" vertical="center"/>
    </xf>
    <xf numFmtId="0" fontId="2" fillId="3" borderId="133" xfId="0" applyFont="1" applyFill="1" applyBorder="1" applyAlignment="1">
      <alignment horizontal="center" vertical="center"/>
    </xf>
    <xf numFmtId="0" fontId="2" fillId="3" borderId="129" xfId="0" applyFont="1" applyFill="1" applyBorder="1" applyAlignment="1">
      <alignment horizontal="center" vertical="center"/>
    </xf>
    <xf numFmtId="0" fontId="8" fillId="0" borderId="0" xfId="0" applyFont="1" applyAlignment="1">
      <alignment wrapText="1"/>
    </xf>
    <xf numFmtId="0" fontId="15" fillId="0" borderId="115" xfId="0" applyFont="1" applyBorder="1" applyAlignment="1">
      <alignment horizontal="center" vertical="center"/>
    </xf>
    <xf numFmtId="0" fontId="12" fillId="3" borderId="10" xfId="0" applyFont="1" applyFill="1" applyBorder="1" applyAlignment="1">
      <alignment horizontal="center" vertical="center"/>
    </xf>
    <xf numFmtId="0" fontId="12" fillId="0" borderId="116" xfId="0" applyFont="1" applyBorder="1" applyAlignment="1">
      <alignment wrapText="1"/>
    </xf>
    <xf numFmtId="0" fontId="12" fillId="0" borderId="80" xfId="0" applyFont="1" applyBorder="1" applyAlignment="1">
      <alignment wrapText="1"/>
    </xf>
    <xf numFmtId="0" fontId="23" fillId="0" borderId="43" xfId="0" applyFont="1" applyBorder="1" applyAlignment="1" applyProtection="1">
      <alignment horizontal="center" vertical="center"/>
      <protection locked="0"/>
    </xf>
    <xf numFmtId="0" fontId="12" fillId="6" borderId="127" xfId="0" applyFont="1" applyFill="1" applyBorder="1" applyAlignment="1">
      <alignment vertical="center"/>
    </xf>
    <xf numFmtId="0" fontId="23" fillId="0" borderId="21" xfId="0" applyFont="1" applyBorder="1" applyAlignment="1" applyProtection="1">
      <alignment horizontal="center" vertical="center"/>
      <protection locked="0"/>
    </xf>
    <xf numFmtId="0" fontId="12" fillId="0" borderId="79" xfId="0" applyFont="1" applyBorder="1" applyAlignment="1">
      <alignment wrapText="1"/>
    </xf>
    <xf numFmtId="0" fontId="12" fillId="6" borderId="117" xfId="0" applyFont="1" applyFill="1" applyBorder="1" applyAlignment="1">
      <alignment vertical="center"/>
    </xf>
    <xf numFmtId="0" fontId="23" fillId="0" borderId="25" xfId="0" applyFont="1" applyBorder="1" applyAlignment="1" applyProtection="1">
      <alignment horizontal="center" vertical="center"/>
      <protection locked="0"/>
    </xf>
    <xf numFmtId="0" fontId="9" fillId="3" borderId="74" xfId="0" applyFont="1" applyFill="1" applyBorder="1" applyAlignment="1">
      <alignment wrapText="1"/>
    </xf>
    <xf numFmtId="0" fontId="22" fillId="3" borderId="108" xfId="1" applyFont="1" applyFill="1" applyBorder="1" applyAlignment="1" applyProtection="1">
      <alignment horizontal="center" vertical="center"/>
    </xf>
    <xf numFmtId="0" fontId="12" fillId="0" borderId="166" xfId="0" applyFont="1" applyBorder="1" applyAlignment="1">
      <alignment wrapText="1"/>
    </xf>
    <xf numFmtId="0" fontId="12" fillId="6" borderId="119" xfId="0" applyFont="1" applyFill="1" applyBorder="1" applyAlignment="1">
      <alignment vertical="center"/>
    </xf>
    <xf numFmtId="0" fontId="12" fillId="0" borderId="11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167" xfId="0" applyFont="1" applyBorder="1" applyAlignment="1">
      <alignment wrapText="1"/>
    </xf>
    <xf numFmtId="0" fontId="12" fillId="6" borderId="126" xfId="0" applyFont="1" applyFill="1" applyBorder="1" applyAlignment="1">
      <alignment vertical="center"/>
    </xf>
    <xf numFmtId="0" fontId="12" fillId="0" borderId="50" xfId="0" applyFont="1" applyBorder="1" applyAlignment="1">
      <alignment wrapText="1"/>
    </xf>
    <xf numFmtId="0" fontId="12" fillId="0" borderId="60" xfId="0" applyFont="1" applyBorder="1" applyAlignment="1">
      <alignment wrapText="1"/>
    </xf>
    <xf numFmtId="0" fontId="11" fillId="4" borderId="6" xfId="0" applyFont="1" applyFill="1" applyBorder="1" applyAlignment="1">
      <alignment vertical="center"/>
    </xf>
    <xf numFmtId="0" fontId="12" fillId="0" borderId="119" xfId="0" applyFont="1" applyBorder="1" applyAlignment="1">
      <alignment wrapText="1"/>
    </xf>
    <xf numFmtId="0" fontId="12" fillId="0" borderId="133" xfId="0" applyFont="1" applyBorder="1" applyAlignment="1">
      <alignment wrapText="1"/>
    </xf>
    <xf numFmtId="0" fontId="12" fillId="0" borderId="108" xfId="0" applyFont="1" applyBorder="1" applyAlignment="1" applyProtection="1">
      <alignment horizontal="center" vertical="center"/>
      <protection locked="0"/>
    </xf>
    <xf numFmtId="0" fontId="11" fillId="4" borderId="4" xfId="0" applyFont="1" applyFill="1" applyBorder="1" applyAlignment="1">
      <alignment vertical="center" wrapText="1"/>
    </xf>
    <xf numFmtId="0" fontId="12" fillId="0" borderId="110" xfId="0" applyFont="1" applyBorder="1" applyAlignment="1" applyProtection="1">
      <alignment horizontal="center" vertical="center" wrapText="1"/>
      <protection locked="0"/>
    </xf>
    <xf numFmtId="0" fontId="12" fillId="0" borderId="108"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48"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6" borderId="110" xfId="0" applyFont="1" applyFill="1" applyBorder="1" applyAlignment="1">
      <alignment horizontal="center" vertical="center"/>
    </xf>
    <xf numFmtId="0" fontId="9" fillId="4" borderId="99" xfId="0" applyFont="1" applyFill="1" applyBorder="1" applyAlignment="1">
      <alignment wrapText="1"/>
    </xf>
    <xf numFmtId="0" fontId="9" fillId="13" borderId="7" xfId="0" applyFont="1" applyFill="1" applyBorder="1" applyAlignment="1">
      <alignment wrapText="1"/>
    </xf>
    <xf numFmtId="0" fontId="12" fillId="0" borderId="17" xfId="0" applyFont="1" applyBorder="1" applyAlignment="1">
      <alignment wrapText="1"/>
    </xf>
    <xf numFmtId="0" fontId="27" fillId="6" borderId="9" xfId="0" applyFont="1" applyFill="1" applyBorder="1" applyAlignment="1">
      <alignment vertical="center"/>
    </xf>
    <xf numFmtId="0" fontId="9" fillId="4" borderId="9" xfId="0" applyFont="1" applyFill="1" applyBorder="1" applyAlignment="1">
      <alignment wrapText="1"/>
    </xf>
    <xf numFmtId="0" fontId="9" fillId="13" borderId="12" xfId="0" applyFont="1" applyFill="1" applyBorder="1" applyAlignment="1">
      <alignment wrapText="1"/>
    </xf>
    <xf numFmtId="0" fontId="27" fillId="6" borderId="17" xfId="0" applyFont="1" applyFill="1" applyBorder="1" applyAlignment="1">
      <alignment vertical="center"/>
    </xf>
    <xf numFmtId="0" fontId="12" fillId="6" borderId="61" xfId="0" applyFont="1" applyFill="1" applyBorder="1" applyAlignment="1">
      <alignment horizontal="center" vertical="center"/>
    </xf>
    <xf numFmtId="0" fontId="12" fillId="6" borderId="28" xfId="0" applyFont="1" applyFill="1" applyBorder="1" applyAlignment="1">
      <alignment horizontal="center" vertical="center"/>
    </xf>
    <xf numFmtId="0" fontId="12" fillId="4" borderId="19" xfId="0" applyFont="1" applyFill="1" applyBorder="1" applyAlignment="1">
      <alignment horizontal="center" vertical="center"/>
    </xf>
    <xf numFmtId="0" fontId="12" fillId="6" borderId="19" xfId="0" applyFont="1" applyFill="1" applyBorder="1" applyAlignment="1" applyProtection="1">
      <alignment horizontal="center" vertical="center"/>
      <protection locked="0"/>
    </xf>
    <xf numFmtId="0" fontId="12" fillId="5" borderId="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28" xfId="0" applyFont="1" applyFill="1" applyBorder="1" applyAlignment="1">
      <alignment horizontal="center" vertical="center"/>
    </xf>
    <xf numFmtId="0" fontId="12" fillId="0" borderId="72"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6" borderId="117" xfId="0" applyFont="1" applyFill="1" applyBorder="1" applyAlignment="1">
      <alignment horizontal="center" vertical="center"/>
    </xf>
    <xf numFmtId="0" fontId="12" fillId="6" borderId="118" xfId="0" applyFont="1" applyFill="1" applyBorder="1" applyAlignment="1">
      <alignment horizontal="center" vertical="center"/>
    </xf>
    <xf numFmtId="0" fontId="12" fillId="0" borderId="45" xfId="0" applyFont="1" applyBorder="1" applyAlignment="1" applyProtection="1">
      <alignment horizontal="center" vertical="center" wrapText="1"/>
      <protection locked="0"/>
    </xf>
    <xf numFmtId="0" fontId="12" fillId="0" borderId="42" xfId="0" applyFont="1" applyBorder="1" applyAlignment="1" applyProtection="1">
      <alignment horizontal="center" vertical="center" wrapText="1"/>
      <protection locked="0"/>
    </xf>
    <xf numFmtId="0" fontId="12" fillId="5" borderId="72" xfId="0" applyFont="1" applyFill="1" applyBorder="1" applyAlignment="1">
      <alignment horizontal="center" vertical="center"/>
    </xf>
    <xf numFmtId="0" fontId="9" fillId="3" borderId="155" xfId="0" applyFont="1" applyFill="1" applyBorder="1" applyAlignment="1">
      <alignment horizontal="center" vertical="center"/>
    </xf>
    <xf numFmtId="0" fontId="12" fillId="5" borderId="110" xfId="0" applyFont="1" applyFill="1" applyBorder="1" applyAlignment="1">
      <alignment horizontal="center" vertical="center"/>
    </xf>
    <xf numFmtId="0" fontId="12" fillId="5" borderId="44" xfId="0" applyFont="1" applyFill="1" applyBorder="1" applyAlignment="1">
      <alignment horizontal="center" vertical="center"/>
    </xf>
    <xf numFmtId="0" fontId="12" fillId="5" borderId="26" xfId="0" applyFont="1" applyFill="1" applyBorder="1" applyAlignment="1">
      <alignment horizontal="center" vertical="center"/>
    </xf>
    <xf numFmtId="0" fontId="12" fillId="4" borderId="44" xfId="0" applyFont="1" applyFill="1" applyBorder="1" applyAlignment="1">
      <alignment horizontal="center" vertical="center"/>
    </xf>
    <xf numFmtId="0" fontId="12" fillId="5" borderId="45" xfId="0" applyFont="1" applyFill="1" applyBorder="1" applyAlignment="1">
      <alignment horizontal="center" vertical="center"/>
    </xf>
    <xf numFmtId="0" fontId="12" fillId="5" borderId="108" xfId="0" applyFont="1" applyFill="1" applyBorder="1" applyAlignment="1">
      <alignment horizontal="center" vertical="center"/>
    </xf>
    <xf numFmtId="0" fontId="12" fillId="5" borderId="42" xfId="0" applyFont="1" applyFill="1" applyBorder="1" applyAlignment="1">
      <alignment horizontal="center" vertical="center"/>
    </xf>
    <xf numFmtId="0" fontId="12" fillId="5" borderId="48" xfId="0" applyFont="1" applyFill="1" applyBorder="1" applyAlignment="1">
      <alignment horizontal="center" vertical="center"/>
    </xf>
    <xf numFmtId="0" fontId="12" fillId="5" borderId="58" xfId="0" applyFont="1" applyFill="1" applyBorder="1" applyAlignment="1">
      <alignment horizontal="center" vertical="center"/>
    </xf>
    <xf numFmtId="0" fontId="12" fillId="5" borderId="61" xfId="0" applyFont="1" applyFill="1" applyBorder="1" applyAlignment="1">
      <alignment horizontal="center" vertical="center"/>
    </xf>
    <xf numFmtId="0" fontId="2" fillId="3" borderId="126" xfId="0" applyFont="1" applyFill="1" applyBorder="1" applyAlignment="1">
      <alignment horizontal="center" vertical="center"/>
    </xf>
    <xf numFmtId="0" fontId="2" fillId="3" borderId="67" xfId="0" applyFont="1" applyFill="1" applyBorder="1" applyAlignment="1">
      <alignment horizontal="center" vertical="center"/>
    </xf>
    <xf numFmtId="0" fontId="2" fillId="3" borderId="69" xfId="0" applyFont="1" applyFill="1" applyBorder="1" applyAlignment="1">
      <alignment horizontal="center" vertical="center"/>
    </xf>
    <xf numFmtId="0" fontId="2" fillId="3" borderId="70" xfId="0" applyFont="1" applyFill="1" applyBorder="1" applyAlignment="1">
      <alignment horizontal="center" vertical="center"/>
    </xf>
    <xf numFmtId="0" fontId="2" fillId="3" borderId="73" xfId="0" applyFont="1" applyFill="1" applyBorder="1" applyAlignment="1">
      <alignment horizontal="center" vertical="center"/>
    </xf>
    <xf numFmtId="0" fontId="2" fillId="3" borderId="17" xfId="0" applyFont="1" applyFill="1" applyBorder="1" applyAlignment="1">
      <alignment horizontal="center" vertical="center"/>
    </xf>
    <xf numFmtId="0" fontId="22" fillId="3" borderId="74" xfId="1" applyFont="1" applyFill="1" applyBorder="1" applyAlignment="1" applyProtection="1">
      <alignment horizontal="center" vertical="center"/>
    </xf>
    <xf numFmtId="0" fontId="9" fillId="3" borderId="9" xfId="0" applyFont="1" applyFill="1" applyBorder="1" applyAlignment="1">
      <alignment horizontal="center" vertical="center"/>
    </xf>
    <xf numFmtId="0" fontId="12" fillId="7" borderId="12" xfId="0" applyFont="1" applyFill="1" applyBorder="1" applyAlignment="1">
      <alignment horizontal="left" vertical="top"/>
    </xf>
    <xf numFmtId="0" fontId="9" fillId="3" borderId="120" xfId="0" applyFont="1" applyFill="1" applyBorder="1" applyAlignment="1">
      <alignment horizontal="center" vertical="center"/>
    </xf>
    <xf numFmtId="0" fontId="12" fillId="5" borderId="0" xfId="0" applyFont="1" applyFill="1" applyAlignment="1">
      <alignment horizontal="left" vertical="top"/>
    </xf>
    <xf numFmtId="0" fontId="12" fillId="7" borderId="0" xfId="0" applyFont="1" applyFill="1" applyAlignment="1">
      <alignment horizontal="left" vertical="top"/>
    </xf>
    <xf numFmtId="0" fontId="11" fillId="4" borderId="71" xfId="0" applyFont="1" applyFill="1" applyBorder="1" applyAlignment="1">
      <alignment vertical="center"/>
    </xf>
    <xf numFmtId="0" fontId="12" fillId="6" borderId="131" xfId="0" applyFont="1" applyFill="1" applyBorder="1" applyAlignment="1">
      <alignment horizontal="center" vertical="center"/>
    </xf>
    <xf numFmtId="0" fontId="12" fillId="7" borderId="99" xfId="0" applyFont="1" applyFill="1" applyBorder="1" applyAlignment="1">
      <alignment horizontal="left" vertical="top"/>
    </xf>
    <xf numFmtId="0" fontId="11" fillId="4" borderId="3" xfId="0" applyFont="1" applyFill="1" applyBorder="1" applyAlignment="1">
      <alignment vertical="center" wrapText="1"/>
    </xf>
    <xf numFmtId="0" fontId="9" fillId="0" borderId="174" xfId="0" applyFont="1" applyBorder="1" applyAlignment="1">
      <alignment wrapText="1"/>
    </xf>
    <xf numFmtId="0" fontId="12" fillId="0" borderId="174" xfId="0" applyFont="1" applyBorder="1" applyAlignment="1">
      <alignment wrapText="1"/>
    </xf>
    <xf numFmtId="0" fontId="9" fillId="0" borderId="175" xfId="0" applyFont="1" applyBorder="1" applyAlignment="1">
      <alignment wrapText="1"/>
    </xf>
    <xf numFmtId="0" fontId="12" fillId="0" borderId="175" xfId="0" applyFont="1" applyBorder="1" applyAlignment="1">
      <alignment wrapText="1"/>
    </xf>
    <xf numFmtId="0" fontId="27" fillId="0" borderId="15" xfId="0" applyFont="1" applyBorder="1" applyAlignment="1">
      <alignment horizontal="left" vertical="center" wrapText="1"/>
    </xf>
    <xf numFmtId="0" fontId="27" fillId="0" borderId="176" xfId="0" applyFont="1" applyBorder="1" applyAlignment="1">
      <alignment wrapText="1"/>
    </xf>
    <xf numFmtId="1" fontId="9" fillId="3" borderId="48" xfId="0" applyNumberFormat="1" applyFont="1" applyFill="1" applyBorder="1" applyAlignment="1">
      <alignment horizontal="center" vertical="center"/>
    </xf>
    <xf numFmtId="0" fontId="12" fillId="2" borderId="11" xfId="0" applyFont="1" applyFill="1" applyBorder="1" applyAlignment="1">
      <alignment wrapText="1"/>
    </xf>
    <xf numFmtId="0" fontId="9" fillId="2" borderId="177" xfId="0" applyFont="1" applyFill="1" applyBorder="1" applyAlignment="1" applyProtection="1">
      <alignment horizontal="center" vertical="center" wrapText="1"/>
      <protection locked="0"/>
    </xf>
    <xf numFmtId="0" fontId="9" fillId="2" borderId="178" xfId="0" applyFont="1" applyFill="1" applyBorder="1" applyAlignment="1" applyProtection="1">
      <alignment horizontal="center" vertical="center" wrapText="1"/>
      <protection locked="0"/>
    </xf>
    <xf numFmtId="0" fontId="12" fillId="2" borderId="179" xfId="0" applyFont="1" applyFill="1" applyBorder="1" applyAlignment="1">
      <alignment wrapText="1"/>
    </xf>
    <xf numFmtId="0" fontId="9" fillId="2" borderId="49" xfId="0" applyFont="1" applyFill="1" applyBorder="1" applyAlignment="1" applyProtection="1">
      <alignment horizontal="center" vertical="center" wrapText="1"/>
      <protection locked="0"/>
    </xf>
    <xf numFmtId="0" fontId="9" fillId="2" borderId="103" xfId="0" applyFont="1" applyFill="1" applyBorder="1" applyAlignment="1" applyProtection="1">
      <alignment horizontal="center" vertical="center" wrapText="1"/>
      <protection locked="0"/>
    </xf>
    <xf numFmtId="0" fontId="9" fillId="2" borderId="51" xfId="0" applyFont="1" applyFill="1" applyBorder="1" applyAlignment="1" applyProtection="1">
      <alignment horizontal="center" vertical="center" wrapText="1"/>
      <protection locked="0"/>
    </xf>
    <xf numFmtId="0" fontId="9" fillId="2" borderId="163" xfId="0" applyFont="1" applyFill="1" applyBorder="1" applyAlignment="1" applyProtection="1">
      <alignment horizontal="center" vertical="center" wrapText="1"/>
      <protection locked="0"/>
    </xf>
    <xf numFmtId="0" fontId="12" fillId="2" borderId="153" xfId="0" applyFont="1" applyFill="1" applyBorder="1" applyAlignment="1">
      <alignment wrapText="1"/>
    </xf>
    <xf numFmtId="0" fontId="12" fillId="0" borderId="18"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2" borderId="181" xfId="0" applyFont="1" applyFill="1" applyBorder="1" applyAlignment="1">
      <alignment wrapText="1"/>
    </xf>
    <xf numFmtId="0" fontId="12" fillId="2" borderId="38" xfId="0" applyFont="1" applyFill="1" applyBorder="1" applyAlignment="1" applyProtection="1">
      <alignment horizontal="center" vertical="center"/>
      <protection locked="0"/>
    </xf>
    <xf numFmtId="0" fontId="12" fillId="2" borderId="108" xfId="0" applyFont="1" applyFill="1" applyBorder="1" applyAlignment="1" applyProtection="1">
      <alignment horizontal="center" vertical="center"/>
      <protection locked="0"/>
    </xf>
    <xf numFmtId="0" fontId="13" fillId="2" borderId="182" xfId="0" applyFont="1" applyFill="1" applyBorder="1" applyAlignment="1">
      <alignment wrapText="1"/>
    </xf>
    <xf numFmtId="0" fontId="9" fillId="2" borderId="183" xfId="0" applyFont="1" applyFill="1" applyBorder="1" applyAlignment="1" applyProtection="1">
      <alignment horizontal="center" vertical="center" wrapText="1"/>
      <protection locked="0"/>
    </xf>
    <xf numFmtId="0" fontId="9" fillId="2" borderId="184" xfId="0" applyFont="1" applyFill="1" applyBorder="1" applyAlignment="1" applyProtection="1">
      <alignment horizontal="center" vertical="center" wrapText="1"/>
      <protection locked="0"/>
    </xf>
    <xf numFmtId="0" fontId="12" fillId="0" borderId="46" xfId="0" applyFont="1" applyBorder="1" applyAlignment="1" applyProtection="1">
      <alignment horizontal="center" vertical="center" wrapText="1"/>
      <protection locked="0"/>
    </xf>
    <xf numFmtId="0" fontId="13" fillId="2" borderId="180" xfId="0" applyFont="1" applyFill="1" applyBorder="1" applyAlignment="1">
      <alignment wrapText="1"/>
    </xf>
    <xf numFmtId="0" fontId="12" fillId="0" borderId="26" xfId="0" applyFont="1" applyBorder="1" applyAlignment="1" applyProtection="1">
      <alignment horizontal="center" vertical="center" wrapText="1"/>
      <protection locked="0"/>
    </xf>
    <xf numFmtId="0" fontId="13" fillId="2" borderId="185" xfId="0" applyFont="1" applyFill="1" applyBorder="1" applyAlignment="1">
      <alignment wrapText="1"/>
    </xf>
    <xf numFmtId="0" fontId="12" fillId="2" borderId="10" xfId="0" applyFont="1" applyFill="1" applyBorder="1" applyAlignment="1" applyProtection="1">
      <alignment horizontal="center" vertical="center"/>
      <protection locked="0"/>
    </xf>
    <xf numFmtId="0" fontId="11" fillId="0" borderId="0" xfId="0" applyFont="1" applyAlignment="1">
      <alignment horizontal="left" vertical="center" wrapText="1"/>
    </xf>
    <xf numFmtId="0" fontId="9" fillId="0" borderId="118" xfId="0" applyFont="1" applyBorder="1" applyAlignment="1" applyProtection="1">
      <alignment wrapText="1"/>
      <protection locked="0"/>
    </xf>
    <xf numFmtId="0" fontId="12" fillId="0" borderId="0" xfId="0" applyFont="1"/>
    <xf numFmtId="0" fontId="9" fillId="0" borderId="0" xfId="0" applyFont="1"/>
    <xf numFmtId="0" fontId="28" fillId="0" borderId="0" xfId="0" applyFont="1" applyAlignment="1">
      <alignment horizontal="left" vertical="center" wrapText="1"/>
    </xf>
    <xf numFmtId="0" fontId="28" fillId="0" borderId="0" xfId="0" applyFont="1" applyAlignment="1">
      <alignment wrapText="1"/>
    </xf>
    <xf numFmtId="0" fontId="12" fillId="2" borderId="26" xfId="0" applyFont="1" applyFill="1" applyBorder="1" applyAlignment="1" applyProtection="1">
      <alignment horizontal="center" vertical="center"/>
      <protection locked="0"/>
    </xf>
    <xf numFmtId="0" fontId="9" fillId="2" borderId="204" xfId="0" applyFont="1" applyFill="1" applyBorder="1" applyAlignment="1" applyProtection="1">
      <alignment horizontal="center" vertical="center" wrapText="1"/>
      <protection locked="0"/>
    </xf>
    <xf numFmtId="0" fontId="9" fillId="2" borderId="50" xfId="0" applyFont="1" applyFill="1" applyBorder="1" applyAlignment="1" applyProtection="1">
      <alignment horizontal="center" vertical="center" wrapText="1"/>
      <protection locked="0"/>
    </xf>
    <xf numFmtId="0" fontId="9" fillId="2" borderId="52" xfId="0" applyFont="1" applyFill="1" applyBorder="1" applyAlignment="1" applyProtection="1">
      <alignment horizontal="center" vertical="center" wrapText="1"/>
      <protection locked="0"/>
    </xf>
    <xf numFmtId="0" fontId="12" fillId="0" borderId="53" xfId="0" applyFont="1" applyBorder="1" applyAlignment="1" applyProtection="1">
      <alignment horizontal="center" vertical="center" wrapText="1"/>
      <protection locked="0"/>
    </xf>
    <xf numFmtId="0" fontId="12" fillId="2" borderId="133" xfId="0" applyFont="1" applyFill="1" applyBorder="1" applyAlignment="1" applyProtection="1">
      <alignment horizontal="center" vertical="center"/>
      <protection locked="0"/>
    </xf>
    <xf numFmtId="0" fontId="9" fillId="2" borderId="120" xfId="0" applyFont="1" applyFill="1" applyBorder="1" applyAlignment="1" applyProtection="1">
      <alignment horizontal="center" vertical="center" wrapText="1"/>
      <protection locked="0"/>
    </xf>
    <xf numFmtId="0" fontId="12" fillId="2" borderId="57" xfId="0" applyFont="1" applyFill="1" applyBorder="1" applyAlignment="1" applyProtection="1">
      <alignment horizontal="center" vertical="center"/>
      <protection locked="0"/>
    </xf>
    <xf numFmtId="0" fontId="12" fillId="0" borderId="119" xfId="0" applyFont="1" applyBorder="1" applyAlignment="1" applyProtection="1">
      <alignment horizontal="center" vertical="center" wrapText="1"/>
      <protection locked="0"/>
    </xf>
    <xf numFmtId="0" fontId="12" fillId="0" borderId="57" xfId="0" applyFont="1" applyBorder="1" applyAlignment="1" applyProtection="1">
      <alignment horizontal="center" vertical="center" wrapText="1"/>
      <protection locked="0"/>
    </xf>
    <xf numFmtId="0" fontId="12" fillId="2" borderId="107" xfId="0" applyFont="1" applyFill="1" applyBorder="1" applyAlignment="1" applyProtection="1">
      <alignment horizontal="center" vertical="center"/>
      <protection locked="0"/>
    </xf>
    <xf numFmtId="0" fontId="9" fillId="3" borderId="11" xfId="0" applyFont="1" applyFill="1" applyBorder="1" applyAlignment="1">
      <alignment horizontal="center" vertical="center"/>
    </xf>
    <xf numFmtId="0" fontId="12" fillId="5" borderId="29" xfId="0" applyFont="1" applyFill="1" applyBorder="1" applyAlignment="1">
      <alignment horizontal="left" vertical="top"/>
    </xf>
    <xf numFmtId="0" fontId="12" fillId="7" borderId="29" xfId="0" applyFont="1" applyFill="1" applyBorder="1" applyAlignment="1">
      <alignment horizontal="left" vertical="top" wrapText="1"/>
    </xf>
    <xf numFmtId="0" fontId="9" fillId="3" borderId="79" xfId="0" applyFont="1" applyFill="1" applyBorder="1" applyAlignment="1">
      <alignment horizontal="center" vertical="center"/>
    </xf>
    <xf numFmtId="0" fontId="12" fillId="5" borderId="74" xfId="0" applyFont="1" applyFill="1" applyBorder="1" applyAlignment="1">
      <alignment vertical="top"/>
    </xf>
    <xf numFmtId="0" fontId="12" fillId="7" borderId="74" xfId="0" applyFont="1" applyFill="1" applyBorder="1" applyAlignment="1">
      <alignment horizontal="left" vertical="top" wrapText="1"/>
    </xf>
    <xf numFmtId="0" fontId="15" fillId="0" borderId="0" xfId="0" applyFont="1"/>
    <xf numFmtId="0" fontId="34" fillId="0" borderId="0" xfId="0" applyFont="1" applyAlignment="1">
      <alignment vertical="center"/>
    </xf>
    <xf numFmtId="0" fontId="35" fillId="0" borderId="0" xfId="0" applyFont="1"/>
    <xf numFmtId="0" fontId="36" fillId="0" borderId="0" xfId="0" applyFont="1"/>
    <xf numFmtId="0" fontId="36" fillId="0" borderId="0" xfId="0" applyFont="1" applyAlignment="1">
      <alignment vertical="center"/>
    </xf>
    <xf numFmtId="0" fontId="37" fillId="0" borderId="0" xfId="0" applyFont="1"/>
    <xf numFmtId="0" fontId="36" fillId="2" borderId="0" xfId="0" applyFont="1" applyFill="1"/>
    <xf numFmtId="0" fontId="0" fillId="0" borderId="0" xfId="0" applyAlignment="1">
      <alignment wrapText="1"/>
    </xf>
    <xf numFmtId="0" fontId="0" fillId="0" borderId="0" xfId="0" applyAlignment="1">
      <alignment horizontal="center"/>
    </xf>
    <xf numFmtId="0" fontId="38" fillId="4" borderId="211" xfId="0" applyFont="1" applyFill="1" applyBorder="1" applyAlignment="1">
      <alignment vertical="center" wrapText="1"/>
    </xf>
    <xf numFmtId="0" fontId="38" fillId="4" borderId="174" xfId="0" applyFont="1" applyFill="1" applyBorder="1" applyAlignment="1">
      <alignment vertical="center" wrapText="1"/>
    </xf>
    <xf numFmtId="0" fontId="38" fillId="4" borderId="174" xfId="0" applyFont="1" applyFill="1" applyBorder="1" applyAlignment="1">
      <alignment horizontal="center" vertical="center" wrapText="1"/>
    </xf>
    <xf numFmtId="0" fontId="38" fillId="4" borderId="212" xfId="0" applyFont="1" applyFill="1" applyBorder="1" applyAlignment="1">
      <alignment vertical="center" wrapText="1"/>
    </xf>
    <xf numFmtId="0" fontId="39" fillId="0" borderId="213" xfId="0" applyFont="1" applyBorder="1" applyAlignment="1">
      <alignment vertical="center" wrapText="1"/>
    </xf>
    <xf numFmtId="0" fontId="39" fillId="0" borderId="175" xfId="0" applyFont="1" applyBorder="1" applyAlignment="1">
      <alignment vertical="center" wrapText="1"/>
    </xf>
    <xf numFmtId="0" fontId="39" fillId="0" borderId="175" xfId="0" applyFont="1" applyBorder="1" applyAlignment="1">
      <alignment horizontal="left" vertical="center" wrapText="1"/>
    </xf>
    <xf numFmtId="0" fontId="39" fillId="0" borderId="175" xfId="0" applyFont="1" applyBorder="1" applyAlignment="1">
      <alignment horizontal="center" vertical="center" wrapText="1"/>
    </xf>
    <xf numFmtId="0" fontId="39" fillId="0" borderId="214" xfId="0" applyFont="1" applyBorder="1" applyAlignment="1">
      <alignment vertical="center" wrapText="1"/>
    </xf>
    <xf numFmtId="49" fontId="39" fillId="0" borderId="175" xfId="0" applyNumberFormat="1" applyFont="1" applyBorder="1" applyAlignment="1">
      <alignment horizontal="left" vertical="center" wrapText="1"/>
    </xf>
    <xf numFmtId="0" fontId="39" fillId="0" borderId="215" xfId="0" applyFont="1" applyBorder="1" applyAlignment="1">
      <alignment vertical="center" wrapText="1"/>
    </xf>
    <xf numFmtId="0" fontId="39" fillId="0" borderId="216" xfId="0" applyFont="1" applyBorder="1" applyAlignment="1">
      <alignment vertical="center" wrapText="1"/>
    </xf>
    <xf numFmtId="0" fontId="39" fillId="0" borderId="216" xfId="0" applyFont="1" applyBorder="1" applyAlignment="1">
      <alignment horizontal="left" vertical="center" wrapText="1"/>
    </xf>
    <xf numFmtId="0" fontId="39" fillId="0" borderId="216" xfId="0" applyFont="1" applyBorder="1" applyAlignment="1">
      <alignment horizontal="center" vertical="center" wrapText="1"/>
    </xf>
    <xf numFmtId="0" fontId="39" fillId="0" borderId="217" xfId="0" applyFont="1" applyBorder="1" applyAlignment="1">
      <alignment vertical="center" wrapText="1"/>
    </xf>
    <xf numFmtId="0" fontId="40" fillId="0" borderId="174" xfId="0" applyFont="1" applyBorder="1" applyAlignment="1">
      <alignment wrapText="1"/>
    </xf>
    <xf numFmtId="0" fontId="41" fillId="0" borderId="174" xfId="0" applyFont="1" applyBorder="1" applyAlignment="1">
      <alignment wrapText="1"/>
    </xf>
    <xf numFmtId="0" fontId="40" fillId="0" borderId="175" xfId="0" applyFont="1" applyBorder="1" applyAlignment="1">
      <alignment wrapText="1"/>
    </xf>
    <xf numFmtId="0" fontId="41" fillId="0" borderId="175" xfId="0" applyFont="1" applyBorder="1" applyAlignment="1">
      <alignment wrapText="1"/>
    </xf>
    <xf numFmtId="0" fontId="54" fillId="0" borderId="2" xfId="0" applyFont="1" applyBorder="1" applyAlignment="1">
      <alignment wrapText="1"/>
    </xf>
    <xf numFmtId="0" fontId="60" fillId="0" borderId="35" xfId="0" applyFont="1" applyBorder="1" applyAlignment="1">
      <alignment wrapText="1"/>
    </xf>
    <xf numFmtId="0" fontId="61" fillId="0" borderId="213" xfId="0" applyFont="1" applyBorder="1" applyAlignment="1">
      <alignment vertical="center" wrapText="1"/>
    </xf>
    <xf numFmtId="0" fontId="0" fillId="0" borderId="117" xfId="0" applyBorder="1"/>
    <xf numFmtId="0" fontId="0" fillId="0" borderId="120" xfId="0" applyBorder="1" applyAlignment="1">
      <alignment wrapText="1"/>
    </xf>
    <xf numFmtId="0" fontId="12" fillId="6" borderId="7" xfId="0" applyFont="1" applyFill="1" applyBorder="1" applyAlignment="1">
      <alignment vertical="center"/>
    </xf>
    <xf numFmtId="0" fontId="12" fillId="6" borderId="75" xfId="0" applyFont="1" applyFill="1" applyBorder="1" applyAlignment="1">
      <alignment vertical="center"/>
    </xf>
    <xf numFmtId="0" fontId="12" fillId="6" borderId="9" xfId="0" applyFont="1" applyFill="1" applyBorder="1" applyAlignment="1">
      <alignment vertical="center"/>
    </xf>
    <xf numFmtId="0" fontId="12" fillId="0" borderId="219" xfId="0" applyFont="1" applyBorder="1" applyAlignment="1" applyProtection="1">
      <alignment horizontal="center" vertical="center"/>
      <protection locked="0"/>
    </xf>
    <xf numFmtId="0" fontId="12" fillId="6" borderId="219" xfId="0" applyFont="1" applyFill="1" applyBorder="1" applyAlignment="1">
      <alignment horizontal="center" vertical="center"/>
    </xf>
    <xf numFmtId="0" fontId="14" fillId="0" borderId="219" xfId="0" applyFont="1" applyBorder="1" applyAlignment="1" applyProtection="1">
      <alignment horizontal="center" vertical="center"/>
      <protection locked="0"/>
    </xf>
    <xf numFmtId="0" fontId="9" fillId="0" borderId="219" xfId="0" applyFont="1" applyBorder="1" applyAlignment="1" applyProtection="1">
      <alignment horizontal="center" vertical="center"/>
      <protection locked="0"/>
    </xf>
    <xf numFmtId="0" fontId="11" fillId="2" borderId="219" xfId="0" applyFont="1" applyFill="1" applyBorder="1" applyAlignment="1" applyProtection="1">
      <alignment horizontal="center" vertical="center"/>
      <protection locked="0"/>
    </xf>
    <xf numFmtId="0" fontId="9" fillId="3" borderId="220" xfId="0" applyFont="1" applyFill="1" applyBorder="1" applyAlignment="1">
      <alignment horizontal="center" vertical="center"/>
    </xf>
    <xf numFmtId="0" fontId="9" fillId="3" borderId="221" xfId="0" applyFont="1" applyFill="1" applyBorder="1" applyAlignment="1">
      <alignment horizontal="center" vertical="center"/>
    </xf>
    <xf numFmtId="0" fontId="16" fillId="6" borderId="88" xfId="0" applyFont="1" applyFill="1" applyBorder="1" applyAlignment="1">
      <alignment vertical="center"/>
    </xf>
    <xf numFmtId="0" fontId="12" fillId="7" borderId="84" xfId="0" applyFont="1" applyFill="1" applyBorder="1" applyAlignment="1">
      <alignment horizontal="center" vertical="center"/>
    </xf>
    <xf numFmtId="0" fontId="12" fillId="7" borderId="158" xfId="0" applyFont="1" applyFill="1" applyBorder="1" applyAlignment="1">
      <alignment horizontal="center" vertical="center"/>
    </xf>
    <xf numFmtId="0" fontId="9" fillId="0" borderId="163" xfId="0" applyFont="1" applyBorder="1" applyAlignment="1" applyProtection="1">
      <alignment horizontal="center" vertical="center"/>
    </xf>
    <xf numFmtId="0" fontId="9" fillId="0" borderId="52" xfId="0" applyFont="1" applyBorder="1" applyAlignment="1" applyProtection="1">
      <alignment horizontal="center" vertical="center"/>
    </xf>
    <xf numFmtId="0" fontId="9" fillId="3" borderId="68" xfId="0" applyFont="1" applyFill="1" applyBorder="1" applyAlignment="1" applyProtection="1">
      <alignment horizontal="center" vertical="center"/>
    </xf>
    <xf numFmtId="0" fontId="9" fillId="3" borderId="52" xfId="0" applyFont="1" applyFill="1" applyBorder="1" applyAlignment="1" applyProtection="1">
      <alignment horizontal="center" vertical="center"/>
    </xf>
    <xf numFmtId="0" fontId="9" fillId="0" borderId="104" xfId="0" applyFont="1" applyBorder="1" applyAlignment="1" applyProtection="1">
      <alignment horizontal="center" vertical="center"/>
    </xf>
    <xf numFmtId="0" fontId="9" fillId="0" borderId="60" xfId="0" applyFont="1" applyBorder="1" applyAlignment="1" applyProtection="1">
      <alignment horizontal="center" vertical="center"/>
    </xf>
    <xf numFmtId="0" fontId="9" fillId="3" borderId="222" xfId="0" applyFont="1" applyFill="1" applyBorder="1" applyAlignment="1" applyProtection="1">
      <alignment horizontal="center" vertical="center"/>
    </xf>
    <xf numFmtId="0" fontId="9" fillId="3" borderId="109" xfId="0" applyFont="1" applyFill="1" applyBorder="1" applyAlignment="1" applyProtection="1">
      <alignment horizontal="center" vertical="center"/>
    </xf>
    <xf numFmtId="0" fontId="12" fillId="6" borderId="0" xfId="0" applyFont="1" applyFill="1" applyBorder="1" applyAlignment="1">
      <alignment horizontal="center" vertical="center"/>
    </xf>
    <xf numFmtId="0" fontId="12" fillId="6" borderId="5" xfId="0" applyFont="1" applyFill="1" applyBorder="1" applyAlignment="1">
      <alignment horizontal="center" vertical="center"/>
    </xf>
    <xf numFmtId="0" fontId="12" fillId="2" borderId="16" xfId="0" applyFont="1" applyFill="1" applyBorder="1" applyAlignment="1">
      <alignment vertical="center" wrapText="1"/>
    </xf>
    <xf numFmtId="0" fontId="23" fillId="6" borderId="136" xfId="0" applyFont="1" applyFill="1" applyBorder="1" applyAlignment="1">
      <alignment horizontal="center" vertical="center"/>
    </xf>
    <xf numFmtId="0" fontId="23" fillId="6" borderId="41" xfId="0" applyFont="1" applyFill="1" applyBorder="1" applyAlignment="1">
      <alignment horizontal="center" vertical="center"/>
    </xf>
    <xf numFmtId="0" fontId="23" fillId="0" borderId="87" xfId="0" applyFont="1" applyBorder="1" applyAlignment="1" applyProtection="1">
      <alignment horizontal="center" vertical="center"/>
      <protection locked="0"/>
    </xf>
    <xf numFmtId="0" fontId="23" fillId="0" borderId="40" xfId="0" applyFont="1" applyBorder="1" applyAlignment="1" applyProtection="1">
      <alignment horizontal="center" vertical="center"/>
      <protection locked="0"/>
    </xf>
    <xf numFmtId="0" fontId="23" fillId="6" borderId="5" xfId="0" applyFont="1" applyFill="1" applyBorder="1" applyAlignment="1">
      <alignment horizontal="center" vertical="center"/>
    </xf>
    <xf numFmtId="0" fontId="23" fillId="0" borderId="6" xfId="0" applyFont="1" applyBorder="1" applyAlignment="1" applyProtection="1">
      <alignment horizontal="center" vertical="center"/>
      <protection locked="0"/>
    </xf>
    <xf numFmtId="0" fontId="12" fillId="0" borderId="157" xfId="0" applyFont="1" applyFill="1" applyBorder="1" applyAlignment="1" applyProtection="1">
      <alignment horizontal="center" vertical="center"/>
      <protection locked="0"/>
    </xf>
    <xf numFmtId="0" fontId="2" fillId="3" borderId="222" xfId="0" applyFont="1" applyFill="1" applyBorder="1" applyAlignment="1">
      <alignment horizontal="center" vertical="center"/>
    </xf>
    <xf numFmtId="0" fontId="23" fillId="0" borderId="39" xfId="0" applyFont="1" applyBorder="1" applyAlignment="1" applyProtection="1">
      <alignment horizontal="center" vertical="center"/>
      <protection locked="0"/>
    </xf>
    <xf numFmtId="0" fontId="23" fillId="0" borderId="102" xfId="0" applyFont="1" applyBorder="1" applyAlignment="1" applyProtection="1">
      <alignment horizontal="center" vertical="center"/>
      <protection locked="0"/>
    </xf>
    <xf numFmtId="0" fontId="23" fillId="6" borderId="223" xfId="0" applyFont="1" applyFill="1" applyBorder="1" applyAlignment="1">
      <alignment horizontal="center" vertical="center"/>
    </xf>
    <xf numFmtId="0" fontId="25" fillId="3" borderId="5" xfId="1" applyFont="1" applyFill="1" applyBorder="1" applyAlignment="1" applyProtection="1">
      <alignment horizontal="center" vertical="center"/>
    </xf>
    <xf numFmtId="0" fontId="25" fillId="3" borderId="6" xfId="1" applyFont="1" applyFill="1" applyBorder="1" applyAlignment="1" applyProtection="1">
      <alignment horizontal="center" vertical="center"/>
    </xf>
    <xf numFmtId="0" fontId="25" fillId="3" borderId="71" xfId="1" applyFont="1" applyFill="1" applyBorder="1" applyAlignment="1" applyProtection="1">
      <alignment horizontal="center" vertical="center"/>
    </xf>
    <xf numFmtId="0" fontId="12" fillId="0" borderId="13" xfId="0" applyFont="1" applyBorder="1" applyAlignment="1" applyProtection="1">
      <alignment horizontal="center" vertical="center"/>
      <protection locked="0"/>
    </xf>
    <xf numFmtId="0" fontId="12" fillId="0" borderId="97" xfId="0" applyFont="1" applyBorder="1" applyAlignment="1" applyProtection="1">
      <alignment horizontal="center" vertical="center"/>
      <protection locked="0"/>
    </xf>
    <xf numFmtId="49" fontId="13" fillId="6" borderId="39" xfId="2" applyNumberFormat="1" applyFont="1" applyFill="1" applyBorder="1" applyAlignment="1">
      <alignment horizontal="center" vertical="center"/>
    </xf>
    <xf numFmtId="0" fontId="12" fillId="6" borderId="8" xfId="0" applyFont="1" applyFill="1" applyBorder="1" applyAlignment="1" applyProtection="1">
      <alignment horizontal="center" vertical="center"/>
      <protection locked="0"/>
    </xf>
    <xf numFmtId="0" fontId="12" fillId="4" borderId="10" xfId="0" applyFont="1" applyFill="1" applyBorder="1" applyAlignment="1">
      <alignment horizontal="center" vertical="center"/>
    </xf>
    <xf numFmtId="0" fontId="12" fillId="6" borderId="10" xfId="0" applyFont="1" applyFill="1" applyBorder="1" applyAlignment="1" applyProtection="1">
      <alignment horizontal="center" vertical="center"/>
      <protection locked="0"/>
    </xf>
    <xf numFmtId="0" fontId="9" fillId="3" borderId="25" xfId="0" applyFont="1" applyFill="1" applyBorder="1" applyAlignment="1">
      <alignment horizontal="center" vertical="center"/>
    </xf>
    <xf numFmtId="0" fontId="12" fillId="4" borderId="45" xfId="0" applyFont="1" applyFill="1" applyBorder="1" applyAlignment="1">
      <alignment horizontal="center" vertical="center"/>
    </xf>
    <xf numFmtId="0" fontId="12" fillId="4" borderId="107" xfId="0" applyFont="1" applyFill="1" applyBorder="1" applyAlignment="1">
      <alignment horizontal="center" vertical="center"/>
    </xf>
    <xf numFmtId="0" fontId="12" fillId="5" borderId="40" xfId="0" applyFont="1" applyFill="1" applyBorder="1" applyAlignment="1">
      <alignment horizontal="center" vertical="center"/>
    </xf>
    <xf numFmtId="0" fontId="12" fillId="5" borderId="102" xfId="0" applyFont="1" applyFill="1" applyBorder="1" applyAlignment="1">
      <alignment horizontal="center" vertical="center"/>
    </xf>
    <xf numFmtId="0" fontId="9" fillId="3" borderId="23" xfId="0" applyFont="1" applyFill="1" applyBorder="1" applyAlignment="1">
      <alignment horizontal="center" vertical="center"/>
    </xf>
    <xf numFmtId="0" fontId="12" fillId="5" borderId="87" xfId="0" applyFont="1" applyFill="1" applyBorder="1" applyAlignment="1">
      <alignment horizontal="center" vertical="center"/>
    </xf>
    <xf numFmtId="0" fontId="27" fillId="6" borderId="73" xfId="0" applyFont="1" applyFill="1" applyBorder="1" applyAlignment="1">
      <alignment vertical="center"/>
    </xf>
    <xf numFmtId="0" fontId="9" fillId="13" borderId="30" xfId="0" applyFont="1" applyFill="1" applyBorder="1" applyAlignment="1">
      <alignment wrapText="1"/>
    </xf>
    <xf numFmtId="0" fontId="16" fillId="2" borderId="180" xfId="0" applyFont="1" applyFill="1" applyBorder="1" applyAlignment="1"/>
    <xf numFmtId="0" fontId="12" fillId="5" borderId="230" xfId="0" applyFont="1" applyFill="1" applyBorder="1" applyAlignment="1">
      <alignment horizontal="left" vertical="top"/>
    </xf>
    <xf numFmtId="1" fontId="9" fillId="3" borderId="11" xfId="0" applyNumberFormat="1" applyFont="1" applyFill="1" applyBorder="1" applyAlignment="1">
      <alignment horizontal="center" vertical="center"/>
    </xf>
    <xf numFmtId="0" fontId="9" fillId="3" borderId="75" xfId="0" applyFont="1" applyFill="1" applyBorder="1" applyAlignment="1">
      <alignment horizontal="center" vertical="center"/>
    </xf>
    <xf numFmtId="0" fontId="9" fillId="3" borderId="73" xfId="0" applyFont="1" applyFill="1" applyBorder="1" applyAlignment="1">
      <alignment horizontal="center" vertical="center"/>
    </xf>
    <xf numFmtId="1" fontId="9" fillId="3" borderId="152" xfId="0" applyNumberFormat="1" applyFont="1" applyFill="1" applyBorder="1" applyAlignment="1">
      <alignment horizontal="center" vertical="center"/>
    </xf>
    <xf numFmtId="1" fontId="9" fillId="3" borderId="125" xfId="0" applyNumberFormat="1" applyFont="1" applyFill="1" applyBorder="1" applyAlignment="1">
      <alignment horizontal="center" vertical="center"/>
    </xf>
    <xf numFmtId="0" fontId="12" fillId="0" borderId="89"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6" borderId="231" xfId="0" applyFont="1" applyFill="1" applyBorder="1" applyAlignment="1">
      <alignment horizontal="center" vertical="center"/>
    </xf>
    <xf numFmtId="0" fontId="12" fillId="0" borderId="124" xfId="0" applyFont="1" applyBorder="1" applyAlignment="1" applyProtection="1">
      <alignment horizontal="center" vertical="center"/>
      <protection locked="0"/>
    </xf>
    <xf numFmtId="0" fontId="12" fillId="6" borderId="232" xfId="0" applyFont="1" applyFill="1" applyBorder="1" applyAlignment="1">
      <alignment horizontal="center" vertical="center"/>
    </xf>
    <xf numFmtId="0" fontId="22" fillId="3" borderId="125" xfId="1" applyFont="1" applyFill="1" applyBorder="1" applyAlignment="1" applyProtection="1">
      <alignment horizontal="center" vertical="center" wrapText="1"/>
    </xf>
    <xf numFmtId="0" fontId="22" fillId="3" borderId="4" xfId="1" applyFont="1" applyFill="1" applyBorder="1" applyAlignment="1" applyProtection="1">
      <alignment horizontal="center" vertical="center"/>
    </xf>
    <xf numFmtId="0" fontId="12" fillId="6" borderId="78" xfId="0" applyFont="1" applyFill="1" applyBorder="1" applyAlignment="1">
      <alignment horizontal="center" vertical="center"/>
    </xf>
    <xf numFmtId="0" fontId="9" fillId="3" borderId="1" xfId="0" applyFont="1" applyFill="1" applyBorder="1" applyAlignment="1">
      <alignment horizontal="center" vertical="center"/>
    </xf>
    <xf numFmtId="0" fontId="22" fillId="3" borderId="1" xfId="1" applyFont="1" applyFill="1" applyBorder="1" applyAlignment="1" applyProtection="1">
      <alignment horizontal="center" vertical="center"/>
    </xf>
    <xf numFmtId="0" fontId="9" fillId="10" borderId="11" xfId="0" applyFont="1" applyFill="1" applyBorder="1" applyAlignment="1">
      <alignment horizontal="center" vertical="center" wrapText="1"/>
    </xf>
    <xf numFmtId="0" fontId="9" fillId="10" borderId="15"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10" fillId="18" borderId="21" xfId="0" applyFont="1" applyFill="1" applyBorder="1" applyAlignment="1">
      <alignment horizontal="center" vertical="center"/>
    </xf>
    <xf numFmtId="0" fontId="10" fillId="18" borderId="69" xfId="0" applyFont="1" applyFill="1" applyBorder="1" applyAlignment="1">
      <alignment horizontal="center" vertical="center"/>
    </xf>
    <xf numFmtId="0" fontId="14" fillId="0" borderId="225" xfId="0" applyFont="1" applyBorder="1" applyAlignment="1" applyProtection="1">
      <alignment horizontal="center" vertical="center"/>
      <protection locked="0"/>
    </xf>
    <xf numFmtId="0" fontId="9" fillId="0" borderId="225" xfId="0" applyFont="1" applyBorder="1" applyAlignment="1" applyProtection="1">
      <alignment horizontal="center" vertical="center"/>
      <protection locked="0"/>
    </xf>
    <xf numFmtId="0" fontId="11" fillId="2" borderId="227" xfId="0" applyFont="1" applyFill="1" applyBorder="1" applyAlignment="1" applyProtection="1">
      <alignment horizontal="center" vertical="center"/>
      <protection locked="0"/>
    </xf>
    <xf numFmtId="0" fontId="11" fillId="2" borderId="228" xfId="0" applyFont="1" applyFill="1" applyBorder="1" applyAlignment="1" applyProtection="1">
      <alignment horizontal="center" vertical="center"/>
      <protection locked="0"/>
    </xf>
    <xf numFmtId="0" fontId="14" fillId="0" borderId="224" xfId="0" applyFont="1" applyBorder="1" applyAlignment="1" applyProtection="1">
      <alignment horizontal="center" vertical="center"/>
      <protection locked="0"/>
    </xf>
    <xf numFmtId="0" fontId="9" fillId="0" borderId="224" xfId="0" applyFont="1" applyBorder="1" applyAlignment="1" applyProtection="1">
      <alignment horizontal="center" vertical="center"/>
      <protection locked="0"/>
    </xf>
    <xf numFmtId="0" fontId="11" fillId="2" borderId="226" xfId="0" applyFont="1" applyFill="1" applyBorder="1" applyAlignment="1" applyProtection="1">
      <alignment horizontal="center" vertical="center"/>
      <protection locked="0"/>
    </xf>
    <xf numFmtId="0" fontId="12" fillId="6" borderId="233" xfId="0" applyFont="1" applyFill="1" applyBorder="1" applyAlignment="1">
      <alignment horizontal="center" vertical="center"/>
    </xf>
    <xf numFmtId="0" fontId="12" fillId="6" borderId="234" xfId="0" applyFont="1" applyFill="1" applyBorder="1" applyAlignment="1">
      <alignment horizontal="center" vertical="center"/>
    </xf>
    <xf numFmtId="0" fontId="12" fillId="6" borderId="235" xfId="0" applyFont="1" applyFill="1" applyBorder="1" applyAlignment="1">
      <alignment horizontal="center" vertical="center"/>
    </xf>
    <xf numFmtId="0" fontId="12" fillId="5" borderId="16" xfId="0" applyFont="1" applyFill="1" applyBorder="1" applyAlignment="1">
      <alignment horizontal="left" vertical="top"/>
    </xf>
    <xf numFmtId="0" fontId="24" fillId="0" borderId="1" xfId="0" applyFont="1" applyBorder="1" applyAlignment="1">
      <alignment horizontal="left" vertical="center" wrapText="1"/>
    </xf>
    <xf numFmtId="0" fontId="12" fillId="6" borderId="7" xfId="0" applyFont="1" applyFill="1" applyBorder="1" applyAlignment="1">
      <alignment vertical="center"/>
    </xf>
    <xf numFmtId="0" fontId="15" fillId="6" borderId="58" xfId="0" applyFont="1" applyFill="1" applyBorder="1" applyAlignment="1">
      <alignment horizontal="center" vertical="center"/>
    </xf>
    <xf numFmtId="0" fontId="12" fillId="0" borderId="236" xfId="0" applyFont="1" applyBorder="1" applyAlignment="1" applyProtection="1">
      <alignment horizontal="center" vertical="center"/>
      <protection locked="0"/>
    </xf>
    <xf numFmtId="0" fontId="12" fillId="0" borderId="237" xfId="0" applyFont="1" applyBorder="1" applyAlignment="1" applyProtection="1">
      <alignment horizontal="center" vertical="center"/>
      <protection locked="0"/>
    </xf>
    <xf numFmtId="3" fontId="12" fillId="0" borderId="237" xfId="0" applyNumberFormat="1" applyFont="1" applyBorder="1" applyAlignment="1" applyProtection="1">
      <alignment horizontal="center" vertical="center"/>
      <protection locked="0"/>
    </xf>
    <xf numFmtId="0" fontId="12" fillId="0" borderId="238" xfId="0" applyFont="1" applyBorder="1" applyAlignment="1" applyProtection="1">
      <alignment horizontal="center" vertical="center"/>
      <protection locked="0"/>
    </xf>
    <xf numFmtId="0" fontId="12" fillId="0" borderId="224" xfId="0" applyFont="1" applyBorder="1" applyAlignment="1" applyProtection="1">
      <alignment horizontal="center" vertical="center"/>
      <protection locked="0"/>
    </xf>
    <xf numFmtId="0" fontId="12" fillId="0" borderId="225" xfId="0" applyFont="1" applyBorder="1" applyAlignment="1" applyProtection="1">
      <alignment horizontal="center" vertical="center"/>
      <protection locked="0"/>
    </xf>
    <xf numFmtId="0" fontId="12" fillId="6" borderId="225" xfId="0" applyFont="1" applyFill="1" applyBorder="1" applyAlignment="1">
      <alignment horizontal="center" vertical="center"/>
    </xf>
    <xf numFmtId="0" fontId="11" fillId="2" borderId="224" xfId="0" applyFont="1" applyFill="1" applyBorder="1" applyAlignment="1" applyProtection="1">
      <alignment horizontal="center" vertical="center"/>
      <protection locked="0"/>
    </xf>
    <xf numFmtId="0" fontId="11" fillId="2" borderId="225" xfId="0" applyFont="1" applyFill="1" applyBorder="1" applyAlignment="1" applyProtection="1">
      <alignment horizontal="center" vertical="center"/>
      <protection locked="0"/>
    </xf>
    <xf numFmtId="0" fontId="12" fillId="3" borderId="46" xfId="0" applyFont="1" applyFill="1" applyBorder="1" applyAlignment="1">
      <alignment horizontal="center" vertical="center"/>
    </xf>
    <xf numFmtId="0" fontId="12" fillId="3" borderId="119" xfId="0" applyFont="1" applyFill="1" applyBorder="1" applyAlignment="1">
      <alignment horizontal="center" vertical="center"/>
    </xf>
    <xf numFmtId="0" fontId="15" fillId="6" borderId="97" xfId="0" applyFont="1" applyFill="1" applyBorder="1" applyAlignment="1">
      <alignment horizontal="center" vertical="center"/>
    </xf>
    <xf numFmtId="0" fontId="15" fillId="6" borderId="98" xfId="0" applyFont="1" applyFill="1" applyBorder="1" applyAlignment="1">
      <alignment horizontal="center" vertical="center"/>
    </xf>
    <xf numFmtId="0" fontId="38" fillId="16" borderId="209" xfId="0" applyFont="1" applyFill="1" applyBorder="1" applyAlignment="1">
      <alignment horizontal="center" vertical="center" wrapText="1"/>
    </xf>
    <xf numFmtId="0" fontId="38" fillId="16" borderId="138" xfId="0" applyFont="1" applyFill="1" applyBorder="1" applyAlignment="1">
      <alignment horizontal="center" vertical="center" wrapText="1"/>
    </xf>
    <xf numFmtId="0" fontId="38" fillId="16" borderId="210" xfId="0" applyFont="1" applyFill="1" applyBorder="1" applyAlignment="1">
      <alignment horizontal="center" vertical="center" wrapText="1"/>
    </xf>
    <xf numFmtId="0" fontId="40" fillId="3" borderId="116" xfId="0" applyFont="1" applyFill="1" applyBorder="1" applyAlignment="1">
      <alignment horizontal="center" wrapText="1"/>
    </xf>
    <xf numFmtId="0" fontId="40" fillId="3" borderId="117" xfId="0" applyFont="1" applyFill="1" applyBorder="1" applyAlignment="1">
      <alignment horizontal="center" wrapText="1"/>
    </xf>
    <xf numFmtId="0" fontId="40" fillId="3" borderId="218" xfId="0" applyFont="1" applyFill="1" applyBorder="1" applyAlignment="1">
      <alignment horizontal="center" vertical="center" wrapText="1"/>
    </xf>
    <xf numFmtId="0" fontId="62" fillId="3" borderId="218" xfId="0" applyFont="1" applyFill="1" applyBorder="1" applyAlignment="1">
      <alignment horizontal="center" vertical="center" wrapText="1"/>
    </xf>
    <xf numFmtId="0" fontId="57" fillId="0" borderId="218" xfId="0" applyFont="1" applyBorder="1" applyAlignment="1">
      <alignment horizontal="center"/>
    </xf>
    <xf numFmtId="0" fontId="9" fillId="7" borderId="11" xfId="0" applyFont="1" applyFill="1" applyBorder="1" applyAlignment="1">
      <alignment horizontal="center" vertical="top" wrapText="1"/>
    </xf>
    <xf numFmtId="0" fontId="9" fillId="7" borderId="15" xfId="0" applyFont="1" applyFill="1" applyBorder="1" applyAlignment="1">
      <alignment horizontal="center" vertical="top" wrapText="1"/>
    </xf>
    <xf numFmtId="0" fontId="9" fillId="7" borderId="35" xfId="0" applyFont="1" applyFill="1" applyBorder="1" applyAlignment="1">
      <alignment horizontal="center" vertical="top" wrapText="1"/>
    </xf>
    <xf numFmtId="0" fontId="12" fillId="7" borderId="11" xfId="0" applyFont="1" applyFill="1" applyBorder="1" applyAlignment="1">
      <alignment horizontal="center" vertical="top" wrapText="1"/>
    </xf>
    <xf numFmtId="0" fontId="12" fillId="7" borderId="15" xfId="0" applyFont="1" applyFill="1" applyBorder="1" applyAlignment="1">
      <alignment horizontal="center" vertical="top" wrapText="1"/>
    </xf>
    <xf numFmtId="0" fontId="12" fillId="7" borderId="35" xfId="0" applyFont="1" applyFill="1" applyBorder="1" applyAlignment="1">
      <alignment horizontal="center" vertical="top" wrapText="1"/>
    </xf>
    <xf numFmtId="0" fontId="18" fillId="5" borderId="11" xfId="0" applyFont="1" applyFill="1" applyBorder="1" applyAlignment="1">
      <alignment horizontal="center" vertical="top" wrapText="1"/>
    </xf>
    <xf numFmtId="0" fontId="18" fillId="5" borderId="15" xfId="0" applyFont="1" applyFill="1" applyBorder="1" applyAlignment="1">
      <alignment horizontal="center" vertical="top" wrapText="1"/>
    </xf>
    <xf numFmtId="0" fontId="18" fillId="5" borderId="35" xfId="0" applyFont="1" applyFill="1" applyBorder="1" applyAlignment="1">
      <alignment horizontal="center" vertical="top" wrapText="1"/>
    </xf>
    <xf numFmtId="0" fontId="15" fillId="5" borderId="11" xfId="0" applyFont="1" applyFill="1" applyBorder="1" applyAlignment="1">
      <alignment horizontal="center" vertical="top" wrapText="1"/>
    </xf>
    <xf numFmtId="0" fontId="15" fillId="5" borderId="15" xfId="0" applyFont="1" applyFill="1" applyBorder="1" applyAlignment="1">
      <alignment horizontal="center" vertical="top" wrapText="1"/>
    </xf>
    <xf numFmtId="0" fontId="15" fillId="5" borderId="35" xfId="0" applyFont="1" applyFill="1" applyBorder="1" applyAlignment="1">
      <alignment horizontal="center" vertical="top" wrapText="1"/>
    </xf>
    <xf numFmtId="0" fontId="12" fillId="7" borderId="11" xfId="0" applyFont="1" applyFill="1" applyBorder="1" applyAlignment="1">
      <alignment horizontal="center" wrapText="1"/>
    </xf>
    <xf numFmtId="0" fontId="12" fillId="7" borderId="15" xfId="0" applyFont="1" applyFill="1" applyBorder="1" applyAlignment="1">
      <alignment horizontal="center" wrapText="1"/>
    </xf>
    <xf numFmtId="0" fontId="12" fillId="7" borderId="35" xfId="0" applyFont="1" applyFill="1" applyBorder="1" applyAlignment="1">
      <alignment horizontal="center" wrapText="1"/>
    </xf>
    <xf numFmtId="0" fontId="9" fillId="10" borderId="11"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11" fillId="4" borderId="5" xfId="0" applyFont="1" applyFill="1" applyBorder="1" applyAlignment="1">
      <alignment horizontal="left" vertical="center"/>
    </xf>
    <xf numFmtId="0" fontId="11" fillId="4" borderId="6" xfId="0" applyFont="1" applyFill="1" applyBorder="1" applyAlignment="1">
      <alignment horizontal="left" vertical="center"/>
    </xf>
    <xf numFmtId="0" fontId="11" fillId="4" borderId="71" xfId="0" applyFont="1" applyFill="1" applyBorder="1" applyAlignment="1">
      <alignment horizontal="left" vertical="center"/>
    </xf>
    <xf numFmtId="0" fontId="11" fillId="4" borderId="84" xfId="0" applyFont="1" applyFill="1" applyBorder="1" applyAlignment="1">
      <alignment horizontal="left" vertical="center"/>
    </xf>
    <xf numFmtId="0" fontId="11" fillId="4" borderId="98" xfId="0" applyFont="1" applyFill="1" applyBorder="1" applyAlignment="1">
      <alignment horizontal="left" vertical="center"/>
    </xf>
    <xf numFmtId="0" fontId="51" fillId="4" borderId="2" xfId="0" applyFont="1" applyFill="1" applyBorder="1" applyAlignment="1">
      <alignment horizontal="left" vertical="center"/>
    </xf>
    <xf numFmtId="0" fontId="11" fillId="4" borderId="136" xfId="0" applyFont="1" applyFill="1" applyBorder="1" applyAlignment="1">
      <alignment horizontal="left" vertical="center"/>
    </xf>
    <xf numFmtId="0" fontId="51" fillId="4" borderId="2"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1" fillId="4" borderId="5" xfId="0" applyFont="1" applyFill="1" applyBorder="1" applyAlignment="1">
      <alignment horizontal="left" vertical="center"/>
    </xf>
    <xf numFmtId="0" fontId="11" fillId="4" borderId="28" xfId="0" applyFont="1" applyFill="1" applyBorder="1" applyAlignment="1">
      <alignment horizontal="left" vertical="center"/>
    </xf>
    <xf numFmtId="0" fontId="11" fillId="4" borderId="125" xfId="0" applyFont="1" applyFill="1" applyBorder="1" applyAlignment="1">
      <alignment horizontal="left" vertical="center"/>
    </xf>
    <xf numFmtId="49" fontId="13" fillId="6" borderId="42" xfId="2" applyNumberFormat="1" applyFont="1" applyFill="1" applyBorder="1" applyAlignment="1">
      <alignment horizontal="center" vertical="center"/>
    </xf>
    <xf numFmtId="49" fontId="13" fillId="6" borderId="48" xfId="2" applyNumberFormat="1" applyFont="1" applyFill="1" applyBorder="1" applyAlignment="1">
      <alignment horizontal="center" vertical="center"/>
    </xf>
    <xf numFmtId="0" fontId="9" fillId="5" borderId="12" xfId="0" applyFont="1" applyFill="1" applyBorder="1" applyAlignment="1">
      <alignment horizontal="left" vertical="top"/>
    </xf>
    <xf numFmtId="0" fontId="9" fillId="5" borderId="16" xfId="0" applyFont="1" applyFill="1" applyBorder="1" applyAlignment="1">
      <alignment horizontal="left" vertical="top"/>
    </xf>
    <xf numFmtId="0" fontId="9" fillId="5" borderId="123" xfId="0" applyFont="1" applyFill="1" applyBorder="1" applyAlignment="1">
      <alignment horizontal="left" vertical="top"/>
    </xf>
    <xf numFmtId="0" fontId="9" fillId="9" borderId="72" xfId="0" applyFont="1" applyFill="1" applyBorder="1" applyAlignment="1">
      <alignment horizontal="center" vertical="center"/>
    </xf>
    <xf numFmtId="0" fontId="9" fillId="9" borderId="44" xfId="0" applyFont="1" applyFill="1" applyBorder="1" applyAlignment="1">
      <alignment horizontal="center" vertical="center"/>
    </xf>
    <xf numFmtId="0" fontId="31" fillId="0" borderId="194" xfId="0" applyFont="1" applyBorder="1" applyAlignment="1">
      <alignment horizontal="left" vertical="top" wrapText="1"/>
    </xf>
    <xf numFmtId="0" fontId="31" fillId="0" borderId="195" xfId="0" applyFont="1" applyBorder="1" applyAlignment="1">
      <alignment horizontal="left" vertical="top" wrapText="1"/>
    </xf>
    <xf numFmtId="0" fontId="31" fillId="0" borderId="202" xfId="0" applyFont="1" applyBorder="1" applyAlignment="1">
      <alignment horizontal="left" vertical="top" wrapText="1"/>
    </xf>
    <xf numFmtId="0" fontId="31" fillId="0" borderId="196" xfId="0" applyFont="1" applyBorder="1" applyAlignment="1">
      <alignment horizontal="left" vertical="top" wrapText="1"/>
    </xf>
    <xf numFmtId="0" fontId="31" fillId="0" borderId="0" xfId="0" applyFont="1" applyAlignment="1">
      <alignment horizontal="left" vertical="top" wrapText="1"/>
    </xf>
    <xf numFmtId="0" fontId="31" fillId="0" borderId="203" xfId="0" applyFont="1" applyBorder="1" applyAlignment="1">
      <alignment horizontal="left" vertical="top" wrapText="1"/>
    </xf>
    <xf numFmtId="0" fontId="31" fillId="0" borderId="206" xfId="0" applyFont="1" applyBorder="1" applyAlignment="1">
      <alignment horizontal="left" vertical="top" wrapText="1"/>
    </xf>
    <xf numFmtId="0" fontId="31" fillId="0" borderId="207" xfId="0" applyFont="1" applyBorder="1" applyAlignment="1">
      <alignment horizontal="left" vertical="top" wrapText="1"/>
    </xf>
    <xf numFmtId="0" fontId="31" fillId="0" borderId="208" xfId="0" applyFont="1" applyBorder="1" applyAlignment="1">
      <alignment horizontal="left" vertical="top" wrapText="1"/>
    </xf>
    <xf numFmtId="0" fontId="33" fillId="0" borderId="194" xfId="0" applyFont="1" applyBorder="1" applyAlignment="1" applyProtection="1">
      <alignment horizontal="left" vertical="top"/>
      <protection locked="0"/>
    </xf>
    <xf numFmtId="0" fontId="33" fillId="0" borderId="195" xfId="0" applyFont="1" applyBorder="1" applyAlignment="1" applyProtection="1">
      <alignment horizontal="left" vertical="top"/>
      <protection locked="0"/>
    </xf>
    <xf numFmtId="0" fontId="33" fillId="0" borderId="202" xfId="0" applyFont="1" applyBorder="1" applyAlignment="1" applyProtection="1">
      <alignment horizontal="left" vertical="top"/>
      <protection locked="0"/>
    </xf>
    <xf numFmtId="0" fontId="33" fillId="0" borderId="196" xfId="0" applyFont="1" applyBorder="1" applyAlignment="1" applyProtection="1">
      <alignment horizontal="left" vertical="top"/>
      <protection locked="0"/>
    </xf>
    <xf numFmtId="0" fontId="33" fillId="0" borderId="0" xfId="0" applyFont="1" applyAlignment="1" applyProtection="1">
      <alignment horizontal="left" vertical="top"/>
      <protection locked="0"/>
    </xf>
    <xf numFmtId="0" fontId="33" fillId="0" borderId="203" xfId="0" applyFont="1" applyBorder="1" applyAlignment="1" applyProtection="1">
      <alignment horizontal="left" vertical="top"/>
      <protection locked="0"/>
    </xf>
    <xf numFmtId="0" fontId="33" fillId="0" borderId="206" xfId="0" applyFont="1" applyBorder="1" applyAlignment="1" applyProtection="1">
      <alignment horizontal="left" vertical="top"/>
      <protection locked="0"/>
    </xf>
    <xf numFmtId="0" fontId="33" fillId="0" borderId="207" xfId="0" applyFont="1" applyBorder="1" applyAlignment="1" applyProtection="1">
      <alignment horizontal="left" vertical="top"/>
      <protection locked="0"/>
    </xf>
    <xf numFmtId="0" fontId="33" fillId="0" borderId="208" xfId="0" applyFont="1" applyBorder="1" applyAlignment="1" applyProtection="1">
      <alignment horizontal="left" vertical="top"/>
      <protection locked="0"/>
    </xf>
    <xf numFmtId="0" fontId="1" fillId="0" borderId="188" xfId="0" applyFont="1" applyBorder="1" applyAlignment="1">
      <alignment horizontal="left" vertical="top" wrapText="1"/>
    </xf>
    <xf numFmtId="0" fontId="1" fillId="0" borderId="189" xfId="0" applyFont="1" applyBorder="1" applyAlignment="1">
      <alignment horizontal="left" vertical="top" wrapText="1"/>
    </xf>
    <xf numFmtId="0" fontId="1" fillId="0" borderId="198" xfId="0" applyFont="1" applyBorder="1" applyAlignment="1">
      <alignment horizontal="left" vertical="top" wrapText="1"/>
    </xf>
    <xf numFmtId="0" fontId="1" fillId="0" borderId="190" xfId="0" applyFont="1" applyBorder="1" applyAlignment="1">
      <alignment horizontal="left" vertical="top" wrapText="1"/>
    </xf>
    <xf numFmtId="0" fontId="1" fillId="0" borderId="0" xfId="0" applyFont="1" applyAlignment="1">
      <alignment horizontal="left" vertical="top" wrapText="1"/>
    </xf>
    <xf numFmtId="0" fontId="1" fillId="0" borderId="199" xfId="0" applyFont="1" applyBorder="1" applyAlignment="1">
      <alignment horizontal="left" vertical="top" wrapText="1"/>
    </xf>
    <xf numFmtId="0" fontId="1" fillId="0" borderId="191" xfId="0" applyFont="1" applyBorder="1" applyAlignment="1">
      <alignment horizontal="left" vertical="top" wrapText="1"/>
    </xf>
    <xf numFmtId="0" fontId="1" fillId="0" borderId="192" xfId="0" applyFont="1" applyBorder="1" applyAlignment="1">
      <alignment horizontal="left" vertical="top" wrapText="1"/>
    </xf>
    <xf numFmtId="0" fontId="1" fillId="0" borderId="200" xfId="0" applyFont="1" applyBorder="1" applyAlignment="1">
      <alignment horizontal="left" vertical="top" wrapText="1"/>
    </xf>
    <xf numFmtId="0" fontId="32" fillId="0" borderId="188" xfId="0" applyFont="1" applyBorder="1" applyAlignment="1" applyProtection="1">
      <alignment horizontal="left" vertical="top" wrapText="1"/>
      <protection locked="0"/>
    </xf>
    <xf numFmtId="0" fontId="32" fillId="0" borderId="189" xfId="0" applyFont="1" applyBorder="1" applyAlignment="1" applyProtection="1">
      <alignment horizontal="left" vertical="top" wrapText="1"/>
      <protection locked="0"/>
    </xf>
    <xf numFmtId="0" fontId="32" fillId="0" borderId="198" xfId="0" applyFont="1" applyBorder="1" applyAlignment="1" applyProtection="1">
      <alignment horizontal="left" vertical="top" wrapText="1"/>
      <protection locked="0"/>
    </xf>
    <xf numFmtId="0" fontId="32" fillId="0" borderId="190" xfId="0" applyFont="1" applyBorder="1" applyAlignment="1" applyProtection="1">
      <alignment horizontal="left" vertical="top" wrapText="1"/>
      <protection locked="0"/>
    </xf>
    <xf numFmtId="0" fontId="32" fillId="0" borderId="0" xfId="0" applyFont="1" applyAlignment="1" applyProtection="1">
      <alignment horizontal="left" vertical="top" wrapText="1"/>
      <protection locked="0"/>
    </xf>
    <xf numFmtId="0" fontId="32" fillId="0" borderId="199" xfId="0" applyFont="1" applyBorder="1" applyAlignment="1" applyProtection="1">
      <alignment horizontal="left" vertical="top" wrapText="1"/>
      <protection locked="0"/>
    </xf>
    <xf numFmtId="0" fontId="32" fillId="0" borderId="191" xfId="0" applyFont="1" applyBorder="1" applyAlignment="1" applyProtection="1">
      <alignment horizontal="left" vertical="top" wrapText="1"/>
      <protection locked="0"/>
    </xf>
    <xf numFmtId="0" fontId="32" fillId="0" borderId="192" xfId="0" applyFont="1" applyBorder="1" applyAlignment="1" applyProtection="1">
      <alignment horizontal="left" vertical="top" wrapText="1"/>
      <protection locked="0"/>
    </xf>
    <xf numFmtId="0" fontId="32" fillId="0" borderId="200" xfId="0" applyFont="1" applyBorder="1" applyAlignment="1" applyProtection="1">
      <alignment horizontal="left" vertical="top" wrapText="1"/>
      <protection locked="0"/>
    </xf>
    <xf numFmtId="0" fontId="9" fillId="10" borderId="30" xfId="0" applyFont="1" applyFill="1" applyBorder="1" applyAlignment="1">
      <alignment horizontal="center" vertical="center" wrapText="1"/>
    </xf>
    <xf numFmtId="0" fontId="9" fillId="10" borderId="128" xfId="0" applyFont="1" applyFill="1" applyBorder="1" applyAlignment="1">
      <alignment horizontal="center" vertical="center" wrapText="1"/>
    </xf>
    <xf numFmtId="0" fontId="12" fillId="6" borderId="30" xfId="0" applyFont="1" applyFill="1" applyBorder="1" applyAlignment="1">
      <alignment vertical="center"/>
    </xf>
    <xf numFmtId="0" fontId="12" fillId="6" borderId="128" xfId="0" applyFont="1" applyFill="1" applyBorder="1" applyAlignment="1">
      <alignment vertical="center"/>
    </xf>
    <xf numFmtId="0" fontId="12" fillId="6" borderId="7" xfId="0" applyFont="1" applyFill="1" applyBorder="1" applyAlignment="1">
      <alignment vertical="center"/>
    </xf>
    <xf numFmtId="0" fontId="12" fillId="6" borderId="75" xfId="0" applyFont="1" applyFill="1" applyBorder="1" applyAlignment="1">
      <alignment vertical="center"/>
    </xf>
    <xf numFmtId="0" fontId="12" fillId="0" borderId="11" xfId="0" applyFont="1" applyBorder="1" applyAlignment="1">
      <alignment horizontal="left" vertical="center" wrapText="1"/>
    </xf>
    <xf numFmtId="0" fontId="12" fillId="0" borderId="15" xfId="0" applyFont="1" applyBorder="1" applyAlignment="1">
      <alignment horizontal="left" vertical="center" wrapText="1"/>
    </xf>
    <xf numFmtId="0" fontId="12" fillId="0" borderId="35" xfId="0" applyFont="1" applyBorder="1" applyAlignment="1">
      <alignment horizontal="left" vertical="center" wrapText="1"/>
    </xf>
    <xf numFmtId="0" fontId="29" fillId="14" borderId="186" xfId="0" applyFont="1" applyFill="1" applyBorder="1" applyAlignment="1">
      <alignment horizontal="center" vertical="center" wrapText="1"/>
    </xf>
    <xf numFmtId="0" fontId="29" fillId="14" borderId="187" xfId="0" applyFont="1" applyFill="1" applyBorder="1" applyAlignment="1">
      <alignment horizontal="center" vertical="center" wrapText="1"/>
    </xf>
    <xf numFmtId="0" fontId="29" fillId="14" borderId="197" xfId="0" applyFont="1" applyFill="1" applyBorder="1" applyAlignment="1">
      <alignment horizontal="center" vertical="center" wrapText="1"/>
    </xf>
    <xf numFmtId="0" fontId="29" fillId="14" borderId="205" xfId="0" applyFont="1" applyFill="1" applyBorder="1" applyAlignment="1">
      <alignment horizontal="center" vertical="center" wrapText="1"/>
    </xf>
    <xf numFmtId="0" fontId="30" fillId="15" borderId="193" xfId="0" applyFont="1" applyFill="1" applyBorder="1" applyAlignment="1">
      <alignment horizontal="center" vertical="top" wrapText="1"/>
    </xf>
    <xf numFmtId="0" fontId="30" fillId="15" borderId="0" xfId="0" applyFont="1" applyFill="1" applyAlignment="1">
      <alignment horizontal="center" vertical="top" wrapText="1"/>
    </xf>
    <xf numFmtId="0" fontId="30" fillId="15" borderId="201" xfId="0" applyFont="1" applyFill="1" applyBorder="1" applyAlignment="1">
      <alignment horizontal="center" vertical="top" wrapText="1"/>
    </xf>
    <xf numFmtId="0" fontId="30" fillId="15" borderId="0" xfId="0" applyFont="1" applyFill="1" applyAlignment="1">
      <alignment horizontal="left" vertical="top" wrapText="1"/>
    </xf>
    <xf numFmtId="0" fontId="30" fillId="15" borderId="120" xfId="0" applyFont="1" applyFill="1" applyBorder="1" applyAlignment="1">
      <alignment horizontal="left" vertical="top" wrapText="1"/>
    </xf>
    <xf numFmtId="49" fontId="13" fillId="6" borderId="100" xfId="2" applyNumberFormat="1" applyFont="1" applyFill="1" applyBorder="1" applyAlignment="1">
      <alignment horizontal="center" vertical="center"/>
    </xf>
    <xf numFmtId="49" fontId="13" fillId="6" borderId="126" xfId="2" applyNumberFormat="1" applyFont="1" applyFill="1" applyBorder="1" applyAlignment="1">
      <alignment horizontal="center" vertical="center"/>
    </xf>
    <xf numFmtId="49" fontId="13" fillId="6" borderId="13" xfId="2" applyNumberFormat="1" applyFont="1" applyFill="1" applyBorder="1" applyAlignment="1">
      <alignment horizontal="center" vertical="center"/>
    </xf>
    <xf numFmtId="49" fontId="13" fillId="6" borderId="14" xfId="2" applyNumberFormat="1" applyFont="1" applyFill="1" applyBorder="1" applyAlignment="1">
      <alignment horizontal="center" vertical="center"/>
    </xf>
    <xf numFmtId="0" fontId="12" fillId="5" borderId="16" xfId="0" applyFont="1" applyFill="1" applyBorder="1" applyAlignment="1">
      <alignment horizontal="left" vertical="top"/>
    </xf>
    <xf numFmtId="0" fontId="9" fillId="9" borderId="7"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15" fillId="5" borderId="11" xfId="0" applyFont="1" applyFill="1" applyBorder="1" applyAlignment="1">
      <alignment horizontal="center" wrapText="1"/>
    </xf>
    <xf numFmtId="0" fontId="15" fillId="5" borderId="15" xfId="0" applyFont="1" applyFill="1" applyBorder="1" applyAlignment="1">
      <alignment horizontal="center" wrapText="1"/>
    </xf>
    <xf numFmtId="0" fontId="15" fillId="5" borderId="35" xfId="0" applyFont="1" applyFill="1" applyBorder="1" applyAlignment="1">
      <alignment horizontal="center" wrapText="1"/>
    </xf>
    <xf numFmtId="0" fontId="26" fillId="5" borderId="11" xfId="0" applyFont="1" applyFill="1" applyBorder="1" applyAlignment="1">
      <alignment horizontal="center" vertical="top" wrapText="1"/>
    </xf>
    <xf numFmtId="0" fontId="26" fillId="5" borderId="15" xfId="0" applyFont="1" applyFill="1" applyBorder="1" applyAlignment="1">
      <alignment horizontal="center" vertical="top" wrapText="1"/>
    </xf>
    <xf numFmtId="0" fontId="26" fillId="5" borderId="35" xfId="0" applyFont="1" applyFill="1" applyBorder="1" applyAlignment="1">
      <alignment horizontal="center" vertical="top" wrapText="1"/>
    </xf>
    <xf numFmtId="0" fontId="14" fillId="0" borderId="0" xfId="0" applyFont="1" applyAlignment="1">
      <alignment horizontal="center" vertical="center" textRotation="90"/>
    </xf>
    <xf numFmtId="0" fontId="19" fillId="3" borderId="116" xfId="0" applyFont="1" applyFill="1" applyBorder="1" applyAlignment="1">
      <alignment horizontal="center" wrapText="1"/>
    </xf>
    <xf numFmtId="0" fontId="19" fillId="3" borderId="117" xfId="0" applyFont="1" applyFill="1" applyBorder="1" applyAlignment="1">
      <alignment horizontal="center" wrapText="1"/>
    </xf>
    <xf numFmtId="0" fontId="9" fillId="10" borderId="16" xfId="0" applyFont="1" applyFill="1" applyBorder="1" applyAlignment="1">
      <alignment horizontal="center" vertical="center"/>
    </xf>
    <xf numFmtId="0" fontId="9" fillId="9" borderId="14" xfId="0" applyFont="1" applyFill="1" applyBorder="1" applyAlignment="1">
      <alignment horizontal="center" vertical="center"/>
    </xf>
    <xf numFmtId="0" fontId="9" fillId="9" borderId="10" xfId="0" applyFont="1" applyFill="1" applyBorder="1" applyAlignment="1">
      <alignment horizontal="center" vertical="center"/>
    </xf>
    <xf numFmtId="0" fontId="9" fillId="9" borderId="73"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75" xfId="0" applyFont="1" applyFill="1" applyBorder="1" applyAlignment="1">
      <alignment horizontal="center" vertical="center" wrapText="1"/>
    </xf>
    <xf numFmtId="0" fontId="9" fillId="10" borderId="127" xfId="0" applyFont="1" applyFill="1" applyBorder="1" applyAlignment="1">
      <alignment horizontal="center" vertical="center" wrapText="1"/>
    </xf>
    <xf numFmtId="0" fontId="9" fillId="7" borderId="30" xfId="0" applyFont="1" applyFill="1" applyBorder="1" applyAlignment="1">
      <alignment horizontal="left" vertical="top" wrapText="1"/>
    </xf>
    <xf numFmtId="0" fontId="9" fillId="7" borderId="130" xfId="0" applyFont="1" applyFill="1" applyBorder="1" applyAlignment="1">
      <alignment horizontal="left" vertical="top" wrapText="1"/>
    </xf>
    <xf numFmtId="0" fontId="9" fillId="7" borderId="77" xfId="0" applyFont="1" applyFill="1" applyBorder="1" applyAlignment="1">
      <alignment horizontal="left" vertical="top" wrapText="1"/>
    </xf>
    <xf numFmtId="0" fontId="9" fillId="10" borderId="12" xfId="0" applyFont="1" applyFill="1" applyBorder="1" applyAlignment="1">
      <alignment horizontal="center" vertical="center"/>
    </xf>
    <xf numFmtId="0" fontId="9" fillId="10" borderId="74" xfId="0" applyFont="1" applyFill="1" applyBorder="1" applyAlignment="1">
      <alignment horizontal="center" vertical="center"/>
    </xf>
    <xf numFmtId="0" fontId="9" fillId="0" borderId="11" xfId="0" applyFont="1" applyBorder="1" applyAlignment="1">
      <alignment horizontal="left" vertical="center" wrapText="1"/>
    </xf>
    <xf numFmtId="0" fontId="9" fillId="0" borderId="15" xfId="0" applyFont="1" applyBorder="1" applyAlignment="1">
      <alignment horizontal="left" vertical="center" wrapText="1"/>
    </xf>
    <xf numFmtId="0" fontId="9" fillId="0" borderId="35" xfId="0" applyFont="1" applyBorder="1" applyAlignment="1">
      <alignment horizontal="left" vertical="center" wrapText="1"/>
    </xf>
    <xf numFmtId="0" fontId="52" fillId="0" borderId="7" xfId="0" applyFont="1" applyBorder="1" applyAlignment="1">
      <alignment horizontal="left" vertical="center" wrapText="1"/>
    </xf>
    <xf numFmtId="0" fontId="9" fillId="0" borderId="73" xfId="0" applyFont="1" applyBorder="1" applyAlignment="1">
      <alignment horizontal="left" vertical="center" wrapText="1"/>
    </xf>
    <xf numFmtId="0" fontId="9" fillId="0" borderId="17" xfId="0" applyFont="1" applyBorder="1" applyAlignment="1">
      <alignment horizontal="left" vertical="center" wrapText="1"/>
    </xf>
    <xf numFmtId="0" fontId="9" fillId="0" borderId="75" xfId="0" applyFont="1" applyBorder="1" applyAlignment="1">
      <alignment horizontal="left" vertical="center" wrapText="1"/>
    </xf>
    <xf numFmtId="0" fontId="9" fillId="2" borderId="11"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35" xfId="0" applyFont="1" applyFill="1" applyBorder="1" applyAlignment="1">
      <alignment horizontal="left" vertical="center" wrapText="1"/>
    </xf>
    <xf numFmtId="0" fontId="9" fillId="5" borderId="73" xfId="0" applyFont="1" applyFill="1" applyBorder="1" applyAlignment="1">
      <alignment horizontal="left" vertical="center" wrapText="1"/>
    </xf>
    <xf numFmtId="0" fontId="9" fillId="5" borderId="9" xfId="0" applyFont="1" applyFill="1" applyBorder="1" applyAlignment="1">
      <alignment horizontal="left" vertical="center" wrapText="1"/>
    </xf>
    <xf numFmtId="0" fontId="12" fillId="0" borderId="7" xfId="0" applyFont="1" applyBorder="1" applyAlignment="1">
      <alignment horizontal="left" vertical="center" wrapText="1"/>
    </xf>
    <xf numFmtId="0" fontId="12" fillId="0" borderId="17" xfId="0" applyFont="1" applyBorder="1" applyAlignment="1">
      <alignment horizontal="left" vertical="center" wrapText="1"/>
    </xf>
    <xf numFmtId="0" fontId="12" fillId="0" borderId="9" xfId="0" applyFont="1" applyBorder="1" applyAlignment="1">
      <alignment horizontal="left" vertical="center" wrapText="1"/>
    </xf>
    <xf numFmtId="0" fontId="12" fillId="0" borderId="30" xfId="0" applyFont="1" applyBorder="1" applyAlignment="1">
      <alignment horizontal="left" vertical="center" wrapText="1"/>
    </xf>
    <xf numFmtId="0" fontId="12" fillId="0" borderId="130" xfId="0" applyFont="1" applyBorder="1" applyAlignment="1">
      <alignment horizontal="left" vertical="center" wrapText="1"/>
    </xf>
    <xf numFmtId="0" fontId="12" fillId="0" borderId="128" xfId="0" applyFont="1" applyBorder="1" applyAlignment="1">
      <alignment horizontal="left" vertical="center" wrapText="1"/>
    </xf>
    <xf numFmtId="0" fontId="21" fillId="5" borderId="13" xfId="0" applyFont="1" applyFill="1" applyBorder="1" applyAlignment="1">
      <alignment horizontal="center" vertical="center" wrapText="1"/>
    </xf>
    <xf numFmtId="0" fontId="21" fillId="5" borderId="14" xfId="0" applyFont="1" applyFill="1" applyBorder="1" applyAlignment="1">
      <alignment horizontal="center" vertical="center" wrapText="1"/>
    </xf>
    <xf numFmtId="0" fontId="21" fillId="5" borderId="105" xfId="0" applyFont="1" applyFill="1" applyBorder="1" applyAlignment="1">
      <alignment horizontal="center" vertical="center" wrapText="1"/>
    </xf>
    <xf numFmtId="0" fontId="21" fillId="5" borderId="38"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107" xfId="0" applyFont="1" applyFill="1" applyBorder="1" applyAlignment="1">
      <alignment horizontal="center" vertical="center" wrapText="1"/>
    </xf>
    <xf numFmtId="0" fontId="19" fillId="3" borderId="100" xfId="0" applyFont="1" applyFill="1" applyBorder="1" applyAlignment="1">
      <alignment horizontal="center" wrapText="1"/>
    </xf>
    <xf numFmtId="0" fontId="19" fillId="3" borderId="118" xfId="0" applyFont="1" applyFill="1" applyBorder="1" applyAlignment="1">
      <alignment horizontal="center" wrapText="1"/>
    </xf>
    <xf numFmtId="0" fontId="19" fillId="3" borderId="126" xfId="0" applyFont="1" applyFill="1" applyBorder="1" applyAlignment="1">
      <alignment horizontal="center" wrapText="1"/>
    </xf>
    <xf numFmtId="0" fontId="19" fillId="3" borderId="131" xfId="0" applyFont="1" applyFill="1" applyBorder="1" applyAlignment="1">
      <alignment horizontal="center" wrapText="1"/>
    </xf>
    <xf numFmtId="0" fontId="12" fillId="0" borderId="116" xfId="0" applyFont="1" applyBorder="1" applyAlignment="1">
      <alignment horizontal="left" vertical="center" wrapText="1"/>
    </xf>
    <xf numFmtId="0" fontId="12" fillId="0" borderId="117" xfId="0" applyFont="1" applyBorder="1" applyAlignment="1">
      <alignment horizontal="left" vertical="center" wrapText="1"/>
    </xf>
    <xf numFmtId="0" fontId="11" fillId="4" borderId="2" xfId="0" applyFont="1" applyFill="1" applyBorder="1" applyAlignment="1">
      <alignment horizontal="left" vertical="center"/>
    </xf>
    <xf numFmtId="0" fontId="11" fillId="4" borderId="4" xfId="0" applyFont="1" applyFill="1" applyBorder="1" applyAlignment="1">
      <alignment horizontal="left" vertical="center"/>
    </xf>
    <xf numFmtId="0" fontId="11" fillId="4" borderId="3" xfId="0" applyFont="1" applyFill="1" applyBorder="1" applyAlignment="1">
      <alignment horizontal="left" vertical="center"/>
    </xf>
    <xf numFmtId="0" fontId="12" fillId="6" borderId="8" xfId="0" applyFont="1" applyFill="1" applyBorder="1" applyAlignment="1">
      <alignment horizontal="center" wrapText="1"/>
    </xf>
    <xf numFmtId="0" fontId="12" fillId="6" borderId="10" xfId="0" applyFont="1" applyFill="1" applyBorder="1" applyAlignment="1">
      <alignment horizontal="center" wrapText="1"/>
    </xf>
    <xf numFmtId="0" fontId="12" fillId="6" borderId="8" xfId="0" applyFont="1" applyFill="1" applyBorder="1" applyAlignment="1">
      <alignment horizontal="center" vertical="center" wrapText="1"/>
    </xf>
    <xf numFmtId="0" fontId="12" fillId="6" borderId="40" xfId="0" applyFont="1" applyFill="1" applyBorder="1" applyAlignment="1">
      <alignment horizontal="center" vertical="center" wrapText="1"/>
    </xf>
    <xf numFmtId="0" fontId="12" fillId="6" borderId="48" xfId="0" applyFont="1" applyFill="1" applyBorder="1" applyAlignment="1">
      <alignment horizontal="center" vertical="center" wrapText="1"/>
    </xf>
    <xf numFmtId="0" fontId="12" fillId="6" borderId="108" xfId="0" applyFont="1" applyFill="1" applyBorder="1" applyAlignment="1">
      <alignment horizontal="center" vertical="center" wrapText="1"/>
    </xf>
    <xf numFmtId="0" fontId="12" fillId="6" borderId="87"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98" xfId="0" applyFont="1" applyFill="1" applyBorder="1" applyAlignment="1">
      <alignment horizontal="center" vertical="center" wrapText="1"/>
    </xf>
    <xf numFmtId="0" fontId="11" fillId="4" borderId="83" xfId="0" applyFont="1" applyFill="1" applyBorder="1" applyAlignment="1">
      <alignment horizontal="left" vertical="center"/>
    </xf>
    <xf numFmtId="0" fontId="9" fillId="5" borderId="7" xfId="0" applyFont="1" applyFill="1" applyBorder="1" applyAlignment="1">
      <alignment wrapText="1"/>
    </xf>
    <xf numFmtId="0" fontId="9" fillId="5" borderId="9" xfId="0" applyFont="1" applyFill="1" applyBorder="1" applyAlignment="1">
      <alignment wrapText="1"/>
    </xf>
    <xf numFmtId="0" fontId="9" fillId="5" borderId="7" xfId="0" applyFont="1" applyFill="1" applyBorder="1" applyAlignment="1">
      <alignment horizontal="left" vertical="center" wrapText="1"/>
    </xf>
    <xf numFmtId="0" fontId="12" fillId="0" borderId="115" xfId="0" applyFont="1" applyBorder="1" applyAlignment="1">
      <alignment horizontal="left" vertical="center" wrapText="1"/>
    </xf>
    <xf numFmtId="0" fontId="21" fillId="6" borderId="172" xfId="0" applyFont="1" applyFill="1" applyBorder="1" applyAlignment="1">
      <alignment horizontal="center" vertical="center" wrapText="1"/>
    </xf>
    <xf numFmtId="0" fontId="21" fillId="6" borderId="173" xfId="0" applyFont="1" applyFill="1" applyBorder="1" applyAlignment="1">
      <alignment horizontal="center" vertical="center" wrapText="1"/>
    </xf>
    <xf numFmtId="0" fontId="21" fillId="6" borderId="229"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12" fillId="0" borderId="75" xfId="0" applyFont="1" applyBorder="1" applyAlignment="1">
      <alignment horizontal="left" vertical="center" wrapText="1"/>
    </xf>
    <xf numFmtId="0" fontId="12" fillId="2" borderId="11"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50" fillId="0" borderId="11" xfId="0" applyFont="1" applyBorder="1" applyAlignment="1">
      <alignment horizontal="left" vertical="center" wrapText="1"/>
    </xf>
    <xf numFmtId="0" fontId="52" fillId="3" borderId="11"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11" fillId="4" borderId="97" xfId="0" applyFont="1" applyFill="1" applyBorder="1" applyAlignment="1">
      <alignment horizontal="left" vertical="center"/>
    </xf>
    <xf numFmtId="0" fontId="11" fillId="4" borderId="124" xfId="0" applyFont="1" applyFill="1" applyBorder="1" applyAlignment="1">
      <alignment horizontal="left" vertical="center"/>
    </xf>
    <xf numFmtId="0" fontId="9" fillId="0" borderId="158" xfId="0" applyFont="1" applyBorder="1" applyAlignment="1">
      <alignment horizontal="left" vertical="center" wrapText="1"/>
    </xf>
    <xf numFmtId="0" fontId="9" fillId="0" borderId="159" xfId="0" applyFont="1" applyBorder="1" applyAlignment="1">
      <alignment horizontal="left" vertical="center" wrapText="1"/>
    </xf>
    <xf numFmtId="0" fontId="9" fillId="0" borderId="150" xfId="0" applyFont="1" applyBorder="1" applyAlignment="1">
      <alignment horizontal="left" vertical="center" wrapText="1"/>
    </xf>
    <xf numFmtId="0" fontId="9" fillId="0" borderId="116" xfId="0" applyFont="1" applyBorder="1" applyAlignment="1">
      <alignment horizontal="left" vertical="center" wrapText="1"/>
    </xf>
    <xf numFmtId="0" fontId="9" fillId="0" borderId="115" xfId="0" applyFont="1" applyBorder="1" applyAlignment="1">
      <alignment horizontal="left" vertical="center" wrapText="1"/>
    </xf>
    <xf numFmtId="0" fontId="9" fillId="0" borderId="117" xfId="0" applyFont="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12" fillId="6" borderId="9" xfId="0" applyFont="1" applyFill="1" applyBorder="1" applyAlignment="1">
      <alignment vertical="center"/>
    </xf>
    <xf numFmtId="0" fontId="9" fillId="5" borderId="30" xfId="0" applyFont="1" applyFill="1" applyBorder="1" applyAlignment="1">
      <alignment wrapText="1"/>
    </xf>
    <xf numFmtId="0" fontId="9" fillId="5" borderId="128" xfId="0" applyFont="1" applyFill="1" applyBorder="1" applyAlignment="1">
      <alignment wrapText="1"/>
    </xf>
    <xf numFmtId="49" fontId="13" fillId="6" borderId="116" xfId="2" applyNumberFormat="1" applyFont="1" applyFill="1" applyBorder="1" applyAlignment="1">
      <alignment horizontal="center" vertical="center"/>
    </xf>
    <xf numFmtId="0" fontId="9" fillId="0" borderId="127" xfId="0" applyFont="1" applyBorder="1" applyAlignment="1">
      <alignment horizontal="left" vertical="center" wrapText="1"/>
    </xf>
    <xf numFmtId="0" fontId="9" fillId="0" borderId="130" xfId="0" applyFont="1" applyBorder="1" applyAlignment="1">
      <alignment horizontal="left" vertical="center" wrapText="1"/>
    </xf>
    <xf numFmtId="0" fontId="9" fillId="0" borderId="128" xfId="0" applyFont="1" applyBorder="1" applyAlignment="1">
      <alignment horizontal="left" vertical="center" wrapText="1"/>
    </xf>
    <xf numFmtId="49" fontId="13" fillId="6" borderId="8" xfId="2" applyNumberFormat="1" applyFont="1" applyFill="1" applyBorder="1" applyAlignment="1">
      <alignment horizontal="center" vertical="center"/>
    </xf>
    <xf numFmtId="49" fontId="13" fillId="6" borderId="72" xfId="2" applyNumberFormat="1" applyFont="1" applyFill="1" applyBorder="1" applyAlignment="1">
      <alignment horizontal="center" vertical="center"/>
    </xf>
    <xf numFmtId="49" fontId="13" fillId="6" borderId="110" xfId="2" applyNumberFormat="1" applyFont="1" applyFill="1" applyBorder="1" applyAlignment="1">
      <alignment horizontal="center" vertical="center"/>
    </xf>
    <xf numFmtId="0" fontId="9" fillId="5" borderId="73" xfId="0" applyFont="1" applyFill="1" applyBorder="1" applyAlignment="1">
      <alignment wrapText="1"/>
    </xf>
    <xf numFmtId="0" fontId="9" fillId="5" borderId="129" xfId="0" applyFont="1" applyFill="1" applyBorder="1" applyAlignment="1">
      <alignment wrapText="1"/>
    </xf>
    <xf numFmtId="0" fontId="9" fillId="5" borderId="132" xfId="0" applyFont="1" applyFill="1" applyBorder="1" applyAlignment="1">
      <alignment wrapText="1"/>
    </xf>
    <xf numFmtId="0" fontId="9" fillId="2" borderId="73"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9" xfId="0" applyFont="1" applyFill="1" applyBorder="1" applyAlignment="1">
      <alignment horizontal="left" vertical="center" wrapText="1"/>
    </xf>
    <xf numFmtId="0" fontId="11" fillId="4" borderId="116" xfId="0" applyFont="1" applyFill="1" applyBorder="1" applyAlignment="1">
      <alignment horizontal="left" vertical="center"/>
    </xf>
    <xf numFmtId="0" fontId="11" fillId="4" borderId="100" xfId="0" applyFont="1" applyFill="1" applyBorder="1" applyAlignment="1">
      <alignment horizontal="left" vertical="center"/>
    </xf>
    <xf numFmtId="0" fontId="9" fillId="5" borderId="75" xfId="0" applyFont="1" applyFill="1" applyBorder="1" applyAlignment="1">
      <alignment wrapText="1"/>
    </xf>
    <xf numFmtId="0" fontId="12" fillId="6" borderId="73" xfId="0" applyFont="1" applyFill="1" applyBorder="1" applyAlignment="1">
      <alignment vertical="center"/>
    </xf>
    <xf numFmtId="0" fontId="21" fillId="5" borderId="8" xfId="0" applyFont="1" applyFill="1" applyBorder="1" applyAlignment="1">
      <alignment horizontal="center" vertical="center" wrapText="1"/>
    </xf>
    <xf numFmtId="0" fontId="21" fillId="5" borderId="40"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58" fillId="4" borderId="5" xfId="0" applyFont="1" applyFill="1" applyBorder="1" applyAlignment="1">
      <alignment horizontal="left" vertical="center"/>
    </xf>
    <xf numFmtId="0" fontId="58" fillId="4" borderId="6" xfId="0" applyFont="1" applyFill="1" applyBorder="1" applyAlignment="1">
      <alignment horizontal="left" vertical="center"/>
    </xf>
    <xf numFmtId="0" fontId="58" fillId="4" borderId="71" xfId="0" applyFont="1" applyFill="1" applyBorder="1" applyAlignment="1">
      <alignment horizontal="left" vertical="center"/>
    </xf>
    <xf numFmtId="0" fontId="9" fillId="9" borderId="45"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3" borderId="4" xfId="0" applyFont="1" applyFill="1" applyBorder="1" applyAlignment="1">
      <alignment horizontal="center" vertical="center"/>
    </xf>
    <xf numFmtId="0" fontId="9" fillId="0" borderId="4" xfId="0" applyFont="1" applyBorder="1" applyAlignment="1">
      <alignment horizontal="center" vertical="center"/>
    </xf>
    <xf numFmtId="0" fontId="12" fillId="6" borderId="89" xfId="0" applyFont="1" applyFill="1" applyBorder="1" applyAlignment="1">
      <alignment horizontal="center" vertical="center"/>
    </xf>
    <xf numFmtId="0" fontId="12" fillId="0" borderId="167" xfId="0" applyFont="1" applyBorder="1" applyAlignment="1" applyProtection="1">
      <alignment horizontal="center" vertical="center"/>
      <protection locked="0"/>
    </xf>
    <xf numFmtId="0" fontId="12" fillId="0" borderId="93" xfId="0" applyFont="1" applyBorder="1" applyAlignment="1" applyProtection="1">
      <alignment horizontal="center" vertical="center"/>
      <protection locked="0"/>
    </xf>
    <xf numFmtId="0" fontId="12" fillId="6" borderId="239" xfId="0" applyFont="1" applyFill="1" applyBorder="1" applyAlignment="1">
      <alignment horizontal="center" vertical="center"/>
    </xf>
    <xf numFmtId="0" fontId="12" fillId="6" borderId="240" xfId="0" applyFont="1" applyFill="1" applyBorder="1" applyAlignment="1">
      <alignment horizontal="center" vertical="center"/>
    </xf>
  </cellXfs>
  <cellStyles count="3">
    <cellStyle name="Neutral" xfId="1" builtinId="28"/>
    <cellStyle name="Normal" xfId="0" builtinId="0"/>
    <cellStyle name="Normal 3" xfId="2" xr:uid="{00000000-0005-0000-0000-000031000000}"/>
  </cellStyles>
  <dxfs count="1320">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numFmt numFmtId="0" formatCode="General"/>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color theme="0"/>
      </font>
      <fill>
        <patternFill patternType="solid">
          <bgColor rgb="FFFF0000"/>
        </patternFill>
      </fill>
    </dxf>
    <dxf>
      <font>
        <color theme="0" tint="-0.24994659260841701"/>
      </font>
      <fill>
        <patternFill>
          <bgColor theme="0" tint="-0.24994659260841701"/>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1"/>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border>
    </dxf>
    <dxf>
      <fill>
        <patternFill patternType="solid">
          <bgColor rgb="FFFFFF00"/>
        </patternFill>
      </fill>
    </dxf>
    <dxf>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border>
        <left style="thin">
          <color auto="1"/>
        </left>
        <right style="thin">
          <color auto="1"/>
        </right>
        <top style="thin">
          <color auto="1"/>
        </top>
        <bottom style="thin">
          <color auto="1"/>
        </bottom>
      </border>
    </dxf>
    <dxf>
      <font>
        <color theme="0"/>
      </font>
      <fill>
        <patternFill patternType="solid">
          <bgColor rgb="FFFF0000"/>
        </patternFill>
      </fill>
    </dxf>
    <dxf>
      <font>
        <b/>
        <i val="0"/>
        <color theme="0"/>
      </font>
      <fill>
        <patternFill patternType="solid">
          <bgColor rgb="FFFF0000"/>
        </patternFill>
      </fill>
      <border>
        <left style="thin">
          <color auto="1"/>
        </left>
        <right style="thin">
          <color auto="1"/>
        </right>
        <top style="thin">
          <color auto="1"/>
        </top>
        <bottom style="thin">
          <color auto="1"/>
        </bottom>
      </border>
    </dxf>
    <dxf>
      <font>
        <b val="0"/>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ill>
        <patternFill patternType="solid">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rgb="FFC00000"/>
        </left>
        <right style="thin">
          <color rgb="FFC00000"/>
        </right>
        <top style="thin">
          <color rgb="FFC00000"/>
        </top>
        <bottom style="thin">
          <color rgb="FFC00000"/>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9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ill>
        <gradientFill degree="270">
          <stop position="0">
            <color rgb="FFFF0000"/>
          </stop>
          <stop position="1">
            <color rgb="FFFF0000"/>
          </stop>
        </gradientFill>
      </fill>
      <border>
        <left style="thin">
          <color rgb="FFC00000"/>
        </left>
        <right style="thin">
          <color rgb="FFC00000"/>
        </right>
        <top style="thin">
          <color rgb="FFC00000"/>
        </top>
        <bottom style="thin">
          <color rgb="FFC00000"/>
        </bottom>
      </border>
    </dxf>
    <dxf>
      <font>
        <b/>
        <i val="0"/>
      </font>
      <fill>
        <patternFill patternType="solid">
          <bgColor rgb="FFFF0000"/>
        </patternFill>
      </fill>
      <border>
        <left style="thin">
          <color auto="1"/>
        </left>
        <right style="thin">
          <color auto="1"/>
        </right>
        <top style="thin">
          <color auto="1"/>
        </top>
        <bottom style="thin">
          <color auto="1"/>
        </bottom>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border>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39991454817346722"/>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theme="0"/>
        </patternFill>
      </fill>
    </dxf>
    <dxf>
      <font>
        <color theme="1"/>
      </font>
      <fill>
        <patternFill patternType="solid">
          <bgColor rgb="FFFFFF00"/>
        </patternFill>
      </fill>
    </dxf>
    <dxf>
      <font>
        <color theme="0"/>
      </font>
      <fill>
        <patternFill patternType="solid">
          <bgColor theme="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auto="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1"/>
      </font>
      <fill>
        <patternFill patternType="solid">
          <bgColor rgb="FFFFFF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theme="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theme="0"/>
        </patternFill>
      </fill>
    </dxf>
    <dxf>
      <font>
        <color theme="0"/>
      </font>
      <fill>
        <patternFill patternType="solid">
          <bgColor rgb="FFFF0000"/>
        </patternFill>
      </fill>
    </dxf>
    <dxf>
      <font>
        <color theme="0" tint="-0.14993743705557422"/>
      </font>
      <fill>
        <patternFill patternType="solid">
          <bgColor theme="0" tint="-0.1499374370555742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1"/>
      </font>
      <fill>
        <patternFill patternType="solid">
          <bgColor rgb="FFFFFF00"/>
        </patternFill>
      </fill>
    </dxf>
    <dxf>
      <font>
        <color theme="2" tint="-9.9917600024414813E-2"/>
      </font>
      <fill>
        <patternFill patternType="solid">
          <bgColor theme="2"/>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1" tint="0.499984740745262"/>
      </font>
      <fill>
        <patternFill patternType="solid">
          <bgColor theme="1" tint="0.499984740745262"/>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3" tint="0.59996337778862885"/>
      </font>
      <fill>
        <patternFill patternType="solid">
          <bgColor theme="3" tint="0.59996337778862885"/>
        </patternFill>
      </fill>
    </dxf>
    <dxf>
      <font>
        <color theme="9" tint="0.59996337778862885"/>
      </font>
      <fill>
        <patternFill patternType="solid">
          <bgColor theme="9" tint="0.59996337778862885"/>
        </patternFill>
      </fill>
    </dxf>
    <dxf>
      <font>
        <color theme="1"/>
      </font>
      <fill>
        <patternFill patternType="solid">
          <bgColor rgb="FFFFFF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0"/>
      </font>
      <fill>
        <patternFill patternType="solid">
          <bgColor rgb="FFFF0000"/>
        </patternFill>
      </fill>
    </dxf>
    <dxf>
      <font>
        <color theme="9" tint="0.59996337778862885"/>
      </font>
      <fill>
        <patternFill patternType="solid">
          <bgColor theme="9"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color theme="9" tint="0.59996337778862885"/>
      </font>
      <fill>
        <patternFill patternType="solid">
          <bgColor theme="9" tint="0.59996337778862885"/>
        </patternFill>
      </fill>
    </dxf>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A2C2F7D2-68DC-47BF-8F64-C9808D15BE75}">
      <tableStyleElement type="wholeTable" dxfId="1319"/>
      <tableStyleElement type="headerRow" dxfId="13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xdr:row>
      <xdr:rowOff>179917</xdr:rowOff>
    </xdr:from>
    <xdr:to>
      <xdr:col>3</xdr:col>
      <xdr:colOff>53974</xdr:colOff>
      <xdr:row>1</xdr:row>
      <xdr:rowOff>876300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36960" y="179705"/>
          <a:ext cx="1009650" cy="696595"/>
        </a:xfrm>
        <a:prstGeom prst="rect">
          <a:avLst/>
        </a:prstGeom>
      </xdr:spPr>
    </xdr:pic>
    <xdr:clientData/>
  </xdr:twoCellAnchor>
  <xdr:twoCellAnchor editAs="oneCell">
    <xdr:from>
      <xdr:col>3</xdr:col>
      <xdr:colOff>235228</xdr:colOff>
      <xdr:row>1</xdr:row>
      <xdr:rowOff>190501</xdr:rowOff>
    </xdr:from>
    <xdr:to>
      <xdr:col>4</xdr:col>
      <xdr:colOff>447674</xdr:colOff>
      <xdr:row>1</xdr:row>
      <xdr:rowOff>933451</xdr:rowOff>
    </xdr:to>
    <xdr:pic>
      <xdr:nvPicPr>
        <xdr:cNvPr id="3" name="Shape 4">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rcRect/>
        <a:stretch>
          <a:fillRect/>
        </a:stretch>
      </xdr:blipFill>
      <xdr:spPr>
        <a:xfrm>
          <a:off x="12428220" y="190500"/>
          <a:ext cx="840740" cy="742950"/>
        </a:xfrm>
        <a:prstGeom prst="rect">
          <a:avLst/>
        </a:prstGeom>
        <a:noFill/>
        <a:ln>
          <a:noFill/>
        </a:ln>
      </xdr:spPr>
    </xdr:pic>
    <xdr:clientData/>
  </xdr:twoCellAnchor>
  <xdr:twoCellAnchor editAs="oneCell">
    <xdr:from>
      <xdr:col>6</xdr:col>
      <xdr:colOff>198682</xdr:colOff>
      <xdr:row>1</xdr:row>
      <xdr:rowOff>101602</xdr:rowOff>
    </xdr:from>
    <xdr:to>
      <xdr:col>9</xdr:col>
      <xdr:colOff>123825</xdr:colOff>
      <xdr:row>1</xdr:row>
      <xdr:rowOff>933450</xdr:rowOff>
    </xdr:to>
    <xdr:pic>
      <xdr:nvPicPr>
        <xdr:cNvPr id="4" name="Shape 5">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rcRect t="13575" b="20814"/>
        <a:stretch>
          <a:fillRect/>
        </a:stretch>
      </xdr:blipFill>
      <xdr:spPr>
        <a:xfrm>
          <a:off x="14117320" y="101600"/>
          <a:ext cx="1512570" cy="831850"/>
        </a:xfrm>
        <a:prstGeom prst="rect">
          <a:avLst/>
        </a:prstGeom>
        <a:noFill/>
        <a:ln>
          <a:noFill/>
        </a:ln>
      </xdr:spPr>
    </xdr:pic>
    <xdr:clientData/>
  </xdr:twoCellAnchor>
  <xdr:twoCellAnchor editAs="oneCell">
    <xdr:from>
      <xdr:col>10</xdr:col>
      <xdr:colOff>409574</xdr:colOff>
      <xdr:row>1</xdr:row>
      <xdr:rowOff>460375</xdr:rowOff>
    </xdr:from>
    <xdr:to>
      <xdr:col>15</xdr:col>
      <xdr:colOff>401393</xdr:colOff>
      <xdr:row>1</xdr:row>
      <xdr:rowOff>829484</xdr:rowOff>
    </xdr:to>
    <xdr:pic>
      <xdr:nvPicPr>
        <xdr:cNvPr id="5" name="Shape 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rcRect/>
        <a:stretch>
          <a:fillRect/>
        </a:stretch>
      </xdr:blipFill>
      <xdr:spPr>
        <a:xfrm>
          <a:off x="15427324" y="460375"/>
          <a:ext cx="2531819" cy="369109"/>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Ouma, Emmanuel" id="{D7202775-F2E7-418A-B4B6-58116194C050}" userId="S::emouma@deloitte.co.ke::7788ae8d-a9e0-4cc3-9560-0cd4b7207e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0" dT="2025-11-03T07:26:26.26" personId="{D7202775-F2E7-418A-B4B6-58116194C050}" id="{9B688FEC-4749-4940-8196-F8D073207C4C}">
    <text>The instruction is repeated?</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13"/>
  <sheetViews>
    <sheetView showGridLines="0" zoomScale="90" zoomScaleNormal="90" workbookViewId="0">
      <pane xSplit="4" ySplit="3" topLeftCell="E4" activePane="bottomRight" state="frozen"/>
      <selection pane="topRight"/>
      <selection pane="bottomLeft"/>
      <selection pane="bottomRight" activeCell="D4" sqref="D4"/>
    </sheetView>
  </sheetViews>
  <sheetFormatPr defaultColWidth="39.140625" defaultRowHeight="15"/>
  <cols>
    <col min="1" max="1" width="2.5703125" customWidth="1"/>
    <col min="2" max="2" width="23.140625" customWidth="1"/>
    <col min="3" max="3" width="26.28515625" customWidth="1"/>
    <col min="4" max="4" width="39.140625" style="680"/>
    <col min="5" max="5" width="42.42578125" customWidth="1"/>
    <col min="6" max="6" width="12" style="681" customWidth="1"/>
    <col min="7" max="7" width="58.140625" style="680" customWidth="1"/>
    <col min="8" max="8" width="64.85546875" style="680" customWidth="1"/>
  </cols>
  <sheetData>
    <row r="2" spans="2:8" ht="34.5" customHeight="1">
      <c r="B2" s="808" t="s">
        <v>0</v>
      </c>
      <c r="C2" s="809"/>
      <c r="D2" s="809"/>
      <c r="E2" s="809"/>
      <c r="F2" s="809"/>
      <c r="G2" s="809"/>
      <c r="H2" s="810"/>
    </row>
    <row r="3" spans="2:8" ht="21.75" customHeight="1">
      <c r="B3" s="682" t="s">
        <v>1</v>
      </c>
      <c r="C3" s="683" t="s">
        <v>2</v>
      </c>
      <c r="D3" s="683" t="s">
        <v>3</v>
      </c>
      <c r="E3" s="683" t="s">
        <v>4</v>
      </c>
      <c r="F3" s="684" t="s">
        <v>5</v>
      </c>
      <c r="G3" s="683" t="s">
        <v>6</v>
      </c>
      <c r="H3" s="685" t="s">
        <v>7</v>
      </c>
    </row>
    <row r="4" spans="2:8" s="676" customFormat="1" ht="86.25">
      <c r="B4" s="686" t="s">
        <v>8</v>
      </c>
      <c r="C4" s="687" t="s">
        <v>8</v>
      </c>
      <c r="D4" s="687" t="s">
        <v>9</v>
      </c>
      <c r="E4" s="688" t="s">
        <v>10</v>
      </c>
      <c r="F4" s="689" t="s">
        <v>11</v>
      </c>
      <c r="G4" s="687" t="s">
        <v>12</v>
      </c>
      <c r="H4" s="690" t="s">
        <v>13</v>
      </c>
    </row>
    <row r="5" spans="2:8" s="676" customFormat="1" ht="69">
      <c r="B5" s="686" t="s">
        <v>8</v>
      </c>
      <c r="C5" s="687" t="s">
        <v>8</v>
      </c>
      <c r="D5" s="687" t="s">
        <v>9</v>
      </c>
      <c r="E5" s="688" t="s">
        <v>14</v>
      </c>
      <c r="F5" s="689" t="s">
        <v>15</v>
      </c>
      <c r="G5" s="687" t="s">
        <v>16</v>
      </c>
      <c r="H5" s="690" t="s">
        <v>17</v>
      </c>
    </row>
    <row r="6" spans="2:8" s="676" customFormat="1" ht="69">
      <c r="B6" s="686" t="s">
        <v>8</v>
      </c>
      <c r="C6" s="687" t="s">
        <v>8</v>
      </c>
      <c r="D6" s="687" t="s">
        <v>9</v>
      </c>
      <c r="E6" s="688" t="s">
        <v>18</v>
      </c>
      <c r="F6" s="689" t="s">
        <v>19</v>
      </c>
      <c r="G6" s="687" t="s">
        <v>20</v>
      </c>
      <c r="H6" s="690" t="s">
        <v>21</v>
      </c>
    </row>
    <row r="7" spans="2:8" s="677" customFormat="1" ht="34.5">
      <c r="B7" s="686" t="s">
        <v>8</v>
      </c>
      <c r="C7" s="687" t="s">
        <v>8</v>
      </c>
      <c r="D7" s="687" t="s">
        <v>9</v>
      </c>
      <c r="E7" s="688" t="s">
        <v>22</v>
      </c>
      <c r="F7" s="689" t="s">
        <v>23</v>
      </c>
      <c r="G7" s="687" t="s">
        <v>24</v>
      </c>
      <c r="H7" s="690" t="s">
        <v>25</v>
      </c>
    </row>
    <row r="8" spans="2:8" s="677" customFormat="1" ht="51.75">
      <c r="B8" s="686" t="s">
        <v>8</v>
      </c>
      <c r="C8" s="687" t="s">
        <v>8</v>
      </c>
      <c r="D8" s="687" t="s">
        <v>9</v>
      </c>
      <c r="E8" s="688" t="s">
        <v>26</v>
      </c>
      <c r="F8" s="689" t="s">
        <v>27</v>
      </c>
      <c r="G8" s="687" t="s">
        <v>28</v>
      </c>
      <c r="H8" s="690" t="s">
        <v>25</v>
      </c>
    </row>
    <row r="9" spans="2:8" s="677" customFormat="1" ht="34.5">
      <c r="B9" s="686" t="s">
        <v>8</v>
      </c>
      <c r="C9" s="687" t="s">
        <v>8</v>
      </c>
      <c r="D9" s="687" t="s">
        <v>9</v>
      </c>
      <c r="E9" s="688" t="s">
        <v>29</v>
      </c>
      <c r="F9" s="689" t="s">
        <v>30</v>
      </c>
      <c r="G9" s="687" t="s">
        <v>31</v>
      </c>
      <c r="H9" s="690" t="s">
        <v>32</v>
      </c>
    </row>
    <row r="10" spans="2:8" s="677" customFormat="1" ht="34.5">
      <c r="B10" s="686" t="s">
        <v>8</v>
      </c>
      <c r="C10" s="687" t="s">
        <v>8</v>
      </c>
      <c r="D10" s="687" t="s">
        <v>9</v>
      </c>
      <c r="E10" s="688" t="s">
        <v>33</v>
      </c>
      <c r="F10" s="689" t="s">
        <v>34</v>
      </c>
      <c r="G10" s="687" t="s">
        <v>35</v>
      </c>
      <c r="H10" s="690" t="s">
        <v>36</v>
      </c>
    </row>
    <row r="11" spans="2:8" s="677" customFormat="1" ht="34.5">
      <c r="B11" s="686" t="s">
        <v>8</v>
      </c>
      <c r="C11" s="687" t="s">
        <v>8</v>
      </c>
      <c r="D11" s="687" t="s">
        <v>9</v>
      </c>
      <c r="E11" s="688" t="s">
        <v>37</v>
      </c>
      <c r="F11" s="689" t="s">
        <v>38</v>
      </c>
      <c r="G11" s="687" t="s">
        <v>39</v>
      </c>
      <c r="H11" s="690" t="s">
        <v>40</v>
      </c>
    </row>
    <row r="12" spans="2:8" s="677" customFormat="1" ht="34.5">
      <c r="B12" s="686" t="s">
        <v>8</v>
      </c>
      <c r="C12" s="687" t="s">
        <v>8</v>
      </c>
      <c r="D12" s="687" t="s">
        <v>9</v>
      </c>
      <c r="E12" s="688" t="s">
        <v>41</v>
      </c>
      <c r="F12" s="689" t="s">
        <v>42</v>
      </c>
      <c r="G12" s="687" t="s">
        <v>43</v>
      </c>
      <c r="H12" s="690" t="s">
        <v>40</v>
      </c>
    </row>
    <row r="13" spans="2:8" s="677" customFormat="1" ht="34.5">
      <c r="B13" s="686" t="s">
        <v>8</v>
      </c>
      <c r="C13" s="687" t="s">
        <v>8</v>
      </c>
      <c r="D13" s="687" t="s">
        <v>9</v>
      </c>
      <c r="E13" s="688" t="s">
        <v>44</v>
      </c>
      <c r="F13" s="689" t="s">
        <v>45</v>
      </c>
      <c r="G13" s="687" t="s">
        <v>46</v>
      </c>
      <c r="H13" s="690" t="s">
        <v>40</v>
      </c>
    </row>
    <row r="14" spans="2:8" s="677" customFormat="1" ht="34.5">
      <c r="B14" s="686" t="s">
        <v>8</v>
      </c>
      <c r="C14" s="687" t="s">
        <v>8</v>
      </c>
      <c r="D14" s="687" t="s">
        <v>9</v>
      </c>
      <c r="E14" s="688" t="s">
        <v>47</v>
      </c>
      <c r="F14" s="689" t="s">
        <v>48</v>
      </c>
      <c r="G14" s="687" t="s">
        <v>49</v>
      </c>
      <c r="H14" s="690"/>
    </row>
    <row r="15" spans="2:8" s="677" customFormat="1" ht="34.5">
      <c r="B15" s="686" t="s">
        <v>8</v>
      </c>
      <c r="C15" s="687" t="s">
        <v>8</v>
      </c>
      <c r="D15" s="687" t="s">
        <v>9</v>
      </c>
      <c r="E15" s="688" t="s">
        <v>50</v>
      </c>
      <c r="F15" s="689" t="s">
        <v>51</v>
      </c>
      <c r="G15" s="687" t="s">
        <v>52</v>
      </c>
      <c r="H15" s="690" t="s">
        <v>36</v>
      </c>
    </row>
    <row r="16" spans="2:8" s="677" customFormat="1" ht="51.75">
      <c r="B16" s="686" t="s">
        <v>8</v>
      </c>
      <c r="C16" s="687" t="s">
        <v>8</v>
      </c>
      <c r="D16" s="687" t="s">
        <v>9</v>
      </c>
      <c r="E16" s="688" t="s">
        <v>53</v>
      </c>
      <c r="F16" s="689" t="s">
        <v>54</v>
      </c>
      <c r="G16" s="687" t="s">
        <v>55</v>
      </c>
      <c r="H16" s="690" t="s">
        <v>56</v>
      </c>
    </row>
    <row r="17" spans="2:8" s="677" customFormat="1" ht="51.75">
      <c r="B17" s="686" t="s">
        <v>8</v>
      </c>
      <c r="C17" s="687" t="s">
        <v>8</v>
      </c>
      <c r="D17" s="687" t="s">
        <v>57</v>
      </c>
      <c r="E17" s="688" t="s">
        <v>29</v>
      </c>
      <c r="F17" s="689" t="s">
        <v>58</v>
      </c>
      <c r="G17" s="687" t="s">
        <v>59</v>
      </c>
      <c r="H17" s="690" t="s">
        <v>60</v>
      </c>
    </row>
    <row r="18" spans="2:8" s="677" customFormat="1" ht="51.75">
      <c r="B18" s="686" t="s">
        <v>8</v>
      </c>
      <c r="C18" s="687" t="s">
        <v>8</v>
      </c>
      <c r="D18" s="687" t="s">
        <v>57</v>
      </c>
      <c r="E18" s="688" t="s">
        <v>33</v>
      </c>
      <c r="F18" s="689" t="s">
        <v>61</v>
      </c>
      <c r="G18" s="687" t="s">
        <v>62</v>
      </c>
      <c r="H18" s="690" t="s">
        <v>60</v>
      </c>
    </row>
    <row r="19" spans="2:8" s="677" customFormat="1" ht="34.5">
      <c r="B19" s="686" t="s">
        <v>8</v>
      </c>
      <c r="C19" s="687" t="s">
        <v>8</v>
      </c>
      <c r="D19" s="687" t="s">
        <v>57</v>
      </c>
      <c r="E19" s="688" t="s">
        <v>37</v>
      </c>
      <c r="F19" s="689" t="s">
        <v>63</v>
      </c>
      <c r="G19" s="687" t="s">
        <v>39</v>
      </c>
      <c r="H19" s="690" t="s">
        <v>64</v>
      </c>
    </row>
    <row r="20" spans="2:8" s="677" customFormat="1" ht="34.5">
      <c r="B20" s="686" t="s">
        <v>8</v>
      </c>
      <c r="C20" s="687" t="s">
        <v>8</v>
      </c>
      <c r="D20" s="687" t="s">
        <v>57</v>
      </c>
      <c r="E20" s="688" t="s">
        <v>41</v>
      </c>
      <c r="F20" s="689" t="s">
        <v>65</v>
      </c>
      <c r="G20" s="687" t="s">
        <v>43</v>
      </c>
      <c r="H20" s="690" t="s">
        <v>64</v>
      </c>
    </row>
    <row r="21" spans="2:8" s="677" customFormat="1" ht="34.5">
      <c r="B21" s="686" t="s">
        <v>8</v>
      </c>
      <c r="C21" s="687" t="s">
        <v>8</v>
      </c>
      <c r="D21" s="687" t="s">
        <v>57</v>
      </c>
      <c r="E21" s="688" t="s">
        <v>44</v>
      </c>
      <c r="F21" s="689" t="s">
        <v>66</v>
      </c>
      <c r="G21" s="687" t="s">
        <v>46</v>
      </c>
      <c r="H21" s="690" t="s">
        <v>64</v>
      </c>
    </row>
    <row r="22" spans="2:8" s="677" customFormat="1" ht="18.75">
      <c r="B22" s="686" t="s">
        <v>8</v>
      </c>
      <c r="C22" s="687" t="s">
        <v>8</v>
      </c>
      <c r="D22" s="687" t="s">
        <v>57</v>
      </c>
      <c r="E22" s="688" t="s">
        <v>47</v>
      </c>
      <c r="F22" s="689" t="s">
        <v>67</v>
      </c>
      <c r="G22" s="687" t="s">
        <v>68</v>
      </c>
      <c r="H22" s="690"/>
    </row>
    <row r="23" spans="2:8" s="677" customFormat="1" ht="34.5">
      <c r="B23" s="686" t="s">
        <v>8</v>
      </c>
      <c r="C23" s="687" t="s">
        <v>8</v>
      </c>
      <c r="D23" s="687" t="s">
        <v>69</v>
      </c>
      <c r="E23" s="688" t="s">
        <v>29</v>
      </c>
      <c r="F23" s="689" t="s">
        <v>70</v>
      </c>
      <c r="G23" s="687" t="s">
        <v>71</v>
      </c>
      <c r="H23" s="690" t="s">
        <v>60</v>
      </c>
    </row>
    <row r="24" spans="2:8" s="677" customFormat="1" ht="51.75">
      <c r="B24" s="686" t="s">
        <v>8</v>
      </c>
      <c r="C24" s="687" t="s">
        <v>8</v>
      </c>
      <c r="D24" s="687" t="s">
        <v>69</v>
      </c>
      <c r="E24" s="688" t="s">
        <v>33</v>
      </c>
      <c r="F24" s="689" t="s">
        <v>72</v>
      </c>
      <c r="G24" s="687" t="s">
        <v>73</v>
      </c>
      <c r="H24" s="690" t="s">
        <v>60</v>
      </c>
    </row>
    <row r="25" spans="2:8" s="677" customFormat="1" ht="34.5">
      <c r="B25" s="686" t="s">
        <v>8</v>
      </c>
      <c r="C25" s="687" t="s">
        <v>8</v>
      </c>
      <c r="D25" s="687" t="s">
        <v>69</v>
      </c>
      <c r="E25" s="688" t="s">
        <v>37</v>
      </c>
      <c r="F25" s="689" t="s">
        <v>74</v>
      </c>
      <c r="G25" s="687" t="s">
        <v>39</v>
      </c>
      <c r="H25" s="690" t="s">
        <v>64</v>
      </c>
    </row>
    <row r="26" spans="2:8" s="677" customFormat="1" ht="34.5">
      <c r="B26" s="686" t="s">
        <v>8</v>
      </c>
      <c r="C26" s="687" t="s">
        <v>8</v>
      </c>
      <c r="D26" s="687" t="s">
        <v>69</v>
      </c>
      <c r="E26" s="688" t="s">
        <v>41</v>
      </c>
      <c r="F26" s="689" t="s">
        <v>75</v>
      </c>
      <c r="G26" s="687" t="s">
        <v>43</v>
      </c>
      <c r="H26" s="690" t="s">
        <v>64</v>
      </c>
    </row>
    <row r="27" spans="2:8" s="677" customFormat="1" ht="34.5">
      <c r="B27" s="686" t="s">
        <v>8</v>
      </c>
      <c r="C27" s="687" t="s">
        <v>8</v>
      </c>
      <c r="D27" s="687" t="s">
        <v>69</v>
      </c>
      <c r="E27" s="688" t="s">
        <v>44</v>
      </c>
      <c r="F27" s="689" t="s">
        <v>76</v>
      </c>
      <c r="G27" s="687" t="s">
        <v>46</v>
      </c>
      <c r="H27" s="690" t="s">
        <v>64</v>
      </c>
    </row>
    <row r="28" spans="2:8" s="677" customFormat="1" ht="18.75">
      <c r="B28" s="686" t="s">
        <v>8</v>
      </c>
      <c r="C28" s="687" t="s">
        <v>8</v>
      </c>
      <c r="D28" s="687" t="s">
        <v>69</v>
      </c>
      <c r="E28" s="688" t="s">
        <v>47</v>
      </c>
      <c r="F28" s="689" t="s">
        <v>77</v>
      </c>
      <c r="G28" s="687" t="s">
        <v>78</v>
      </c>
      <c r="H28" s="690"/>
    </row>
    <row r="29" spans="2:8" s="676" customFormat="1" ht="51.75">
      <c r="B29" s="686" t="s">
        <v>8</v>
      </c>
      <c r="C29" s="687" t="s">
        <v>8</v>
      </c>
      <c r="D29" s="687" t="s">
        <v>79</v>
      </c>
      <c r="E29" s="688" t="s">
        <v>29</v>
      </c>
      <c r="F29" s="689" t="s">
        <v>80</v>
      </c>
      <c r="G29" s="687" t="s">
        <v>81</v>
      </c>
      <c r="H29" s="690" t="s">
        <v>60</v>
      </c>
    </row>
    <row r="30" spans="2:8" s="676" customFormat="1" ht="51.75">
      <c r="B30" s="686" t="s">
        <v>8</v>
      </c>
      <c r="C30" s="687" t="s">
        <v>8</v>
      </c>
      <c r="D30" s="687" t="s">
        <v>79</v>
      </c>
      <c r="E30" s="688" t="s">
        <v>33</v>
      </c>
      <c r="F30" s="689" t="s">
        <v>82</v>
      </c>
      <c r="G30" s="687" t="s">
        <v>83</v>
      </c>
      <c r="H30" s="690" t="s">
        <v>60</v>
      </c>
    </row>
    <row r="31" spans="2:8" s="676" customFormat="1" ht="34.5">
      <c r="B31" s="686" t="s">
        <v>8</v>
      </c>
      <c r="C31" s="687" t="s">
        <v>8</v>
      </c>
      <c r="D31" s="687" t="s">
        <v>79</v>
      </c>
      <c r="E31" s="688" t="s">
        <v>37</v>
      </c>
      <c r="F31" s="689" t="s">
        <v>84</v>
      </c>
      <c r="G31" s="687" t="s">
        <v>39</v>
      </c>
      <c r="H31" s="690" t="s">
        <v>64</v>
      </c>
    </row>
    <row r="32" spans="2:8" s="676" customFormat="1" ht="34.5">
      <c r="B32" s="686" t="s">
        <v>8</v>
      </c>
      <c r="C32" s="687" t="s">
        <v>8</v>
      </c>
      <c r="D32" s="687" t="s">
        <v>79</v>
      </c>
      <c r="E32" s="688" t="s">
        <v>41</v>
      </c>
      <c r="F32" s="689" t="s">
        <v>85</v>
      </c>
      <c r="G32" s="687" t="s">
        <v>43</v>
      </c>
      <c r="H32" s="690" t="s">
        <v>64</v>
      </c>
    </row>
    <row r="33" spans="2:8" s="676" customFormat="1" ht="34.5">
      <c r="B33" s="686" t="s">
        <v>8</v>
      </c>
      <c r="C33" s="687" t="s">
        <v>8</v>
      </c>
      <c r="D33" s="687" t="s">
        <v>79</v>
      </c>
      <c r="E33" s="688" t="s">
        <v>44</v>
      </c>
      <c r="F33" s="689" t="s">
        <v>86</v>
      </c>
      <c r="G33" s="687" t="s">
        <v>46</v>
      </c>
      <c r="H33" s="690" t="s">
        <v>64</v>
      </c>
    </row>
    <row r="34" spans="2:8" s="676" customFormat="1" ht="34.5">
      <c r="B34" s="686" t="s">
        <v>8</v>
      </c>
      <c r="C34" s="687" t="s">
        <v>8</v>
      </c>
      <c r="D34" s="687" t="s">
        <v>79</v>
      </c>
      <c r="E34" s="688" t="s">
        <v>47</v>
      </c>
      <c r="F34" s="689" t="s">
        <v>87</v>
      </c>
      <c r="G34" s="687" t="s">
        <v>88</v>
      </c>
      <c r="H34" s="690"/>
    </row>
    <row r="35" spans="2:8" s="676" customFormat="1" ht="34.5">
      <c r="B35" s="686" t="s">
        <v>8</v>
      </c>
      <c r="C35" s="687" t="s">
        <v>8</v>
      </c>
      <c r="D35" s="687" t="s">
        <v>89</v>
      </c>
      <c r="E35" s="688" t="s">
        <v>29</v>
      </c>
      <c r="F35" s="689" t="s">
        <v>90</v>
      </c>
      <c r="G35" s="687" t="s">
        <v>91</v>
      </c>
      <c r="H35" s="690" t="s">
        <v>60</v>
      </c>
    </row>
    <row r="36" spans="2:8" s="676" customFormat="1" ht="34.5">
      <c r="B36" s="686" t="s">
        <v>8</v>
      </c>
      <c r="C36" s="687" t="s">
        <v>8</v>
      </c>
      <c r="D36" s="687" t="s">
        <v>89</v>
      </c>
      <c r="E36" s="688" t="s">
        <v>33</v>
      </c>
      <c r="F36" s="689" t="s">
        <v>92</v>
      </c>
      <c r="G36" s="687" t="s">
        <v>93</v>
      </c>
      <c r="H36" s="690" t="s">
        <v>60</v>
      </c>
    </row>
    <row r="37" spans="2:8" s="676" customFormat="1" ht="34.5">
      <c r="B37" s="686" t="s">
        <v>8</v>
      </c>
      <c r="C37" s="687" t="s">
        <v>8</v>
      </c>
      <c r="D37" s="687" t="s">
        <v>89</v>
      </c>
      <c r="E37" s="688" t="s">
        <v>37</v>
      </c>
      <c r="F37" s="689" t="s">
        <v>94</v>
      </c>
      <c r="G37" s="687" t="s">
        <v>39</v>
      </c>
      <c r="H37" s="690" t="s">
        <v>64</v>
      </c>
    </row>
    <row r="38" spans="2:8" s="676" customFormat="1" ht="34.5">
      <c r="B38" s="686" t="s">
        <v>8</v>
      </c>
      <c r="C38" s="687" t="s">
        <v>8</v>
      </c>
      <c r="D38" s="687" t="s">
        <v>89</v>
      </c>
      <c r="E38" s="688" t="s">
        <v>41</v>
      </c>
      <c r="F38" s="689" t="s">
        <v>95</v>
      </c>
      <c r="G38" s="687" t="s">
        <v>43</v>
      </c>
      <c r="H38" s="690" t="s">
        <v>64</v>
      </c>
    </row>
    <row r="39" spans="2:8" s="676" customFormat="1" ht="34.5">
      <c r="B39" s="686" t="s">
        <v>8</v>
      </c>
      <c r="C39" s="687" t="s">
        <v>8</v>
      </c>
      <c r="D39" s="687" t="s">
        <v>89</v>
      </c>
      <c r="E39" s="688" t="s">
        <v>44</v>
      </c>
      <c r="F39" s="689" t="s">
        <v>96</v>
      </c>
      <c r="G39" s="687" t="s">
        <v>46</v>
      </c>
      <c r="H39" s="690" t="s">
        <v>64</v>
      </c>
    </row>
    <row r="40" spans="2:8" s="676" customFormat="1" ht="34.5">
      <c r="B40" s="686" t="s">
        <v>8</v>
      </c>
      <c r="C40" s="687" t="s">
        <v>8</v>
      </c>
      <c r="D40" s="687" t="s">
        <v>89</v>
      </c>
      <c r="E40" s="688" t="s">
        <v>47</v>
      </c>
      <c r="F40" s="689" t="s">
        <v>97</v>
      </c>
      <c r="G40" s="687" t="s">
        <v>98</v>
      </c>
      <c r="H40" s="690"/>
    </row>
    <row r="41" spans="2:8" s="676" customFormat="1" ht="34.5">
      <c r="B41" s="686" t="s">
        <v>8</v>
      </c>
      <c r="C41" s="687" t="s">
        <v>8</v>
      </c>
      <c r="D41" s="687" t="s">
        <v>99</v>
      </c>
      <c r="E41" s="688" t="s">
        <v>29</v>
      </c>
      <c r="F41" s="689" t="s">
        <v>100</v>
      </c>
      <c r="G41" s="687" t="s">
        <v>101</v>
      </c>
      <c r="H41" s="690" t="s">
        <v>60</v>
      </c>
    </row>
    <row r="42" spans="2:8" s="676" customFormat="1" ht="51.75">
      <c r="B42" s="686" t="s">
        <v>8</v>
      </c>
      <c r="C42" s="687" t="s">
        <v>8</v>
      </c>
      <c r="D42" s="687" t="s">
        <v>99</v>
      </c>
      <c r="E42" s="688" t="s">
        <v>33</v>
      </c>
      <c r="F42" s="689" t="s">
        <v>102</v>
      </c>
      <c r="G42" s="687" t="s">
        <v>103</v>
      </c>
      <c r="H42" s="690" t="s">
        <v>60</v>
      </c>
    </row>
    <row r="43" spans="2:8" s="676" customFormat="1" ht="34.5">
      <c r="B43" s="686" t="s">
        <v>8</v>
      </c>
      <c r="C43" s="687" t="s">
        <v>8</v>
      </c>
      <c r="D43" s="687" t="s">
        <v>99</v>
      </c>
      <c r="E43" s="688" t="s">
        <v>37</v>
      </c>
      <c r="F43" s="689" t="s">
        <v>104</v>
      </c>
      <c r="G43" s="687" t="s">
        <v>39</v>
      </c>
      <c r="H43" s="690" t="s">
        <v>64</v>
      </c>
    </row>
    <row r="44" spans="2:8" s="676" customFormat="1" ht="34.5">
      <c r="B44" s="686" t="s">
        <v>8</v>
      </c>
      <c r="C44" s="687" t="s">
        <v>8</v>
      </c>
      <c r="D44" s="687" t="s">
        <v>99</v>
      </c>
      <c r="E44" s="688" t="s">
        <v>41</v>
      </c>
      <c r="F44" s="689" t="s">
        <v>105</v>
      </c>
      <c r="G44" s="687" t="s">
        <v>43</v>
      </c>
      <c r="H44" s="690" t="s">
        <v>64</v>
      </c>
    </row>
    <row r="45" spans="2:8" s="676" customFormat="1" ht="34.5">
      <c r="B45" s="686" t="s">
        <v>8</v>
      </c>
      <c r="C45" s="687" t="s">
        <v>8</v>
      </c>
      <c r="D45" s="687" t="s">
        <v>99</v>
      </c>
      <c r="E45" s="688" t="s">
        <v>44</v>
      </c>
      <c r="F45" s="689" t="s">
        <v>106</v>
      </c>
      <c r="G45" s="687" t="s">
        <v>46</v>
      </c>
      <c r="H45" s="690" t="s">
        <v>64</v>
      </c>
    </row>
    <row r="46" spans="2:8" s="676" customFormat="1" ht="18.75">
      <c r="B46" s="686" t="s">
        <v>8</v>
      </c>
      <c r="C46" s="687" t="s">
        <v>8</v>
      </c>
      <c r="D46" s="687" t="s">
        <v>99</v>
      </c>
      <c r="E46" s="688" t="s">
        <v>47</v>
      </c>
      <c r="F46" s="689" t="s">
        <v>107</v>
      </c>
      <c r="G46" s="687" t="s">
        <v>108</v>
      </c>
      <c r="H46" s="690"/>
    </row>
    <row r="47" spans="2:8" s="676" customFormat="1" ht="34.5">
      <c r="B47" s="686" t="s">
        <v>8</v>
      </c>
      <c r="C47" s="687" t="s">
        <v>8</v>
      </c>
      <c r="D47" s="687" t="s">
        <v>109</v>
      </c>
      <c r="E47" s="688" t="s">
        <v>29</v>
      </c>
      <c r="F47" s="689" t="s">
        <v>110</v>
      </c>
      <c r="G47" s="687" t="s">
        <v>111</v>
      </c>
      <c r="H47" s="690"/>
    </row>
    <row r="48" spans="2:8" s="676" customFormat="1" ht="34.5">
      <c r="B48" s="686" t="s">
        <v>8</v>
      </c>
      <c r="C48" s="687" t="s">
        <v>8</v>
      </c>
      <c r="D48" s="687" t="s">
        <v>109</v>
      </c>
      <c r="E48" s="688" t="s">
        <v>33</v>
      </c>
      <c r="F48" s="689" t="s">
        <v>112</v>
      </c>
      <c r="G48" s="687" t="s">
        <v>113</v>
      </c>
      <c r="H48" s="690"/>
    </row>
    <row r="49" spans="2:8" s="676" customFormat="1" ht="34.5">
      <c r="B49" s="686" t="s">
        <v>8</v>
      </c>
      <c r="C49" s="687" t="s">
        <v>8</v>
      </c>
      <c r="D49" s="687" t="s">
        <v>109</v>
      </c>
      <c r="E49" s="688" t="s">
        <v>37</v>
      </c>
      <c r="F49" s="689" t="s">
        <v>114</v>
      </c>
      <c r="G49" s="687" t="s">
        <v>39</v>
      </c>
      <c r="H49" s="690"/>
    </row>
    <row r="50" spans="2:8" s="676" customFormat="1" ht="34.5">
      <c r="B50" s="686" t="s">
        <v>8</v>
      </c>
      <c r="C50" s="687" t="s">
        <v>8</v>
      </c>
      <c r="D50" s="687" t="s">
        <v>109</v>
      </c>
      <c r="E50" s="688" t="s">
        <v>41</v>
      </c>
      <c r="F50" s="689" t="s">
        <v>115</v>
      </c>
      <c r="G50" s="687" t="s">
        <v>43</v>
      </c>
      <c r="H50" s="690"/>
    </row>
    <row r="51" spans="2:8" s="676" customFormat="1" ht="34.5">
      <c r="B51" s="686" t="s">
        <v>8</v>
      </c>
      <c r="C51" s="687" t="s">
        <v>8</v>
      </c>
      <c r="D51" s="687" t="s">
        <v>109</v>
      </c>
      <c r="E51" s="688" t="s">
        <v>44</v>
      </c>
      <c r="F51" s="689" t="s">
        <v>116</v>
      </c>
      <c r="G51" s="687" t="s">
        <v>46</v>
      </c>
      <c r="H51" s="690"/>
    </row>
    <row r="52" spans="2:8" s="676" customFormat="1" ht="18.75">
      <c r="B52" s="686" t="s">
        <v>8</v>
      </c>
      <c r="C52" s="687" t="s">
        <v>8</v>
      </c>
      <c r="D52" s="687" t="s">
        <v>109</v>
      </c>
      <c r="E52" s="688" t="s">
        <v>47</v>
      </c>
      <c r="F52" s="689" t="s">
        <v>117</v>
      </c>
      <c r="G52" s="687" t="s">
        <v>118</v>
      </c>
      <c r="H52" s="690"/>
    </row>
    <row r="53" spans="2:8" s="676" customFormat="1" ht="34.5">
      <c r="B53" s="686" t="s">
        <v>8</v>
      </c>
      <c r="C53" s="687" t="s">
        <v>8</v>
      </c>
      <c r="D53" s="687" t="s">
        <v>119</v>
      </c>
      <c r="E53" s="688" t="s">
        <v>29</v>
      </c>
      <c r="F53" s="689" t="s">
        <v>120</v>
      </c>
      <c r="G53" s="687" t="s">
        <v>121</v>
      </c>
      <c r="H53" s="690"/>
    </row>
    <row r="54" spans="2:8" s="676" customFormat="1" ht="34.5">
      <c r="B54" s="686" t="s">
        <v>8</v>
      </c>
      <c r="C54" s="687" t="s">
        <v>8</v>
      </c>
      <c r="D54" s="687" t="s">
        <v>119</v>
      </c>
      <c r="E54" s="688" t="s">
        <v>33</v>
      </c>
      <c r="F54" s="689" t="s">
        <v>122</v>
      </c>
      <c r="G54" s="687" t="s">
        <v>123</v>
      </c>
      <c r="H54" s="690"/>
    </row>
    <row r="55" spans="2:8" s="676" customFormat="1" ht="34.5">
      <c r="B55" s="686" t="s">
        <v>8</v>
      </c>
      <c r="C55" s="687" t="s">
        <v>8</v>
      </c>
      <c r="D55" s="687" t="s">
        <v>119</v>
      </c>
      <c r="E55" s="688" t="s">
        <v>37</v>
      </c>
      <c r="F55" s="689" t="s">
        <v>124</v>
      </c>
      <c r="G55" s="687" t="s">
        <v>39</v>
      </c>
      <c r="H55" s="690"/>
    </row>
    <row r="56" spans="2:8" s="676" customFormat="1" ht="34.5">
      <c r="B56" s="686" t="s">
        <v>8</v>
      </c>
      <c r="C56" s="687" t="s">
        <v>8</v>
      </c>
      <c r="D56" s="687" t="s">
        <v>119</v>
      </c>
      <c r="E56" s="688" t="s">
        <v>41</v>
      </c>
      <c r="F56" s="689" t="s">
        <v>125</v>
      </c>
      <c r="G56" s="687" t="s">
        <v>43</v>
      </c>
      <c r="H56" s="690"/>
    </row>
    <row r="57" spans="2:8" s="676" customFormat="1" ht="34.5">
      <c r="B57" s="686" t="s">
        <v>8</v>
      </c>
      <c r="C57" s="687" t="s">
        <v>8</v>
      </c>
      <c r="D57" s="687" t="s">
        <v>119</v>
      </c>
      <c r="E57" s="688" t="s">
        <v>44</v>
      </c>
      <c r="F57" s="689" t="s">
        <v>126</v>
      </c>
      <c r="G57" s="687" t="s">
        <v>46</v>
      </c>
      <c r="H57" s="690"/>
    </row>
    <row r="58" spans="2:8" s="676" customFormat="1" ht="34.5">
      <c r="B58" s="686" t="s">
        <v>8</v>
      </c>
      <c r="C58" s="687" t="s">
        <v>8</v>
      </c>
      <c r="D58" s="687" t="s">
        <v>119</v>
      </c>
      <c r="E58" s="688" t="s">
        <v>47</v>
      </c>
      <c r="F58" s="689" t="s">
        <v>127</v>
      </c>
      <c r="G58" s="687" t="s">
        <v>128</v>
      </c>
      <c r="H58" s="690"/>
    </row>
    <row r="59" spans="2:8" s="676" customFormat="1" ht="34.5">
      <c r="B59" s="686" t="s">
        <v>8</v>
      </c>
      <c r="C59" s="687" t="s">
        <v>8</v>
      </c>
      <c r="D59" s="687" t="s">
        <v>129</v>
      </c>
      <c r="E59" s="688" t="s">
        <v>29</v>
      </c>
      <c r="F59" s="689" t="s">
        <v>130</v>
      </c>
      <c r="G59" s="687" t="s">
        <v>131</v>
      </c>
      <c r="H59" s="690"/>
    </row>
    <row r="60" spans="2:8" s="676" customFormat="1" ht="34.5">
      <c r="B60" s="686" t="s">
        <v>8</v>
      </c>
      <c r="C60" s="687" t="s">
        <v>8</v>
      </c>
      <c r="D60" s="687" t="s">
        <v>129</v>
      </c>
      <c r="E60" s="688" t="s">
        <v>33</v>
      </c>
      <c r="F60" s="689" t="s">
        <v>132</v>
      </c>
      <c r="G60" s="687" t="s">
        <v>133</v>
      </c>
      <c r="H60" s="690"/>
    </row>
    <row r="61" spans="2:8" s="676" customFormat="1" ht="34.5">
      <c r="B61" s="686" t="s">
        <v>8</v>
      </c>
      <c r="C61" s="687" t="s">
        <v>8</v>
      </c>
      <c r="D61" s="687" t="s">
        <v>134</v>
      </c>
      <c r="E61" s="688" t="s">
        <v>29</v>
      </c>
      <c r="F61" s="689" t="s">
        <v>135</v>
      </c>
      <c r="G61" s="687" t="s">
        <v>136</v>
      </c>
      <c r="H61" s="690"/>
    </row>
    <row r="62" spans="2:8" s="676" customFormat="1" ht="34.5">
      <c r="B62" s="686" t="s">
        <v>8</v>
      </c>
      <c r="C62" s="687" t="s">
        <v>8</v>
      </c>
      <c r="D62" s="687" t="s">
        <v>134</v>
      </c>
      <c r="E62" s="688" t="s">
        <v>33</v>
      </c>
      <c r="F62" s="689" t="s">
        <v>137</v>
      </c>
      <c r="G62" s="687" t="s">
        <v>138</v>
      </c>
      <c r="H62" s="690"/>
    </row>
    <row r="63" spans="2:8" s="676" customFormat="1" ht="34.5">
      <c r="B63" s="686" t="s">
        <v>8</v>
      </c>
      <c r="C63" s="687" t="s">
        <v>8</v>
      </c>
      <c r="D63" s="687" t="s">
        <v>139</v>
      </c>
      <c r="E63" s="688" t="s">
        <v>140</v>
      </c>
      <c r="F63" s="689" t="s">
        <v>141</v>
      </c>
      <c r="G63" s="687" t="s">
        <v>118</v>
      </c>
      <c r="H63" s="690"/>
    </row>
    <row r="64" spans="2:8" s="676" customFormat="1" ht="34.5">
      <c r="B64" s="686" t="s">
        <v>8</v>
      </c>
      <c r="C64" s="687" t="s">
        <v>8</v>
      </c>
      <c r="D64" s="687" t="s">
        <v>139</v>
      </c>
      <c r="E64" s="688" t="s">
        <v>37</v>
      </c>
      <c r="F64" s="689" t="s">
        <v>142</v>
      </c>
      <c r="G64" s="687" t="s">
        <v>39</v>
      </c>
      <c r="H64" s="690"/>
    </row>
    <row r="65" spans="2:8" s="676" customFormat="1" ht="34.5">
      <c r="B65" s="686" t="s">
        <v>8</v>
      </c>
      <c r="C65" s="687" t="s">
        <v>8</v>
      </c>
      <c r="D65" s="687" t="s">
        <v>139</v>
      </c>
      <c r="E65" s="688" t="s">
        <v>41</v>
      </c>
      <c r="F65" s="689" t="s">
        <v>143</v>
      </c>
      <c r="G65" s="687" t="s">
        <v>43</v>
      </c>
      <c r="H65" s="690"/>
    </row>
    <row r="66" spans="2:8" s="676" customFormat="1" ht="34.5">
      <c r="B66" s="686" t="s">
        <v>8</v>
      </c>
      <c r="C66" s="687" t="s">
        <v>8</v>
      </c>
      <c r="D66" s="687" t="s">
        <v>139</v>
      </c>
      <c r="E66" s="688" t="s">
        <v>44</v>
      </c>
      <c r="F66" s="689" t="s">
        <v>144</v>
      </c>
      <c r="G66" s="687" t="s">
        <v>46</v>
      </c>
      <c r="H66" s="690"/>
    </row>
    <row r="67" spans="2:8" s="676" customFormat="1" ht="34.5">
      <c r="B67" s="686" t="s">
        <v>8</v>
      </c>
      <c r="C67" s="687" t="s">
        <v>8</v>
      </c>
      <c r="D67" s="687" t="s">
        <v>139</v>
      </c>
      <c r="E67" s="688" t="s">
        <v>47</v>
      </c>
      <c r="F67" s="689" t="s">
        <v>145</v>
      </c>
      <c r="G67" s="687" t="s">
        <v>146</v>
      </c>
      <c r="H67" s="690"/>
    </row>
    <row r="68" spans="2:8" s="676" customFormat="1" ht="51.75">
      <c r="B68" s="686" t="s">
        <v>8</v>
      </c>
      <c r="C68" s="687" t="s">
        <v>8</v>
      </c>
      <c r="D68" s="687" t="s">
        <v>147</v>
      </c>
      <c r="E68" s="688" t="s">
        <v>29</v>
      </c>
      <c r="F68" s="689" t="s">
        <v>148</v>
      </c>
      <c r="G68" s="687" t="s">
        <v>149</v>
      </c>
      <c r="H68" s="690" t="s">
        <v>60</v>
      </c>
    </row>
    <row r="69" spans="2:8" s="676" customFormat="1" ht="51.75">
      <c r="B69" s="686" t="s">
        <v>8</v>
      </c>
      <c r="C69" s="687" t="s">
        <v>8</v>
      </c>
      <c r="D69" s="687" t="s">
        <v>147</v>
      </c>
      <c r="E69" s="688" t="s">
        <v>33</v>
      </c>
      <c r="F69" s="689" t="s">
        <v>150</v>
      </c>
      <c r="G69" s="687" t="s">
        <v>151</v>
      </c>
      <c r="H69" s="690" t="s">
        <v>60</v>
      </c>
    </row>
    <row r="70" spans="2:8" s="676" customFormat="1" ht="34.5">
      <c r="B70" s="686" t="s">
        <v>8</v>
      </c>
      <c r="C70" s="687" t="s">
        <v>8</v>
      </c>
      <c r="D70" s="687" t="s">
        <v>147</v>
      </c>
      <c r="E70" s="688" t="s">
        <v>37</v>
      </c>
      <c r="F70" s="689" t="s">
        <v>152</v>
      </c>
      <c r="G70" s="687" t="s">
        <v>39</v>
      </c>
      <c r="H70" s="690" t="s">
        <v>64</v>
      </c>
    </row>
    <row r="71" spans="2:8" s="676" customFormat="1" ht="34.5">
      <c r="B71" s="686" t="s">
        <v>8</v>
      </c>
      <c r="C71" s="687" t="s">
        <v>8</v>
      </c>
      <c r="D71" s="687" t="s">
        <v>147</v>
      </c>
      <c r="E71" s="688" t="s">
        <v>41</v>
      </c>
      <c r="F71" s="689" t="s">
        <v>153</v>
      </c>
      <c r="G71" s="687" t="s">
        <v>43</v>
      </c>
      <c r="H71" s="690" t="s">
        <v>64</v>
      </c>
    </row>
    <row r="72" spans="2:8" s="676" customFormat="1" ht="34.5">
      <c r="B72" s="686" t="s">
        <v>8</v>
      </c>
      <c r="C72" s="687" t="s">
        <v>8</v>
      </c>
      <c r="D72" s="687" t="s">
        <v>147</v>
      </c>
      <c r="E72" s="688" t="s">
        <v>44</v>
      </c>
      <c r="F72" s="689" t="s">
        <v>154</v>
      </c>
      <c r="G72" s="687" t="s">
        <v>46</v>
      </c>
      <c r="H72" s="690" t="s">
        <v>64</v>
      </c>
    </row>
    <row r="73" spans="2:8" s="676" customFormat="1" ht="18.75">
      <c r="B73" s="686" t="s">
        <v>8</v>
      </c>
      <c r="C73" s="687" t="s">
        <v>8</v>
      </c>
      <c r="D73" s="687" t="s">
        <v>147</v>
      </c>
      <c r="E73" s="688" t="s">
        <v>47</v>
      </c>
      <c r="F73" s="689" t="s">
        <v>155</v>
      </c>
      <c r="G73" s="687" t="s">
        <v>156</v>
      </c>
      <c r="H73" s="690"/>
    </row>
    <row r="74" spans="2:8" s="676" customFormat="1" ht="51.75">
      <c r="B74" s="686" t="s">
        <v>8</v>
      </c>
      <c r="C74" s="687" t="s">
        <v>8</v>
      </c>
      <c r="D74" s="687" t="s">
        <v>157</v>
      </c>
      <c r="E74" s="688" t="s">
        <v>18</v>
      </c>
      <c r="F74" s="689" t="s">
        <v>158</v>
      </c>
      <c r="G74" s="687" t="s">
        <v>159</v>
      </c>
      <c r="H74" s="690" t="s">
        <v>160</v>
      </c>
    </row>
    <row r="75" spans="2:8" s="676" customFormat="1" ht="34.5">
      <c r="B75" s="686" t="s">
        <v>8</v>
      </c>
      <c r="C75" s="687" t="s">
        <v>8</v>
      </c>
      <c r="D75" s="687" t="s">
        <v>157</v>
      </c>
      <c r="E75" s="688" t="s">
        <v>29</v>
      </c>
      <c r="F75" s="689" t="s">
        <v>161</v>
      </c>
      <c r="G75" s="687" t="s">
        <v>162</v>
      </c>
      <c r="H75" s="690" t="s">
        <v>163</v>
      </c>
    </row>
    <row r="76" spans="2:8" s="676" customFormat="1" ht="34.5">
      <c r="B76" s="686" t="s">
        <v>8</v>
      </c>
      <c r="C76" s="687" t="s">
        <v>8</v>
      </c>
      <c r="D76" s="687" t="s">
        <v>157</v>
      </c>
      <c r="E76" s="688" t="s">
        <v>33</v>
      </c>
      <c r="F76" s="689" t="s">
        <v>164</v>
      </c>
      <c r="G76" s="687" t="s">
        <v>165</v>
      </c>
      <c r="H76" s="690" t="s">
        <v>166</v>
      </c>
    </row>
    <row r="77" spans="2:8" s="676" customFormat="1" ht="34.5">
      <c r="B77" s="686" t="s">
        <v>8</v>
      </c>
      <c r="C77" s="687" t="s">
        <v>8</v>
      </c>
      <c r="D77" s="687" t="s">
        <v>157</v>
      </c>
      <c r="E77" s="688" t="s">
        <v>37</v>
      </c>
      <c r="F77" s="689" t="s">
        <v>167</v>
      </c>
      <c r="G77" s="687" t="s">
        <v>39</v>
      </c>
      <c r="H77" s="690" t="s">
        <v>168</v>
      </c>
    </row>
    <row r="78" spans="2:8" s="676" customFormat="1" ht="34.5">
      <c r="B78" s="686" t="s">
        <v>8</v>
      </c>
      <c r="C78" s="687" t="s">
        <v>8</v>
      </c>
      <c r="D78" s="687" t="s">
        <v>157</v>
      </c>
      <c r="E78" s="688" t="s">
        <v>41</v>
      </c>
      <c r="F78" s="689" t="s">
        <v>169</v>
      </c>
      <c r="G78" s="687" t="s">
        <v>43</v>
      </c>
      <c r="H78" s="690" t="s">
        <v>168</v>
      </c>
    </row>
    <row r="79" spans="2:8" s="676" customFormat="1" ht="34.5">
      <c r="B79" s="686" t="s">
        <v>8</v>
      </c>
      <c r="C79" s="687" t="s">
        <v>8</v>
      </c>
      <c r="D79" s="687" t="s">
        <v>157</v>
      </c>
      <c r="E79" s="688" t="s">
        <v>44</v>
      </c>
      <c r="F79" s="689" t="s">
        <v>170</v>
      </c>
      <c r="G79" s="687" t="s">
        <v>46</v>
      </c>
      <c r="H79" s="690" t="s">
        <v>168</v>
      </c>
    </row>
    <row r="80" spans="2:8" s="676" customFormat="1" ht="34.5">
      <c r="B80" s="686" t="s">
        <v>8</v>
      </c>
      <c r="C80" s="687" t="s">
        <v>8</v>
      </c>
      <c r="D80" s="687" t="s">
        <v>157</v>
      </c>
      <c r="E80" s="688" t="s">
        <v>47</v>
      </c>
      <c r="F80" s="689" t="s">
        <v>171</v>
      </c>
      <c r="G80" s="687" t="s">
        <v>172</v>
      </c>
      <c r="H80" s="690"/>
    </row>
    <row r="81" spans="2:8" s="676" customFormat="1" ht="34.5">
      <c r="B81" s="686" t="s">
        <v>8</v>
      </c>
      <c r="C81" s="687" t="s">
        <v>8</v>
      </c>
      <c r="D81" s="687" t="s">
        <v>157</v>
      </c>
      <c r="E81" s="688" t="s">
        <v>50</v>
      </c>
      <c r="F81" s="689" t="s">
        <v>173</v>
      </c>
      <c r="G81" s="687" t="s">
        <v>174</v>
      </c>
      <c r="H81" s="690" t="s">
        <v>166</v>
      </c>
    </row>
    <row r="82" spans="2:8" s="676" customFormat="1" ht="34.5">
      <c r="B82" s="686" t="s">
        <v>8</v>
      </c>
      <c r="C82" s="687" t="s">
        <v>8</v>
      </c>
      <c r="D82" s="687" t="s">
        <v>157</v>
      </c>
      <c r="E82" s="688" t="s">
        <v>53</v>
      </c>
      <c r="F82" s="689" t="s">
        <v>175</v>
      </c>
      <c r="G82" s="687" t="s">
        <v>176</v>
      </c>
      <c r="H82" s="690" t="s">
        <v>177</v>
      </c>
    </row>
    <row r="83" spans="2:8" s="676" customFormat="1" ht="69">
      <c r="B83" s="686" t="s">
        <v>8</v>
      </c>
      <c r="C83" s="687" t="s">
        <v>8</v>
      </c>
      <c r="D83" s="687" t="s">
        <v>178</v>
      </c>
      <c r="E83" s="688" t="s">
        <v>29</v>
      </c>
      <c r="F83" s="689" t="s">
        <v>179</v>
      </c>
      <c r="G83" s="687" t="s">
        <v>180</v>
      </c>
      <c r="H83" s="690" t="s">
        <v>60</v>
      </c>
    </row>
    <row r="84" spans="2:8" s="676" customFormat="1" ht="69">
      <c r="B84" s="686" t="s">
        <v>8</v>
      </c>
      <c r="C84" s="687" t="s">
        <v>8</v>
      </c>
      <c r="D84" s="687" t="s">
        <v>178</v>
      </c>
      <c r="E84" s="688" t="s">
        <v>33</v>
      </c>
      <c r="F84" s="689" t="s">
        <v>181</v>
      </c>
      <c r="G84" s="687" t="s">
        <v>182</v>
      </c>
      <c r="H84" s="690" t="s">
        <v>60</v>
      </c>
    </row>
    <row r="85" spans="2:8" s="676" customFormat="1" ht="34.5">
      <c r="B85" s="686" t="s">
        <v>8</v>
      </c>
      <c r="C85" s="687" t="s">
        <v>8</v>
      </c>
      <c r="D85" s="687" t="s">
        <v>178</v>
      </c>
      <c r="E85" s="688" t="s">
        <v>37</v>
      </c>
      <c r="F85" s="689" t="s">
        <v>183</v>
      </c>
      <c r="G85" s="687" t="s">
        <v>39</v>
      </c>
      <c r="H85" s="690" t="s">
        <v>64</v>
      </c>
    </row>
    <row r="86" spans="2:8" s="676" customFormat="1" ht="34.5">
      <c r="B86" s="686" t="s">
        <v>8</v>
      </c>
      <c r="C86" s="687" t="s">
        <v>8</v>
      </c>
      <c r="D86" s="687" t="s">
        <v>178</v>
      </c>
      <c r="E86" s="688" t="s">
        <v>41</v>
      </c>
      <c r="F86" s="689" t="s">
        <v>184</v>
      </c>
      <c r="G86" s="687" t="s">
        <v>43</v>
      </c>
      <c r="H86" s="690" t="s">
        <v>64</v>
      </c>
    </row>
    <row r="87" spans="2:8" s="676" customFormat="1" ht="34.5">
      <c r="B87" s="686" t="s">
        <v>8</v>
      </c>
      <c r="C87" s="687" t="s">
        <v>8</v>
      </c>
      <c r="D87" s="687" t="s">
        <v>178</v>
      </c>
      <c r="E87" s="688" t="s">
        <v>44</v>
      </c>
      <c r="F87" s="689" t="s">
        <v>185</v>
      </c>
      <c r="G87" s="687" t="s">
        <v>46</v>
      </c>
      <c r="H87" s="690" t="s">
        <v>64</v>
      </c>
    </row>
    <row r="88" spans="2:8" s="676" customFormat="1" ht="34.5">
      <c r="B88" s="686" t="s">
        <v>8</v>
      </c>
      <c r="C88" s="687" t="s">
        <v>8</v>
      </c>
      <c r="D88" s="687" t="s">
        <v>178</v>
      </c>
      <c r="E88" s="688" t="s">
        <v>47</v>
      </c>
      <c r="F88" s="689" t="s">
        <v>186</v>
      </c>
      <c r="G88" s="687" t="s">
        <v>187</v>
      </c>
      <c r="H88" s="690"/>
    </row>
    <row r="89" spans="2:8" s="678" customFormat="1" ht="34.5">
      <c r="B89" s="686" t="s">
        <v>8</v>
      </c>
      <c r="C89" s="687" t="s">
        <v>8</v>
      </c>
      <c r="D89" s="687" t="s">
        <v>188</v>
      </c>
      <c r="E89" s="688" t="s">
        <v>189</v>
      </c>
      <c r="F89" s="689" t="s">
        <v>190</v>
      </c>
      <c r="G89" s="687" t="s">
        <v>191</v>
      </c>
      <c r="H89" s="690"/>
    </row>
    <row r="90" spans="2:8" s="678" customFormat="1" ht="34.5">
      <c r="B90" s="686" t="s">
        <v>8</v>
      </c>
      <c r="C90" s="687" t="s">
        <v>8</v>
      </c>
      <c r="D90" s="687" t="s">
        <v>188</v>
      </c>
      <c r="E90" s="688" t="s">
        <v>192</v>
      </c>
      <c r="F90" s="689" t="s">
        <v>193</v>
      </c>
      <c r="G90" s="687" t="s">
        <v>194</v>
      </c>
      <c r="H90" s="690"/>
    </row>
    <row r="91" spans="2:8" s="678" customFormat="1" ht="34.5">
      <c r="B91" s="686" t="s">
        <v>8</v>
      </c>
      <c r="C91" s="687" t="s">
        <v>8</v>
      </c>
      <c r="D91" s="687" t="s">
        <v>188</v>
      </c>
      <c r="E91" s="688" t="s">
        <v>37</v>
      </c>
      <c r="F91" s="689" t="s">
        <v>195</v>
      </c>
      <c r="G91" s="687" t="s">
        <v>196</v>
      </c>
      <c r="H91" s="690"/>
    </row>
    <row r="92" spans="2:8" s="678" customFormat="1" ht="34.5">
      <c r="B92" s="686" t="s">
        <v>8</v>
      </c>
      <c r="C92" s="687" t="s">
        <v>8</v>
      </c>
      <c r="D92" s="687" t="s">
        <v>188</v>
      </c>
      <c r="E92" s="688" t="s">
        <v>41</v>
      </c>
      <c r="F92" s="689" t="s">
        <v>197</v>
      </c>
      <c r="G92" s="687" t="s">
        <v>198</v>
      </c>
      <c r="H92" s="690"/>
    </row>
    <row r="93" spans="2:8" s="678" customFormat="1" ht="34.5">
      <c r="B93" s="686" t="s">
        <v>8</v>
      </c>
      <c r="C93" s="687" t="s">
        <v>8</v>
      </c>
      <c r="D93" s="687" t="s">
        <v>188</v>
      </c>
      <c r="E93" s="688" t="s">
        <v>44</v>
      </c>
      <c r="F93" s="689" t="s">
        <v>199</v>
      </c>
      <c r="G93" s="687" t="s">
        <v>200</v>
      </c>
      <c r="H93" s="690"/>
    </row>
    <row r="94" spans="2:8" s="678" customFormat="1" ht="34.5">
      <c r="B94" s="686" t="s">
        <v>8</v>
      </c>
      <c r="C94" s="687" t="s">
        <v>8</v>
      </c>
      <c r="D94" s="687" t="s">
        <v>188</v>
      </c>
      <c r="E94" s="688" t="s">
        <v>47</v>
      </c>
      <c r="F94" s="689" t="s">
        <v>201</v>
      </c>
      <c r="G94" s="687" t="s">
        <v>202</v>
      </c>
      <c r="H94" s="690"/>
    </row>
    <row r="95" spans="2:8" s="676" customFormat="1" ht="69">
      <c r="B95" s="686" t="s">
        <v>203</v>
      </c>
      <c r="C95" s="687" t="s">
        <v>203</v>
      </c>
      <c r="D95" s="687" t="s">
        <v>204</v>
      </c>
      <c r="E95" s="688" t="s">
        <v>29</v>
      </c>
      <c r="F95" s="689" t="s">
        <v>205</v>
      </c>
      <c r="G95" s="687" t="s">
        <v>206</v>
      </c>
      <c r="H95" s="690" t="s">
        <v>207</v>
      </c>
    </row>
    <row r="96" spans="2:8" s="676" customFormat="1" ht="69">
      <c r="B96" s="686" t="s">
        <v>203</v>
      </c>
      <c r="C96" s="687" t="s">
        <v>203</v>
      </c>
      <c r="D96" s="687" t="s">
        <v>204</v>
      </c>
      <c r="E96" s="688" t="s">
        <v>33</v>
      </c>
      <c r="F96" s="689" t="s">
        <v>208</v>
      </c>
      <c r="G96" s="687" t="s">
        <v>209</v>
      </c>
      <c r="H96" s="690" t="s">
        <v>207</v>
      </c>
    </row>
    <row r="97" spans="2:8" s="676" customFormat="1" ht="69">
      <c r="B97" s="686" t="s">
        <v>203</v>
      </c>
      <c r="C97" s="687" t="s">
        <v>203</v>
      </c>
      <c r="D97" s="687" t="s">
        <v>210</v>
      </c>
      <c r="E97" s="688" t="s">
        <v>29</v>
      </c>
      <c r="F97" s="689" t="s">
        <v>211</v>
      </c>
      <c r="G97" s="687" t="s">
        <v>212</v>
      </c>
      <c r="H97" s="690" t="s">
        <v>207</v>
      </c>
    </row>
    <row r="98" spans="2:8" s="676" customFormat="1" ht="69">
      <c r="B98" s="686" t="s">
        <v>203</v>
      </c>
      <c r="C98" s="687" t="s">
        <v>203</v>
      </c>
      <c r="D98" s="687" t="s">
        <v>210</v>
      </c>
      <c r="E98" s="688" t="s">
        <v>33</v>
      </c>
      <c r="F98" s="689" t="s">
        <v>213</v>
      </c>
      <c r="G98" s="687" t="s">
        <v>214</v>
      </c>
      <c r="H98" s="690" t="s">
        <v>207</v>
      </c>
    </row>
    <row r="99" spans="2:8" s="676" customFormat="1" ht="69">
      <c r="B99" s="686" t="s">
        <v>215</v>
      </c>
      <c r="C99" s="687" t="s">
        <v>215</v>
      </c>
      <c r="D99" s="687" t="s">
        <v>216</v>
      </c>
      <c r="E99" s="688" t="s">
        <v>217</v>
      </c>
      <c r="F99" s="689" t="s">
        <v>218</v>
      </c>
      <c r="G99" s="687" t="s">
        <v>219</v>
      </c>
      <c r="H99" s="690" t="s">
        <v>220</v>
      </c>
    </row>
    <row r="100" spans="2:8" s="676" customFormat="1" ht="51.75">
      <c r="B100" s="686" t="s">
        <v>215</v>
      </c>
      <c r="C100" s="687" t="s">
        <v>215</v>
      </c>
      <c r="D100" s="687" t="s">
        <v>216</v>
      </c>
      <c r="E100" s="688" t="s">
        <v>221</v>
      </c>
      <c r="F100" s="689" t="s">
        <v>222</v>
      </c>
      <c r="G100" s="687" t="s">
        <v>223</v>
      </c>
      <c r="H100" s="690" t="s">
        <v>220</v>
      </c>
    </row>
    <row r="101" spans="2:8" s="676" customFormat="1" ht="34.5">
      <c r="B101" s="686" t="s">
        <v>215</v>
      </c>
      <c r="C101" s="687" t="s">
        <v>215</v>
      </c>
      <c r="D101" s="687" t="s">
        <v>216</v>
      </c>
      <c r="E101" s="688" t="s">
        <v>224</v>
      </c>
      <c r="F101" s="689" t="s">
        <v>225</v>
      </c>
      <c r="G101" s="687" t="s">
        <v>226</v>
      </c>
      <c r="H101" s="690" t="s">
        <v>227</v>
      </c>
    </row>
    <row r="102" spans="2:8" s="676" customFormat="1" ht="51.75">
      <c r="B102" s="686" t="s">
        <v>215</v>
      </c>
      <c r="C102" s="687" t="s">
        <v>215</v>
      </c>
      <c r="D102" s="687" t="s">
        <v>216</v>
      </c>
      <c r="E102" s="688" t="s">
        <v>228</v>
      </c>
      <c r="F102" s="689" t="s">
        <v>229</v>
      </c>
      <c r="G102" s="687" t="s">
        <v>230</v>
      </c>
      <c r="H102" s="690" t="s">
        <v>231</v>
      </c>
    </row>
    <row r="103" spans="2:8" s="676" customFormat="1" ht="51.75">
      <c r="B103" s="686" t="s">
        <v>215</v>
      </c>
      <c r="C103" s="687" t="s">
        <v>215</v>
      </c>
      <c r="D103" s="687" t="s">
        <v>216</v>
      </c>
      <c r="E103" s="688" t="s">
        <v>232</v>
      </c>
      <c r="F103" s="689" t="s">
        <v>233</v>
      </c>
      <c r="G103" s="687" t="s">
        <v>234</v>
      </c>
      <c r="H103" s="690" t="s">
        <v>231</v>
      </c>
    </row>
    <row r="104" spans="2:8" s="676" customFormat="1" ht="51.75">
      <c r="B104" s="686" t="s">
        <v>215</v>
      </c>
      <c r="C104" s="687" t="s">
        <v>215</v>
      </c>
      <c r="D104" s="687" t="s">
        <v>216</v>
      </c>
      <c r="E104" s="688" t="s">
        <v>235</v>
      </c>
      <c r="F104" s="689" t="s">
        <v>236</v>
      </c>
      <c r="G104" s="687" t="s">
        <v>237</v>
      </c>
      <c r="H104" s="690" t="s">
        <v>231</v>
      </c>
    </row>
    <row r="105" spans="2:8" s="676" customFormat="1" ht="51.75">
      <c r="B105" s="686" t="s">
        <v>238</v>
      </c>
      <c r="C105" s="687" t="s">
        <v>239</v>
      </c>
      <c r="D105" s="687" t="s">
        <v>240</v>
      </c>
      <c r="E105" s="691" t="s">
        <v>241</v>
      </c>
      <c r="F105" s="689" t="s">
        <v>242</v>
      </c>
      <c r="G105" s="687" t="s">
        <v>243</v>
      </c>
      <c r="H105" s="690"/>
    </row>
    <row r="106" spans="2:8" s="676" customFormat="1" ht="51.75">
      <c r="B106" s="686" t="s">
        <v>238</v>
      </c>
      <c r="C106" s="687" t="s">
        <v>239</v>
      </c>
      <c r="D106" s="687" t="s">
        <v>244</v>
      </c>
      <c r="E106" s="688" t="s">
        <v>245</v>
      </c>
      <c r="F106" s="689" t="s">
        <v>246</v>
      </c>
      <c r="G106" s="687" t="s">
        <v>247</v>
      </c>
      <c r="H106" s="690" t="s">
        <v>248</v>
      </c>
    </row>
    <row r="107" spans="2:8" s="676" customFormat="1" ht="69">
      <c r="B107" s="686" t="s">
        <v>238</v>
      </c>
      <c r="C107" s="687" t="s">
        <v>239</v>
      </c>
      <c r="D107" s="687" t="s">
        <v>244</v>
      </c>
      <c r="E107" s="688" t="s">
        <v>249</v>
      </c>
      <c r="F107" s="689" t="s">
        <v>250</v>
      </c>
      <c r="G107" s="687" t="s">
        <v>251</v>
      </c>
      <c r="H107" s="690" t="s">
        <v>248</v>
      </c>
    </row>
    <row r="108" spans="2:8" s="676" customFormat="1" ht="69">
      <c r="B108" s="686" t="s">
        <v>238</v>
      </c>
      <c r="C108" s="687" t="s">
        <v>239</v>
      </c>
      <c r="D108" s="687" t="s">
        <v>244</v>
      </c>
      <c r="E108" s="688" t="s">
        <v>210</v>
      </c>
      <c r="F108" s="689" t="s">
        <v>252</v>
      </c>
      <c r="G108" s="687" t="s">
        <v>253</v>
      </c>
      <c r="H108" s="690" t="s">
        <v>248</v>
      </c>
    </row>
    <row r="109" spans="2:8" s="676" customFormat="1" ht="69">
      <c r="B109" s="686" t="s">
        <v>238</v>
      </c>
      <c r="C109" s="687" t="s">
        <v>239</v>
      </c>
      <c r="D109" s="687" t="s">
        <v>244</v>
      </c>
      <c r="E109" s="688" t="s">
        <v>204</v>
      </c>
      <c r="F109" s="689" t="s">
        <v>254</v>
      </c>
      <c r="G109" s="687" t="s">
        <v>255</v>
      </c>
      <c r="H109" s="690" t="s">
        <v>248</v>
      </c>
    </row>
    <row r="110" spans="2:8" s="676" customFormat="1" ht="69">
      <c r="B110" s="686" t="s">
        <v>238</v>
      </c>
      <c r="C110" s="687" t="s">
        <v>239</v>
      </c>
      <c r="D110" s="687" t="s">
        <v>244</v>
      </c>
      <c r="E110" s="688" t="s">
        <v>256</v>
      </c>
      <c r="F110" s="689" t="s">
        <v>257</v>
      </c>
      <c r="G110" s="687" t="s">
        <v>258</v>
      </c>
      <c r="H110" s="690" t="s">
        <v>248</v>
      </c>
    </row>
    <row r="111" spans="2:8" s="676" customFormat="1" ht="51.75">
      <c r="B111" s="686" t="s">
        <v>238</v>
      </c>
      <c r="C111" s="687" t="s">
        <v>239</v>
      </c>
      <c r="D111" s="687" t="s">
        <v>244</v>
      </c>
      <c r="E111" s="688" t="s">
        <v>259</v>
      </c>
      <c r="F111" s="689" t="s">
        <v>260</v>
      </c>
      <c r="G111" s="687" t="s">
        <v>261</v>
      </c>
      <c r="H111" s="690" t="s">
        <v>248</v>
      </c>
    </row>
    <row r="112" spans="2:8" s="676" customFormat="1" ht="51.75">
      <c r="B112" s="686" t="s">
        <v>238</v>
      </c>
      <c r="C112" s="687" t="s">
        <v>239</v>
      </c>
      <c r="D112" s="687" t="s">
        <v>244</v>
      </c>
      <c r="E112" s="688" t="s">
        <v>262</v>
      </c>
      <c r="F112" s="689" t="s">
        <v>263</v>
      </c>
      <c r="G112" s="687" t="s">
        <v>264</v>
      </c>
      <c r="H112" s="690" t="s">
        <v>248</v>
      </c>
    </row>
    <row r="113" spans="2:8" s="676" customFormat="1" ht="34.5">
      <c r="B113" s="686" t="s">
        <v>238</v>
      </c>
      <c r="C113" s="687" t="s">
        <v>239</v>
      </c>
      <c r="D113" s="687" t="s">
        <v>244</v>
      </c>
      <c r="E113" s="688" t="s">
        <v>265</v>
      </c>
      <c r="F113" s="689" t="s">
        <v>266</v>
      </c>
      <c r="G113" s="687" t="s">
        <v>267</v>
      </c>
      <c r="H113" s="690"/>
    </row>
    <row r="114" spans="2:8" s="676" customFormat="1" ht="34.5">
      <c r="B114" s="686" t="s">
        <v>238</v>
      </c>
      <c r="C114" s="687" t="s">
        <v>239</v>
      </c>
      <c r="D114" s="687" t="s">
        <v>268</v>
      </c>
      <c r="E114" s="688" t="s">
        <v>269</v>
      </c>
      <c r="F114" s="689" t="s">
        <v>270</v>
      </c>
      <c r="G114" s="687" t="s">
        <v>271</v>
      </c>
      <c r="H114" s="690" t="s">
        <v>248</v>
      </c>
    </row>
    <row r="115" spans="2:8" s="676" customFormat="1" ht="34.5">
      <c r="B115" s="686" t="s">
        <v>238</v>
      </c>
      <c r="C115" s="687" t="s">
        <v>239</v>
      </c>
      <c r="D115" s="687" t="s">
        <v>268</v>
      </c>
      <c r="E115" s="688" t="s">
        <v>272</v>
      </c>
      <c r="F115" s="689" t="s">
        <v>273</v>
      </c>
      <c r="G115" s="687" t="s">
        <v>274</v>
      </c>
      <c r="H115" s="690" t="s">
        <v>248</v>
      </c>
    </row>
    <row r="116" spans="2:8" s="676" customFormat="1" ht="34.5">
      <c r="B116" s="686" t="s">
        <v>238</v>
      </c>
      <c r="C116" s="687" t="s">
        <v>239</v>
      </c>
      <c r="D116" s="687" t="s">
        <v>275</v>
      </c>
      <c r="E116" s="688" t="s">
        <v>276</v>
      </c>
      <c r="F116" s="689" t="s">
        <v>277</v>
      </c>
      <c r="G116" s="687" t="s">
        <v>278</v>
      </c>
      <c r="H116" s="690"/>
    </row>
    <row r="117" spans="2:8" s="676" customFormat="1" ht="51.75">
      <c r="B117" s="686" t="s">
        <v>238</v>
      </c>
      <c r="C117" s="687" t="s">
        <v>239</v>
      </c>
      <c r="D117" s="687" t="s">
        <v>275</v>
      </c>
      <c r="E117" s="688" t="s">
        <v>279</v>
      </c>
      <c r="F117" s="689" t="s">
        <v>280</v>
      </c>
      <c r="G117" s="687" t="s">
        <v>281</v>
      </c>
      <c r="H117" s="690"/>
    </row>
    <row r="118" spans="2:8" s="676" customFormat="1" ht="51.75">
      <c r="B118" s="686" t="s">
        <v>238</v>
      </c>
      <c r="C118" s="687" t="s">
        <v>239</v>
      </c>
      <c r="D118" s="687" t="s">
        <v>282</v>
      </c>
      <c r="E118" s="688" t="s">
        <v>283</v>
      </c>
      <c r="F118" s="689" t="s">
        <v>284</v>
      </c>
      <c r="G118" s="687" t="s">
        <v>285</v>
      </c>
      <c r="H118" s="690" t="s">
        <v>286</v>
      </c>
    </row>
    <row r="119" spans="2:8" s="676" customFormat="1" ht="120.75">
      <c r="B119" s="686" t="s">
        <v>238</v>
      </c>
      <c r="C119" s="687" t="s">
        <v>239</v>
      </c>
      <c r="D119" s="687" t="s">
        <v>282</v>
      </c>
      <c r="E119" s="688" t="s">
        <v>287</v>
      </c>
      <c r="F119" s="689" t="s">
        <v>288</v>
      </c>
      <c r="G119" s="687" t="s">
        <v>289</v>
      </c>
      <c r="H119" s="690" t="s">
        <v>286</v>
      </c>
    </row>
    <row r="120" spans="2:8" s="676" customFormat="1" ht="51.75">
      <c r="B120" s="686" t="s">
        <v>238</v>
      </c>
      <c r="C120" s="687" t="s">
        <v>239</v>
      </c>
      <c r="D120" s="687" t="s">
        <v>282</v>
      </c>
      <c r="E120" s="688" t="s">
        <v>290</v>
      </c>
      <c r="F120" s="689" t="s">
        <v>291</v>
      </c>
      <c r="G120" s="687" t="s">
        <v>292</v>
      </c>
      <c r="H120" s="690" t="s">
        <v>286</v>
      </c>
    </row>
    <row r="121" spans="2:8" s="676" customFormat="1" ht="34.5">
      <c r="B121" s="686" t="s">
        <v>238</v>
      </c>
      <c r="C121" s="687" t="s">
        <v>239</v>
      </c>
      <c r="D121" s="687" t="s">
        <v>293</v>
      </c>
      <c r="E121" s="688" t="s">
        <v>294</v>
      </c>
      <c r="F121" s="689" t="s">
        <v>295</v>
      </c>
      <c r="G121" s="687" t="s">
        <v>296</v>
      </c>
      <c r="H121" s="690" t="s">
        <v>286</v>
      </c>
    </row>
    <row r="122" spans="2:8" s="676" customFormat="1" ht="138">
      <c r="B122" s="686" t="s">
        <v>238</v>
      </c>
      <c r="C122" s="687" t="s">
        <v>297</v>
      </c>
      <c r="D122" s="687" t="s">
        <v>298</v>
      </c>
      <c r="E122" s="688" t="s">
        <v>299</v>
      </c>
      <c r="F122" s="689" t="s">
        <v>300</v>
      </c>
      <c r="G122" s="687" t="s">
        <v>301</v>
      </c>
      <c r="H122" s="690" t="s">
        <v>302</v>
      </c>
    </row>
    <row r="123" spans="2:8" s="676" customFormat="1" ht="34.5">
      <c r="B123" s="686" t="s">
        <v>238</v>
      </c>
      <c r="C123" s="687" t="s">
        <v>297</v>
      </c>
      <c r="D123" s="687" t="s">
        <v>303</v>
      </c>
      <c r="E123" s="688" t="s">
        <v>304</v>
      </c>
      <c r="F123" s="689" t="s">
        <v>305</v>
      </c>
      <c r="G123" s="687" t="s">
        <v>306</v>
      </c>
      <c r="H123" s="690" t="s">
        <v>307</v>
      </c>
    </row>
    <row r="124" spans="2:8" s="676" customFormat="1" ht="34.5">
      <c r="B124" s="686" t="s">
        <v>238</v>
      </c>
      <c r="C124" s="687" t="s">
        <v>297</v>
      </c>
      <c r="D124" s="687" t="s">
        <v>303</v>
      </c>
      <c r="E124" s="688" t="s">
        <v>308</v>
      </c>
      <c r="F124" s="689" t="s">
        <v>309</v>
      </c>
      <c r="G124" s="687" t="s">
        <v>310</v>
      </c>
      <c r="H124" s="690" t="s">
        <v>307</v>
      </c>
    </row>
    <row r="125" spans="2:8" s="676" customFormat="1" ht="34.5">
      <c r="B125" s="686" t="s">
        <v>238</v>
      </c>
      <c r="C125" s="687" t="s">
        <v>297</v>
      </c>
      <c r="D125" s="687" t="s">
        <v>311</v>
      </c>
      <c r="E125" s="688" t="s">
        <v>269</v>
      </c>
      <c r="F125" s="689" t="s">
        <v>312</v>
      </c>
      <c r="G125" s="687" t="s">
        <v>313</v>
      </c>
      <c r="H125" s="690" t="s">
        <v>314</v>
      </c>
    </row>
    <row r="126" spans="2:8" s="676" customFormat="1" ht="34.5">
      <c r="B126" s="686" t="s">
        <v>238</v>
      </c>
      <c r="C126" s="687" t="s">
        <v>297</v>
      </c>
      <c r="D126" s="687" t="s">
        <v>311</v>
      </c>
      <c r="E126" s="688" t="s">
        <v>272</v>
      </c>
      <c r="F126" s="689" t="s">
        <v>315</v>
      </c>
      <c r="G126" s="687" t="s">
        <v>316</v>
      </c>
      <c r="H126" s="690" t="s">
        <v>314</v>
      </c>
    </row>
    <row r="127" spans="2:8" s="676" customFormat="1" ht="69">
      <c r="B127" s="686" t="s">
        <v>238</v>
      </c>
      <c r="C127" s="687" t="s">
        <v>297</v>
      </c>
      <c r="D127" s="687" t="s">
        <v>317</v>
      </c>
      <c r="E127" s="688" t="s">
        <v>204</v>
      </c>
      <c r="F127" s="689" t="s">
        <v>318</v>
      </c>
      <c r="G127" s="687" t="s">
        <v>319</v>
      </c>
      <c r="H127" s="690" t="s">
        <v>314</v>
      </c>
    </row>
    <row r="128" spans="2:8" s="676" customFormat="1" ht="69">
      <c r="B128" s="686" t="s">
        <v>238</v>
      </c>
      <c r="C128" s="687" t="s">
        <v>297</v>
      </c>
      <c r="D128" s="687" t="s">
        <v>317</v>
      </c>
      <c r="E128" s="688" t="s">
        <v>210</v>
      </c>
      <c r="F128" s="689" t="s">
        <v>320</v>
      </c>
      <c r="G128" s="687" t="s">
        <v>321</v>
      </c>
      <c r="H128" s="690" t="s">
        <v>314</v>
      </c>
    </row>
    <row r="129" spans="2:8" s="676" customFormat="1" ht="34.5">
      <c r="B129" s="686" t="s">
        <v>238</v>
      </c>
      <c r="C129" s="687" t="s">
        <v>297</v>
      </c>
      <c r="D129" s="687" t="s">
        <v>322</v>
      </c>
      <c r="E129" s="688" t="s">
        <v>276</v>
      </c>
      <c r="F129" s="689" t="s">
        <v>323</v>
      </c>
      <c r="G129" s="687" t="s">
        <v>324</v>
      </c>
      <c r="H129" s="690"/>
    </row>
    <row r="130" spans="2:8" s="676" customFormat="1" ht="51.75">
      <c r="B130" s="686" t="s">
        <v>238</v>
      </c>
      <c r="C130" s="687" t="s">
        <v>297</v>
      </c>
      <c r="D130" s="687" t="s">
        <v>322</v>
      </c>
      <c r="E130" s="688" t="s">
        <v>279</v>
      </c>
      <c r="F130" s="689" t="s">
        <v>325</v>
      </c>
      <c r="G130" s="687" t="s">
        <v>326</v>
      </c>
      <c r="H130" s="690"/>
    </row>
    <row r="131" spans="2:8" s="676" customFormat="1" ht="34.5">
      <c r="B131" s="686" t="s">
        <v>238</v>
      </c>
      <c r="C131" s="687" t="s">
        <v>297</v>
      </c>
      <c r="D131" s="687" t="s">
        <v>322</v>
      </c>
      <c r="E131" s="688" t="s">
        <v>283</v>
      </c>
      <c r="F131" s="689" t="s">
        <v>327</v>
      </c>
      <c r="G131" s="687" t="s">
        <v>328</v>
      </c>
      <c r="H131" s="690" t="s">
        <v>329</v>
      </c>
    </row>
    <row r="132" spans="2:8" s="676" customFormat="1" ht="69">
      <c r="B132" s="686" t="s">
        <v>238</v>
      </c>
      <c r="C132" s="687" t="s">
        <v>297</v>
      </c>
      <c r="D132" s="687" t="s">
        <v>322</v>
      </c>
      <c r="E132" s="688" t="s">
        <v>287</v>
      </c>
      <c r="F132" s="689" t="s">
        <v>330</v>
      </c>
      <c r="G132" s="687" t="s">
        <v>331</v>
      </c>
      <c r="H132" s="690" t="s">
        <v>329</v>
      </c>
    </row>
    <row r="133" spans="2:8" s="676" customFormat="1" ht="51.75">
      <c r="B133" s="686" t="s">
        <v>238</v>
      </c>
      <c r="C133" s="687" t="s">
        <v>297</v>
      </c>
      <c r="D133" s="687" t="s">
        <v>322</v>
      </c>
      <c r="E133" s="688" t="s">
        <v>290</v>
      </c>
      <c r="F133" s="689" t="s">
        <v>332</v>
      </c>
      <c r="G133" s="687" t="s">
        <v>333</v>
      </c>
      <c r="H133" s="690" t="s">
        <v>329</v>
      </c>
    </row>
    <row r="134" spans="2:8" s="676" customFormat="1" ht="51.75">
      <c r="B134" s="686" t="s">
        <v>238</v>
      </c>
      <c r="C134" s="687" t="s">
        <v>297</v>
      </c>
      <c r="D134" s="687" t="s">
        <v>334</v>
      </c>
      <c r="E134" s="688" t="s">
        <v>335</v>
      </c>
      <c r="F134" s="689" t="s">
        <v>336</v>
      </c>
      <c r="G134" s="687" t="s">
        <v>337</v>
      </c>
      <c r="H134" s="690" t="s">
        <v>329</v>
      </c>
    </row>
    <row r="135" spans="2:8" s="676" customFormat="1" ht="34.5">
      <c r="B135" s="686" t="s">
        <v>338</v>
      </c>
      <c r="C135" s="687" t="s">
        <v>339</v>
      </c>
      <c r="D135" s="687" t="s">
        <v>340</v>
      </c>
      <c r="E135" s="688" t="s">
        <v>341</v>
      </c>
      <c r="F135" s="689" t="s">
        <v>342</v>
      </c>
      <c r="G135" s="687" t="s">
        <v>343</v>
      </c>
      <c r="H135" s="690" t="s">
        <v>344</v>
      </c>
    </row>
    <row r="136" spans="2:8" s="676" customFormat="1" ht="51.75">
      <c r="B136" s="686" t="s">
        <v>338</v>
      </c>
      <c r="C136" s="687" t="s">
        <v>339</v>
      </c>
      <c r="D136" s="687" t="s">
        <v>340</v>
      </c>
      <c r="E136" s="688" t="s">
        <v>345</v>
      </c>
      <c r="F136" s="689" t="s">
        <v>346</v>
      </c>
      <c r="G136" s="687" t="s">
        <v>347</v>
      </c>
      <c r="H136" s="690" t="s">
        <v>348</v>
      </c>
    </row>
    <row r="137" spans="2:8" s="676" customFormat="1" ht="69">
      <c r="B137" s="686" t="s">
        <v>338</v>
      </c>
      <c r="C137" s="687" t="s">
        <v>339</v>
      </c>
      <c r="D137" s="687" t="s">
        <v>340</v>
      </c>
      <c r="E137" s="688" t="s">
        <v>349</v>
      </c>
      <c r="F137" s="689" t="s">
        <v>350</v>
      </c>
      <c r="G137" s="687" t="s">
        <v>351</v>
      </c>
      <c r="H137" s="690" t="s">
        <v>348</v>
      </c>
    </row>
    <row r="138" spans="2:8" s="676" customFormat="1" ht="51.75">
      <c r="B138" s="686" t="s">
        <v>338</v>
      </c>
      <c r="C138" s="687" t="s">
        <v>339</v>
      </c>
      <c r="D138" s="687" t="s">
        <v>340</v>
      </c>
      <c r="E138" s="688" t="s">
        <v>352</v>
      </c>
      <c r="F138" s="689" t="s">
        <v>353</v>
      </c>
      <c r="G138" s="687" t="s">
        <v>354</v>
      </c>
      <c r="H138" s="690" t="s">
        <v>355</v>
      </c>
    </row>
    <row r="139" spans="2:8" s="676" customFormat="1" ht="34.5">
      <c r="B139" s="686" t="s">
        <v>338</v>
      </c>
      <c r="C139" s="687" t="s">
        <v>339</v>
      </c>
      <c r="D139" s="687" t="s">
        <v>340</v>
      </c>
      <c r="E139" s="688" t="s">
        <v>37</v>
      </c>
      <c r="F139" s="689" t="s">
        <v>356</v>
      </c>
      <c r="G139" s="687" t="s">
        <v>39</v>
      </c>
      <c r="H139" s="690" t="s">
        <v>357</v>
      </c>
    </row>
    <row r="140" spans="2:8" s="676" customFormat="1" ht="34.5">
      <c r="B140" s="686" t="s">
        <v>338</v>
      </c>
      <c r="C140" s="687" t="s">
        <v>339</v>
      </c>
      <c r="D140" s="687" t="s">
        <v>340</v>
      </c>
      <c r="E140" s="688" t="s">
        <v>41</v>
      </c>
      <c r="F140" s="689" t="s">
        <v>358</v>
      </c>
      <c r="G140" s="687" t="s">
        <v>43</v>
      </c>
      <c r="H140" s="690" t="s">
        <v>359</v>
      </c>
    </row>
    <row r="141" spans="2:8" s="676" customFormat="1" ht="34.5">
      <c r="B141" s="686" t="s">
        <v>338</v>
      </c>
      <c r="C141" s="687" t="s">
        <v>339</v>
      </c>
      <c r="D141" s="687" t="s">
        <v>340</v>
      </c>
      <c r="E141" s="688" t="s">
        <v>44</v>
      </c>
      <c r="F141" s="689" t="s">
        <v>360</v>
      </c>
      <c r="G141" s="687" t="s">
        <v>46</v>
      </c>
      <c r="H141" s="690" t="s">
        <v>359</v>
      </c>
    </row>
    <row r="142" spans="2:8" s="676" customFormat="1" ht="18.75">
      <c r="B142" s="686" t="s">
        <v>338</v>
      </c>
      <c r="C142" s="687" t="s">
        <v>339</v>
      </c>
      <c r="D142" s="687" t="s">
        <v>340</v>
      </c>
      <c r="E142" s="688" t="s">
        <v>361</v>
      </c>
      <c r="F142" s="689" t="s">
        <v>362</v>
      </c>
      <c r="G142" s="687" t="s">
        <v>363</v>
      </c>
      <c r="H142" s="690"/>
    </row>
    <row r="143" spans="2:8" s="676" customFormat="1" ht="69">
      <c r="B143" s="686" t="s">
        <v>338</v>
      </c>
      <c r="C143" s="687" t="s">
        <v>339</v>
      </c>
      <c r="D143" s="687" t="s">
        <v>340</v>
      </c>
      <c r="E143" s="688" t="s">
        <v>364</v>
      </c>
      <c r="F143" s="689" t="s">
        <v>365</v>
      </c>
      <c r="G143" s="687" t="s">
        <v>366</v>
      </c>
      <c r="H143" s="690"/>
    </row>
    <row r="144" spans="2:8" s="676" customFormat="1" ht="69">
      <c r="B144" s="686" t="s">
        <v>338</v>
      </c>
      <c r="C144" s="687" t="s">
        <v>339</v>
      </c>
      <c r="D144" s="687" t="s">
        <v>340</v>
      </c>
      <c r="E144" s="691" t="s">
        <v>367</v>
      </c>
      <c r="F144" s="689" t="s">
        <v>368</v>
      </c>
      <c r="G144" s="687" t="s">
        <v>369</v>
      </c>
      <c r="H144" s="690"/>
    </row>
    <row r="145" spans="2:8" s="676" customFormat="1" ht="69">
      <c r="B145" s="686" t="s">
        <v>338</v>
      </c>
      <c r="C145" s="687" t="s">
        <v>339</v>
      </c>
      <c r="D145" s="687" t="s">
        <v>370</v>
      </c>
      <c r="E145" s="691" t="s">
        <v>371</v>
      </c>
      <c r="F145" s="689" t="s">
        <v>372</v>
      </c>
      <c r="G145" s="687" t="s">
        <v>373</v>
      </c>
      <c r="H145" s="690" t="s">
        <v>355</v>
      </c>
    </row>
    <row r="146" spans="2:8" s="676" customFormat="1" ht="120.75">
      <c r="B146" s="686" t="s">
        <v>338</v>
      </c>
      <c r="C146" s="687" t="s">
        <v>339</v>
      </c>
      <c r="D146" s="687" t="s">
        <v>370</v>
      </c>
      <c r="E146" s="688" t="s">
        <v>374</v>
      </c>
      <c r="F146" s="689" t="s">
        <v>375</v>
      </c>
      <c r="G146" s="687" t="s">
        <v>376</v>
      </c>
      <c r="H146" s="690" t="s">
        <v>355</v>
      </c>
    </row>
    <row r="147" spans="2:8" s="676" customFormat="1" ht="51.75">
      <c r="B147" s="686" t="s">
        <v>338</v>
      </c>
      <c r="C147" s="687" t="s">
        <v>339</v>
      </c>
      <c r="D147" s="687" t="s">
        <v>370</v>
      </c>
      <c r="E147" s="688" t="s">
        <v>377</v>
      </c>
      <c r="F147" s="689" t="s">
        <v>378</v>
      </c>
      <c r="G147" s="687" t="s">
        <v>379</v>
      </c>
      <c r="H147" s="690" t="s">
        <v>355</v>
      </c>
    </row>
    <row r="148" spans="2:8" s="676" customFormat="1" ht="69">
      <c r="B148" s="686" t="s">
        <v>338</v>
      </c>
      <c r="C148" s="687" t="s">
        <v>339</v>
      </c>
      <c r="D148" s="687" t="s">
        <v>370</v>
      </c>
      <c r="E148" s="688" t="s">
        <v>380</v>
      </c>
      <c r="F148" s="689" t="s">
        <v>381</v>
      </c>
      <c r="G148" s="687" t="s">
        <v>382</v>
      </c>
      <c r="H148" s="690" t="s">
        <v>355</v>
      </c>
    </row>
    <row r="149" spans="2:8" s="676" customFormat="1" ht="69">
      <c r="B149" s="686" t="s">
        <v>338</v>
      </c>
      <c r="C149" s="687" t="s">
        <v>339</v>
      </c>
      <c r="D149" s="687" t="s">
        <v>383</v>
      </c>
      <c r="E149" s="688" t="s">
        <v>384</v>
      </c>
      <c r="F149" s="689" t="s">
        <v>385</v>
      </c>
      <c r="G149" s="687" t="s">
        <v>386</v>
      </c>
      <c r="H149" s="690" t="s">
        <v>387</v>
      </c>
    </row>
    <row r="150" spans="2:8" s="676" customFormat="1" ht="34.5">
      <c r="B150" s="686" t="s">
        <v>338</v>
      </c>
      <c r="C150" s="687" t="s">
        <v>339</v>
      </c>
      <c r="D150" s="687" t="s">
        <v>383</v>
      </c>
      <c r="E150" s="688" t="s">
        <v>388</v>
      </c>
      <c r="F150" s="689" t="s">
        <v>389</v>
      </c>
      <c r="G150" s="687" t="s">
        <v>390</v>
      </c>
      <c r="H150" s="690" t="s">
        <v>387</v>
      </c>
    </row>
    <row r="151" spans="2:8" s="676" customFormat="1" ht="34.5">
      <c r="B151" s="686" t="s">
        <v>338</v>
      </c>
      <c r="C151" s="687" t="s">
        <v>339</v>
      </c>
      <c r="D151" s="687" t="s">
        <v>383</v>
      </c>
      <c r="E151" s="688" t="s">
        <v>391</v>
      </c>
      <c r="F151" s="689" t="s">
        <v>392</v>
      </c>
      <c r="G151" s="687" t="s">
        <v>393</v>
      </c>
      <c r="H151" s="690" t="s">
        <v>387</v>
      </c>
    </row>
    <row r="152" spans="2:8" s="676" customFormat="1" ht="34.5">
      <c r="B152" s="686" t="s">
        <v>338</v>
      </c>
      <c r="C152" s="687" t="s">
        <v>339</v>
      </c>
      <c r="D152" s="687" t="s">
        <v>383</v>
      </c>
      <c r="E152" s="688" t="s">
        <v>394</v>
      </c>
      <c r="F152" s="689" t="s">
        <v>395</v>
      </c>
      <c r="G152" s="687" t="s">
        <v>396</v>
      </c>
      <c r="H152" s="690" t="s">
        <v>387</v>
      </c>
    </row>
    <row r="153" spans="2:8" s="676" customFormat="1" ht="51.75">
      <c r="B153" s="686" t="s">
        <v>338</v>
      </c>
      <c r="C153" s="687" t="s">
        <v>339</v>
      </c>
      <c r="D153" s="687" t="s">
        <v>397</v>
      </c>
      <c r="E153" s="688" t="s">
        <v>398</v>
      </c>
      <c r="F153" s="689" t="s">
        <v>399</v>
      </c>
      <c r="G153" s="687" t="s">
        <v>400</v>
      </c>
      <c r="H153" s="690" t="s">
        <v>401</v>
      </c>
    </row>
    <row r="154" spans="2:8" s="676" customFormat="1" ht="69">
      <c r="B154" s="686" t="s">
        <v>338</v>
      </c>
      <c r="C154" s="687" t="s">
        <v>339</v>
      </c>
      <c r="D154" s="687" t="s">
        <v>397</v>
      </c>
      <c r="E154" s="688" t="s">
        <v>402</v>
      </c>
      <c r="F154" s="689" t="s">
        <v>403</v>
      </c>
      <c r="G154" s="687" t="s">
        <v>404</v>
      </c>
      <c r="H154" s="690" t="s">
        <v>401</v>
      </c>
    </row>
    <row r="155" spans="2:8" s="676" customFormat="1" ht="51.75">
      <c r="B155" s="686" t="s">
        <v>338</v>
      </c>
      <c r="C155" s="687" t="s">
        <v>339</v>
      </c>
      <c r="D155" s="687" t="s">
        <v>397</v>
      </c>
      <c r="E155" s="688" t="s">
        <v>405</v>
      </c>
      <c r="F155" s="689" t="s">
        <v>406</v>
      </c>
      <c r="G155" s="687" t="s">
        <v>407</v>
      </c>
      <c r="H155" s="690" t="s">
        <v>401</v>
      </c>
    </row>
    <row r="156" spans="2:8" s="676" customFormat="1" ht="69">
      <c r="B156" s="686" t="s">
        <v>338</v>
      </c>
      <c r="C156" s="687" t="s">
        <v>339</v>
      </c>
      <c r="D156" s="687" t="s">
        <v>397</v>
      </c>
      <c r="E156" s="688" t="s">
        <v>408</v>
      </c>
      <c r="F156" s="689" t="s">
        <v>409</v>
      </c>
      <c r="G156" s="687" t="s">
        <v>410</v>
      </c>
      <c r="H156" s="690" t="s">
        <v>401</v>
      </c>
    </row>
    <row r="157" spans="2:8" s="676" customFormat="1" ht="51.75">
      <c r="B157" s="686" t="s">
        <v>338</v>
      </c>
      <c r="C157" s="687" t="s">
        <v>339</v>
      </c>
      <c r="D157" s="687" t="s">
        <v>397</v>
      </c>
      <c r="E157" s="688" t="s">
        <v>411</v>
      </c>
      <c r="F157" s="689" t="s">
        <v>412</v>
      </c>
      <c r="G157" s="687" t="s">
        <v>413</v>
      </c>
      <c r="H157" s="690" t="s">
        <v>414</v>
      </c>
    </row>
    <row r="158" spans="2:8" s="676" customFormat="1" ht="69">
      <c r="B158" s="686" t="s">
        <v>338</v>
      </c>
      <c r="C158" s="687" t="s">
        <v>339</v>
      </c>
      <c r="D158" s="687" t="s">
        <v>397</v>
      </c>
      <c r="E158" s="688" t="s">
        <v>415</v>
      </c>
      <c r="F158" s="689" t="s">
        <v>416</v>
      </c>
      <c r="G158" s="687" t="s">
        <v>417</v>
      </c>
      <c r="H158" s="690" t="s">
        <v>414</v>
      </c>
    </row>
    <row r="159" spans="2:8" s="676" customFormat="1" ht="69">
      <c r="B159" s="686" t="s">
        <v>338</v>
      </c>
      <c r="C159" s="687" t="s">
        <v>339</v>
      </c>
      <c r="D159" s="687" t="s">
        <v>397</v>
      </c>
      <c r="E159" s="688" t="s">
        <v>418</v>
      </c>
      <c r="F159" s="689" t="s">
        <v>419</v>
      </c>
      <c r="G159" s="687" t="s">
        <v>420</v>
      </c>
      <c r="H159" s="690" t="s">
        <v>414</v>
      </c>
    </row>
    <row r="160" spans="2:8" s="676" customFormat="1" ht="69">
      <c r="B160" s="686" t="s">
        <v>338</v>
      </c>
      <c r="C160" s="687" t="s">
        <v>339</v>
      </c>
      <c r="D160" s="687" t="s">
        <v>397</v>
      </c>
      <c r="E160" s="688" t="s">
        <v>421</v>
      </c>
      <c r="F160" s="689" t="s">
        <v>422</v>
      </c>
      <c r="G160" s="687" t="s">
        <v>423</v>
      </c>
      <c r="H160" s="690" t="s">
        <v>414</v>
      </c>
    </row>
    <row r="161" spans="2:8" s="676" customFormat="1" ht="86.25">
      <c r="B161" s="686" t="s">
        <v>338</v>
      </c>
      <c r="C161" s="687" t="s">
        <v>339</v>
      </c>
      <c r="D161" s="687" t="s">
        <v>424</v>
      </c>
      <c r="E161" s="688" t="s">
        <v>425</v>
      </c>
      <c r="F161" s="689" t="s">
        <v>426</v>
      </c>
      <c r="G161" s="687" t="s">
        <v>427</v>
      </c>
      <c r="H161" s="690" t="s">
        <v>428</v>
      </c>
    </row>
    <row r="162" spans="2:8" s="676" customFormat="1" ht="86.25">
      <c r="B162" s="686" t="s">
        <v>338</v>
      </c>
      <c r="C162" s="687" t="s">
        <v>339</v>
      </c>
      <c r="D162" s="687" t="s">
        <v>424</v>
      </c>
      <c r="E162" s="688" t="s">
        <v>37</v>
      </c>
      <c r="F162" s="689" t="s">
        <v>429</v>
      </c>
      <c r="G162" s="687" t="s">
        <v>39</v>
      </c>
      <c r="H162" s="690" t="s">
        <v>430</v>
      </c>
    </row>
    <row r="163" spans="2:8" s="676" customFormat="1" ht="86.25">
      <c r="B163" s="686" t="s">
        <v>338</v>
      </c>
      <c r="C163" s="687" t="s">
        <v>339</v>
      </c>
      <c r="D163" s="687" t="s">
        <v>424</v>
      </c>
      <c r="E163" s="688" t="s">
        <v>41</v>
      </c>
      <c r="F163" s="689" t="s">
        <v>431</v>
      </c>
      <c r="G163" s="687" t="s">
        <v>43</v>
      </c>
      <c r="H163" s="690" t="s">
        <v>430</v>
      </c>
    </row>
    <row r="164" spans="2:8" s="676" customFormat="1" ht="86.25">
      <c r="B164" s="686" t="s">
        <v>338</v>
      </c>
      <c r="C164" s="687" t="s">
        <v>339</v>
      </c>
      <c r="D164" s="687" t="s">
        <v>424</v>
      </c>
      <c r="E164" s="688" t="s">
        <v>44</v>
      </c>
      <c r="F164" s="689" t="s">
        <v>432</v>
      </c>
      <c r="G164" s="687" t="s">
        <v>46</v>
      </c>
      <c r="H164" s="690" t="s">
        <v>430</v>
      </c>
    </row>
    <row r="165" spans="2:8" s="676" customFormat="1" ht="86.25">
      <c r="B165" s="686" t="s">
        <v>338</v>
      </c>
      <c r="C165" s="687" t="s">
        <v>339</v>
      </c>
      <c r="D165" s="687" t="s">
        <v>424</v>
      </c>
      <c r="E165" s="688" t="s">
        <v>47</v>
      </c>
      <c r="F165" s="689" t="s">
        <v>433</v>
      </c>
      <c r="G165" s="687" t="s">
        <v>434</v>
      </c>
      <c r="H165" s="690"/>
    </row>
    <row r="166" spans="2:8" s="676" customFormat="1" ht="69">
      <c r="B166" s="686" t="s">
        <v>338</v>
      </c>
      <c r="C166" s="687" t="s">
        <v>435</v>
      </c>
      <c r="D166" s="687" t="s">
        <v>436</v>
      </c>
      <c r="E166" s="688" t="s">
        <v>437</v>
      </c>
      <c r="F166" s="689" t="s">
        <v>438</v>
      </c>
      <c r="G166" s="687" t="s">
        <v>439</v>
      </c>
      <c r="H166" s="690" t="s">
        <v>440</v>
      </c>
    </row>
    <row r="167" spans="2:8" s="676" customFormat="1" ht="51.75">
      <c r="B167" s="686" t="s">
        <v>338</v>
      </c>
      <c r="C167" s="687" t="s">
        <v>435</v>
      </c>
      <c r="D167" s="687" t="s">
        <v>436</v>
      </c>
      <c r="E167" s="688" t="s">
        <v>441</v>
      </c>
      <c r="F167" s="689" t="s">
        <v>442</v>
      </c>
      <c r="G167" s="687" t="s">
        <v>443</v>
      </c>
      <c r="H167" s="690" t="s">
        <v>440</v>
      </c>
    </row>
    <row r="168" spans="2:8" s="676" customFormat="1" ht="51.75">
      <c r="B168" s="686" t="s">
        <v>338</v>
      </c>
      <c r="C168" s="687" t="s">
        <v>435</v>
      </c>
      <c r="D168" s="687" t="s">
        <v>436</v>
      </c>
      <c r="E168" s="688" t="s">
        <v>444</v>
      </c>
      <c r="F168" s="689" t="s">
        <v>445</v>
      </c>
      <c r="G168" s="687" t="s">
        <v>446</v>
      </c>
      <c r="H168" s="690" t="s">
        <v>440</v>
      </c>
    </row>
    <row r="169" spans="2:8" s="676" customFormat="1" ht="51.75">
      <c r="B169" s="686" t="s">
        <v>338</v>
      </c>
      <c r="C169" s="687" t="s">
        <v>435</v>
      </c>
      <c r="D169" s="687" t="s">
        <v>447</v>
      </c>
      <c r="E169" s="691" t="s">
        <v>448</v>
      </c>
      <c r="F169" s="689" t="s">
        <v>449</v>
      </c>
      <c r="G169" s="687" t="s">
        <v>450</v>
      </c>
      <c r="H169" s="690" t="s">
        <v>440</v>
      </c>
    </row>
    <row r="170" spans="2:8" s="676" customFormat="1" ht="34.5">
      <c r="B170" s="686" t="s">
        <v>338</v>
      </c>
      <c r="C170" s="687" t="s">
        <v>435</v>
      </c>
      <c r="D170" s="687" t="s">
        <v>447</v>
      </c>
      <c r="E170" s="688" t="s">
        <v>451</v>
      </c>
      <c r="F170" s="689" t="s">
        <v>452</v>
      </c>
      <c r="G170" s="687" t="s">
        <v>453</v>
      </c>
      <c r="H170" s="690" t="s">
        <v>440</v>
      </c>
    </row>
    <row r="171" spans="2:8" s="676" customFormat="1" ht="51.75">
      <c r="B171" s="686" t="s">
        <v>338</v>
      </c>
      <c r="C171" s="687" t="s">
        <v>435</v>
      </c>
      <c r="D171" s="687" t="s">
        <v>454</v>
      </c>
      <c r="E171" s="688" t="s">
        <v>455</v>
      </c>
      <c r="F171" s="689" t="s">
        <v>456</v>
      </c>
      <c r="G171" s="687" t="s">
        <v>457</v>
      </c>
      <c r="H171" s="690" t="s">
        <v>458</v>
      </c>
    </row>
    <row r="172" spans="2:8" s="676" customFormat="1" ht="34.5">
      <c r="B172" s="686" t="s">
        <v>338</v>
      </c>
      <c r="C172" s="687" t="s">
        <v>435</v>
      </c>
      <c r="D172" s="687" t="s">
        <v>454</v>
      </c>
      <c r="E172" s="688" t="s">
        <v>459</v>
      </c>
      <c r="F172" s="689" t="s">
        <v>460</v>
      </c>
      <c r="G172" s="687" t="s">
        <v>461</v>
      </c>
      <c r="H172" s="690" t="s">
        <v>458</v>
      </c>
    </row>
    <row r="173" spans="2:8" s="676" customFormat="1" ht="51.75">
      <c r="B173" s="686" t="s">
        <v>338</v>
      </c>
      <c r="C173" s="687" t="s">
        <v>435</v>
      </c>
      <c r="D173" s="687" t="s">
        <v>462</v>
      </c>
      <c r="E173" s="688" t="s">
        <v>463</v>
      </c>
      <c r="F173" s="689" t="s">
        <v>464</v>
      </c>
      <c r="G173" s="687" t="s">
        <v>465</v>
      </c>
      <c r="H173" s="690" t="s">
        <v>466</v>
      </c>
    </row>
    <row r="174" spans="2:8" s="676" customFormat="1" ht="34.5">
      <c r="B174" s="686" t="s">
        <v>338</v>
      </c>
      <c r="C174" s="687" t="s">
        <v>435</v>
      </c>
      <c r="D174" s="687" t="s">
        <v>462</v>
      </c>
      <c r="E174" s="688" t="s">
        <v>467</v>
      </c>
      <c r="F174" s="689" t="s">
        <v>468</v>
      </c>
      <c r="G174" s="687" t="s">
        <v>469</v>
      </c>
      <c r="H174" s="690" t="s">
        <v>466</v>
      </c>
    </row>
    <row r="175" spans="2:8" s="676" customFormat="1" ht="51.75">
      <c r="B175" s="686" t="s">
        <v>338</v>
      </c>
      <c r="C175" s="687" t="s">
        <v>435</v>
      </c>
      <c r="D175" s="687" t="s">
        <v>462</v>
      </c>
      <c r="E175" s="688" t="s">
        <v>470</v>
      </c>
      <c r="F175" s="689" t="s">
        <v>471</v>
      </c>
      <c r="G175" s="687" t="s">
        <v>472</v>
      </c>
      <c r="H175" s="690" t="s">
        <v>473</v>
      </c>
    </row>
    <row r="176" spans="2:8" s="676" customFormat="1" ht="51.75">
      <c r="B176" s="686" t="s">
        <v>338</v>
      </c>
      <c r="C176" s="687" t="s">
        <v>435</v>
      </c>
      <c r="D176" s="687" t="s">
        <v>462</v>
      </c>
      <c r="E176" s="688" t="s">
        <v>474</v>
      </c>
      <c r="F176" s="689" t="s">
        <v>475</v>
      </c>
      <c r="G176" s="687" t="s">
        <v>472</v>
      </c>
      <c r="H176" s="690" t="s">
        <v>473</v>
      </c>
    </row>
    <row r="177" spans="2:8" s="676" customFormat="1" ht="86.25">
      <c r="B177" s="686" t="s">
        <v>338</v>
      </c>
      <c r="C177" s="687" t="s">
        <v>476</v>
      </c>
      <c r="D177" s="687" t="s">
        <v>477</v>
      </c>
      <c r="E177" s="688" t="s">
        <v>478</v>
      </c>
      <c r="F177" s="689" t="s">
        <v>479</v>
      </c>
      <c r="G177" s="687" t="s">
        <v>480</v>
      </c>
      <c r="H177" s="690" t="s">
        <v>481</v>
      </c>
    </row>
    <row r="178" spans="2:8" s="676" customFormat="1" ht="86.25">
      <c r="B178" s="686" t="s">
        <v>338</v>
      </c>
      <c r="C178" s="687" t="s">
        <v>476</v>
      </c>
      <c r="D178" s="687" t="s">
        <v>477</v>
      </c>
      <c r="E178" s="688" t="s">
        <v>482</v>
      </c>
      <c r="F178" s="689" t="s">
        <v>483</v>
      </c>
      <c r="G178" s="687" t="s">
        <v>484</v>
      </c>
      <c r="H178" s="690" t="s">
        <v>481</v>
      </c>
    </row>
    <row r="179" spans="2:8" s="676" customFormat="1" ht="103.5">
      <c r="B179" s="686" t="s">
        <v>338</v>
      </c>
      <c r="C179" s="687" t="s">
        <v>476</v>
      </c>
      <c r="D179" s="687" t="s">
        <v>477</v>
      </c>
      <c r="E179" s="688" t="s">
        <v>485</v>
      </c>
      <c r="F179" s="689" t="s">
        <v>486</v>
      </c>
      <c r="G179" s="687" t="s">
        <v>487</v>
      </c>
      <c r="H179" s="690" t="s">
        <v>488</v>
      </c>
    </row>
    <row r="180" spans="2:8" s="676" customFormat="1" ht="86.25">
      <c r="B180" s="686" t="s">
        <v>338</v>
      </c>
      <c r="C180" s="687" t="s">
        <v>476</v>
      </c>
      <c r="D180" s="687" t="s">
        <v>477</v>
      </c>
      <c r="E180" s="688" t="s">
        <v>489</v>
      </c>
      <c r="F180" s="689" t="s">
        <v>490</v>
      </c>
      <c r="G180" s="687" t="s">
        <v>491</v>
      </c>
      <c r="H180" s="690" t="s">
        <v>492</v>
      </c>
    </row>
    <row r="181" spans="2:8" s="676" customFormat="1" ht="103.5">
      <c r="B181" s="686" t="s">
        <v>338</v>
      </c>
      <c r="C181" s="687" t="s">
        <v>476</v>
      </c>
      <c r="D181" s="687" t="s">
        <v>477</v>
      </c>
      <c r="E181" s="688" t="s">
        <v>493</v>
      </c>
      <c r="F181" s="689" t="s">
        <v>494</v>
      </c>
      <c r="G181" s="687" t="s">
        <v>495</v>
      </c>
      <c r="H181" s="690" t="s">
        <v>496</v>
      </c>
    </row>
    <row r="182" spans="2:8" s="676" customFormat="1" ht="51.75">
      <c r="B182" s="686" t="s">
        <v>497</v>
      </c>
      <c r="C182" s="687" t="s">
        <v>498</v>
      </c>
      <c r="D182" s="687" t="s">
        <v>499</v>
      </c>
      <c r="E182" s="688" t="s">
        <v>500</v>
      </c>
      <c r="F182" s="689" t="s">
        <v>501</v>
      </c>
      <c r="G182" s="687" t="s">
        <v>502</v>
      </c>
      <c r="H182" s="690" t="s">
        <v>503</v>
      </c>
    </row>
    <row r="183" spans="2:8" s="676" customFormat="1" ht="51.75">
      <c r="B183" s="686" t="s">
        <v>497</v>
      </c>
      <c r="C183" s="687" t="s">
        <v>498</v>
      </c>
      <c r="D183" s="687" t="s">
        <v>499</v>
      </c>
      <c r="E183" s="688" t="s">
        <v>504</v>
      </c>
      <c r="F183" s="689" t="s">
        <v>505</v>
      </c>
      <c r="G183" s="687" t="s">
        <v>506</v>
      </c>
      <c r="H183" s="690" t="s">
        <v>507</v>
      </c>
    </row>
    <row r="184" spans="2:8" s="679" customFormat="1" ht="86.25">
      <c r="B184" s="686" t="s">
        <v>497</v>
      </c>
      <c r="C184" s="687" t="s">
        <v>498</v>
      </c>
      <c r="D184" s="687" t="s">
        <v>499</v>
      </c>
      <c r="E184" s="688" t="s">
        <v>508</v>
      </c>
      <c r="F184" s="689" t="s">
        <v>509</v>
      </c>
      <c r="G184" s="687" t="s">
        <v>510</v>
      </c>
      <c r="H184" s="690"/>
    </row>
    <row r="185" spans="2:8" s="679" customFormat="1" ht="51.75">
      <c r="B185" s="686" t="s">
        <v>497</v>
      </c>
      <c r="C185" s="687" t="s">
        <v>498</v>
      </c>
      <c r="D185" s="687" t="s">
        <v>499</v>
      </c>
      <c r="E185" s="688" t="s">
        <v>511</v>
      </c>
      <c r="F185" s="689" t="s">
        <v>512</v>
      </c>
      <c r="G185" s="687" t="s">
        <v>513</v>
      </c>
      <c r="H185" s="690"/>
    </row>
    <row r="186" spans="2:8" s="679" customFormat="1" ht="51.75">
      <c r="B186" s="686" t="s">
        <v>497</v>
      </c>
      <c r="C186" s="687" t="s">
        <v>498</v>
      </c>
      <c r="D186" s="687" t="s">
        <v>499</v>
      </c>
      <c r="E186" s="691" t="s">
        <v>514</v>
      </c>
      <c r="F186" s="689" t="s">
        <v>515</v>
      </c>
      <c r="G186" s="687" t="s">
        <v>516</v>
      </c>
      <c r="H186" s="690" t="s">
        <v>507</v>
      </c>
    </row>
    <row r="187" spans="2:8" s="679" customFormat="1" ht="51.75">
      <c r="B187" s="686" t="s">
        <v>497</v>
      </c>
      <c r="C187" s="687" t="s">
        <v>498</v>
      </c>
      <c r="D187" s="687" t="s">
        <v>499</v>
      </c>
      <c r="E187" s="688" t="s">
        <v>517</v>
      </c>
      <c r="F187" s="689" t="s">
        <v>518</v>
      </c>
      <c r="G187" s="687" t="s">
        <v>519</v>
      </c>
      <c r="H187" s="690"/>
    </row>
    <row r="188" spans="2:8" s="679" customFormat="1" ht="51.75">
      <c r="B188" s="686" t="s">
        <v>497</v>
      </c>
      <c r="C188" s="687" t="s">
        <v>498</v>
      </c>
      <c r="D188" s="687" t="s">
        <v>499</v>
      </c>
      <c r="E188" s="691" t="s">
        <v>520</v>
      </c>
      <c r="F188" s="689" t="s">
        <v>521</v>
      </c>
      <c r="G188" s="687" t="s">
        <v>522</v>
      </c>
      <c r="H188" s="690" t="s">
        <v>507</v>
      </c>
    </row>
    <row r="189" spans="2:8" s="676" customFormat="1" ht="51.75">
      <c r="B189" s="686" t="s">
        <v>497</v>
      </c>
      <c r="C189" s="687" t="s">
        <v>498</v>
      </c>
      <c r="D189" s="687" t="s">
        <v>499</v>
      </c>
      <c r="E189" s="688" t="s">
        <v>37</v>
      </c>
      <c r="F189" s="689" t="s">
        <v>523</v>
      </c>
      <c r="G189" s="687" t="s">
        <v>39</v>
      </c>
      <c r="H189" s="690" t="s">
        <v>524</v>
      </c>
    </row>
    <row r="190" spans="2:8" s="676" customFormat="1" ht="51.75">
      <c r="B190" s="686" t="s">
        <v>497</v>
      </c>
      <c r="C190" s="687" t="s">
        <v>498</v>
      </c>
      <c r="D190" s="687" t="s">
        <v>499</v>
      </c>
      <c r="E190" s="688" t="s">
        <v>41</v>
      </c>
      <c r="F190" s="689" t="s">
        <v>525</v>
      </c>
      <c r="G190" s="687" t="s">
        <v>43</v>
      </c>
      <c r="H190" s="690" t="s">
        <v>524</v>
      </c>
    </row>
    <row r="191" spans="2:8" s="676" customFormat="1" ht="51.75">
      <c r="B191" s="686" t="s">
        <v>497</v>
      </c>
      <c r="C191" s="687" t="s">
        <v>498</v>
      </c>
      <c r="D191" s="687" t="s">
        <v>499</v>
      </c>
      <c r="E191" s="688" t="s">
        <v>44</v>
      </c>
      <c r="F191" s="689" t="s">
        <v>526</v>
      </c>
      <c r="G191" s="687" t="s">
        <v>46</v>
      </c>
      <c r="H191" s="690" t="s">
        <v>524</v>
      </c>
    </row>
    <row r="192" spans="2:8" s="676" customFormat="1" ht="51.75">
      <c r="B192" s="686" t="s">
        <v>497</v>
      </c>
      <c r="C192" s="687" t="s">
        <v>498</v>
      </c>
      <c r="D192" s="687" t="s">
        <v>499</v>
      </c>
      <c r="E192" s="688" t="s">
        <v>47</v>
      </c>
      <c r="F192" s="689" t="s">
        <v>527</v>
      </c>
      <c r="G192" s="687" t="s">
        <v>118</v>
      </c>
      <c r="H192" s="690" t="s">
        <v>524</v>
      </c>
    </row>
    <row r="193" spans="2:8" s="676" customFormat="1" ht="51.75">
      <c r="B193" s="686" t="s">
        <v>497</v>
      </c>
      <c r="C193" s="687" t="s">
        <v>498</v>
      </c>
      <c r="D193" s="687" t="s">
        <v>499</v>
      </c>
      <c r="E193" s="688" t="s">
        <v>528</v>
      </c>
      <c r="F193" s="689" t="s">
        <v>529</v>
      </c>
      <c r="G193" s="687" t="s">
        <v>530</v>
      </c>
      <c r="H193" s="690"/>
    </row>
    <row r="194" spans="2:8" s="676" customFormat="1" ht="51.75">
      <c r="B194" s="686" t="s">
        <v>497</v>
      </c>
      <c r="C194" s="687" t="s">
        <v>531</v>
      </c>
      <c r="D194" s="687" t="s">
        <v>532</v>
      </c>
      <c r="E194" s="691" t="s">
        <v>533</v>
      </c>
      <c r="F194" s="689" t="s">
        <v>534</v>
      </c>
      <c r="G194" s="687" t="s">
        <v>535</v>
      </c>
      <c r="H194" s="690" t="s">
        <v>524</v>
      </c>
    </row>
    <row r="195" spans="2:8" s="676" customFormat="1" ht="51.75">
      <c r="B195" s="686" t="s">
        <v>497</v>
      </c>
      <c r="C195" s="687" t="s">
        <v>531</v>
      </c>
      <c r="D195" s="687" t="s">
        <v>532</v>
      </c>
      <c r="E195" s="688" t="s">
        <v>536</v>
      </c>
      <c r="F195" s="689" t="s">
        <v>537</v>
      </c>
      <c r="G195" s="687" t="s">
        <v>538</v>
      </c>
      <c r="H195" s="690" t="s">
        <v>524</v>
      </c>
    </row>
    <row r="196" spans="2:8" s="676" customFormat="1" ht="51.75">
      <c r="B196" s="686" t="s">
        <v>497</v>
      </c>
      <c r="C196" s="687" t="s">
        <v>531</v>
      </c>
      <c r="D196" s="687" t="s">
        <v>532</v>
      </c>
      <c r="E196" s="688" t="s">
        <v>539</v>
      </c>
      <c r="F196" s="689" t="s">
        <v>540</v>
      </c>
      <c r="G196" s="687" t="s">
        <v>541</v>
      </c>
      <c r="H196" s="690"/>
    </row>
    <row r="197" spans="2:8" s="676" customFormat="1" ht="34.5">
      <c r="B197" s="686" t="s">
        <v>542</v>
      </c>
      <c r="C197" s="687" t="s">
        <v>543</v>
      </c>
      <c r="D197" s="687" t="s">
        <v>544</v>
      </c>
      <c r="E197" s="691" t="s">
        <v>545</v>
      </c>
      <c r="F197" s="689" t="s">
        <v>546</v>
      </c>
      <c r="G197" s="687" t="s">
        <v>547</v>
      </c>
      <c r="H197" s="690" t="s">
        <v>548</v>
      </c>
    </row>
    <row r="198" spans="2:8" s="676" customFormat="1" ht="51.75">
      <c r="B198" s="686" t="s">
        <v>542</v>
      </c>
      <c r="C198" s="687" t="s">
        <v>543</v>
      </c>
      <c r="D198" s="687" t="s">
        <v>549</v>
      </c>
      <c r="E198" s="688" t="s">
        <v>550</v>
      </c>
      <c r="F198" s="689" t="s">
        <v>551</v>
      </c>
      <c r="G198" s="687" t="s">
        <v>552</v>
      </c>
      <c r="H198" s="690" t="s">
        <v>548</v>
      </c>
    </row>
    <row r="199" spans="2:8" s="676" customFormat="1" ht="51.75">
      <c r="B199" s="686" t="s">
        <v>542</v>
      </c>
      <c r="C199" s="687" t="s">
        <v>543</v>
      </c>
      <c r="D199" s="687" t="s">
        <v>549</v>
      </c>
      <c r="E199" s="688" t="s">
        <v>249</v>
      </c>
      <c r="F199" s="689" t="s">
        <v>553</v>
      </c>
      <c r="G199" s="687" t="s">
        <v>554</v>
      </c>
      <c r="H199" s="690" t="s">
        <v>548</v>
      </c>
    </row>
    <row r="200" spans="2:8" s="676" customFormat="1" ht="51.75">
      <c r="B200" s="686" t="s">
        <v>542</v>
      </c>
      <c r="C200" s="687" t="s">
        <v>543</v>
      </c>
      <c r="D200" s="687" t="s">
        <v>549</v>
      </c>
      <c r="E200" s="688" t="s">
        <v>210</v>
      </c>
      <c r="F200" s="689" t="s">
        <v>555</v>
      </c>
      <c r="G200" s="687" t="s">
        <v>556</v>
      </c>
      <c r="H200" s="690" t="s">
        <v>548</v>
      </c>
    </row>
    <row r="201" spans="2:8" s="676" customFormat="1" ht="51.75">
      <c r="B201" s="686" t="s">
        <v>542</v>
      </c>
      <c r="C201" s="687" t="s">
        <v>543</v>
      </c>
      <c r="D201" s="687" t="s">
        <v>549</v>
      </c>
      <c r="E201" s="688" t="s">
        <v>204</v>
      </c>
      <c r="F201" s="689" t="s">
        <v>557</v>
      </c>
      <c r="G201" s="687" t="s">
        <v>558</v>
      </c>
      <c r="H201" s="690" t="s">
        <v>548</v>
      </c>
    </row>
    <row r="202" spans="2:8" s="676" customFormat="1" ht="51.75">
      <c r="B202" s="686" t="s">
        <v>542</v>
      </c>
      <c r="C202" s="687" t="s">
        <v>543</v>
      </c>
      <c r="D202" s="687" t="s">
        <v>549</v>
      </c>
      <c r="E202" s="688" t="s">
        <v>559</v>
      </c>
      <c r="F202" s="689" t="s">
        <v>560</v>
      </c>
      <c r="G202" s="687" t="s">
        <v>561</v>
      </c>
      <c r="H202" s="690" t="s">
        <v>548</v>
      </c>
    </row>
    <row r="203" spans="2:8" s="676" customFormat="1" ht="34.5">
      <c r="B203" s="686" t="s">
        <v>542</v>
      </c>
      <c r="C203" s="687" t="s">
        <v>543</v>
      </c>
      <c r="D203" s="687" t="s">
        <v>562</v>
      </c>
      <c r="E203" s="688" t="s">
        <v>563</v>
      </c>
      <c r="F203" s="689" t="s">
        <v>564</v>
      </c>
      <c r="G203" s="687" t="s">
        <v>565</v>
      </c>
      <c r="H203" s="690" t="s">
        <v>548</v>
      </c>
    </row>
    <row r="204" spans="2:8" s="676" customFormat="1" ht="69">
      <c r="B204" s="686" t="s">
        <v>542</v>
      </c>
      <c r="C204" s="687" t="s">
        <v>543</v>
      </c>
      <c r="D204" s="687" t="s">
        <v>566</v>
      </c>
      <c r="E204" s="688" t="s">
        <v>567</v>
      </c>
      <c r="F204" s="689" t="s">
        <v>568</v>
      </c>
      <c r="G204" s="687" t="s">
        <v>569</v>
      </c>
      <c r="H204" s="690" t="s">
        <v>548</v>
      </c>
    </row>
    <row r="205" spans="2:8" s="676" customFormat="1" ht="34.5">
      <c r="B205" s="686" t="s">
        <v>542</v>
      </c>
      <c r="C205" s="687" t="s">
        <v>543</v>
      </c>
      <c r="D205" s="687" t="s">
        <v>566</v>
      </c>
      <c r="E205" s="688" t="s">
        <v>570</v>
      </c>
      <c r="F205" s="689" t="s">
        <v>571</v>
      </c>
      <c r="G205" s="687" t="s">
        <v>572</v>
      </c>
      <c r="H205" s="690" t="s">
        <v>573</v>
      </c>
    </row>
    <row r="206" spans="2:8" s="676" customFormat="1" ht="34.5">
      <c r="B206" s="686" t="s">
        <v>542</v>
      </c>
      <c r="C206" s="687" t="s">
        <v>543</v>
      </c>
      <c r="D206" s="687" t="s">
        <v>566</v>
      </c>
      <c r="E206" s="688" t="s">
        <v>574</v>
      </c>
      <c r="F206" s="689" t="s">
        <v>575</v>
      </c>
      <c r="G206" s="687" t="s">
        <v>576</v>
      </c>
      <c r="H206" s="690" t="s">
        <v>573</v>
      </c>
    </row>
    <row r="207" spans="2:8" s="676" customFormat="1" ht="51.75">
      <c r="B207" s="686" t="s">
        <v>542</v>
      </c>
      <c r="C207" s="687" t="s">
        <v>543</v>
      </c>
      <c r="D207" s="687" t="s">
        <v>566</v>
      </c>
      <c r="E207" s="688" t="s">
        <v>577</v>
      </c>
      <c r="F207" s="689" t="s">
        <v>578</v>
      </c>
      <c r="G207" s="687" t="s">
        <v>579</v>
      </c>
      <c r="H207" s="690"/>
    </row>
    <row r="208" spans="2:8" s="676" customFormat="1" ht="34.5">
      <c r="B208" s="686" t="s">
        <v>542</v>
      </c>
      <c r="C208" s="687" t="s">
        <v>543</v>
      </c>
      <c r="D208" s="687" t="s">
        <v>580</v>
      </c>
      <c r="E208" s="688" t="s">
        <v>581</v>
      </c>
      <c r="F208" s="689" t="s">
        <v>582</v>
      </c>
      <c r="G208" s="687" t="s">
        <v>583</v>
      </c>
      <c r="H208" s="690" t="s">
        <v>548</v>
      </c>
    </row>
    <row r="209" spans="2:8" s="677" customFormat="1" ht="34.5">
      <c r="B209" s="686" t="s">
        <v>542</v>
      </c>
      <c r="C209" s="687" t="s">
        <v>543</v>
      </c>
      <c r="D209" s="687" t="s">
        <v>584</v>
      </c>
      <c r="E209" s="688" t="s">
        <v>550</v>
      </c>
      <c r="F209" s="689" t="s">
        <v>585</v>
      </c>
      <c r="G209" s="687" t="s">
        <v>586</v>
      </c>
      <c r="H209" s="690" t="s">
        <v>548</v>
      </c>
    </row>
    <row r="210" spans="2:8" s="676" customFormat="1" ht="34.5">
      <c r="B210" s="686" t="s">
        <v>542</v>
      </c>
      <c r="C210" s="687" t="s">
        <v>543</v>
      </c>
      <c r="D210" s="687" t="s">
        <v>584</v>
      </c>
      <c r="E210" s="688" t="s">
        <v>249</v>
      </c>
      <c r="F210" s="689" t="s">
        <v>587</v>
      </c>
      <c r="G210" s="687" t="s">
        <v>588</v>
      </c>
      <c r="H210" s="690" t="s">
        <v>548</v>
      </c>
    </row>
    <row r="211" spans="2:8" s="676" customFormat="1" ht="34.5">
      <c r="B211" s="686" t="s">
        <v>542</v>
      </c>
      <c r="C211" s="687" t="s">
        <v>543</v>
      </c>
      <c r="D211" s="687" t="s">
        <v>584</v>
      </c>
      <c r="E211" s="688" t="s">
        <v>210</v>
      </c>
      <c r="F211" s="689" t="s">
        <v>589</v>
      </c>
      <c r="G211" s="687" t="s">
        <v>590</v>
      </c>
      <c r="H211" s="690" t="s">
        <v>548</v>
      </c>
    </row>
    <row r="212" spans="2:8" s="676" customFormat="1" ht="34.5">
      <c r="B212" s="686" t="s">
        <v>542</v>
      </c>
      <c r="C212" s="687" t="s">
        <v>543</v>
      </c>
      <c r="D212" s="687" t="s">
        <v>584</v>
      </c>
      <c r="E212" s="688" t="s">
        <v>204</v>
      </c>
      <c r="F212" s="689" t="s">
        <v>591</v>
      </c>
      <c r="G212" s="687" t="s">
        <v>592</v>
      </c>
      <c r="H212" s="690" t="s">
        <v>548</v>
      </c>
    </row>
    <row r="213" spans="2:8" s="676" customFormat="1" ht="34.5">
      <c r="B213" s="686" t="s">
        <v>542</v>
      </c>
      <c r="C213" s="687" t="s">
        <v>543</v>
      </c>
      <c r="D213" s="687" t="s">
        <v>584</v>
      </c>
      <c r="E213" s="688" t="s">
        <v>559</v>
      </c>
      <c r="F213" s="689" t="s">
        <v>593</v>
      </c>
      <c r="G213" s="687" t="s">
        <v>594</v>
      </c>
      <c r="H213" s="690" t="s">
        <v>548</v>
      </c>
    </row>
    <row r="214" spans="2:8" s="676" customFormat="1" ht="34.5">
      <c r="B214" s="686" t="s">
        <v>542</v>
      </c>
      <c r="C214" s="687" t="s">
        <v>543</v>
      </c>
      <c r="D214" s="687" t="s">
        <v>595</v>
      </c>
      <c r="E214" s="688" t="s">
        <v>596</v>
      </c>
      <c r="F214" s="689" t="s">
        <v>597</v>
      </c>
      <c r="G214" s="687" t="s">
        <v>598</v>
      </c>
      <c r="H214" s="690" t="s">
        <v>599</v>
      </c>
    </row>
    <row r="215" spans="2:8" s="676" customFormat="1" ht="34.5">
      <c r="B215" s="686" t="s">
        <v>542</v>
      </c>
      <c r="C215" s="687" t="s">
        <v>543</v>
      </c>
      <c r="D215" s="687" t="s">
        <v>595</v>
      </c>
      <c r="E215" s="688" t="s">
        <v>600</v>
      </c>
      <c r="F215" s="689" t="s">
        <v>601</v>
      </c>
      <c r="G215" s="687" t="s">
        <v>602</v>
      </c>
      <c r="H215" s="690" t="s">
        <v>599</v>
      </c>
    </row>
    <row r="216" spans="2:8" s="676" customFormat="1" ht="34.5">
      <c r="B216" s="686" t="s">
        <v>542</v>
      </c>
      <c r="C216" s="687" t="s">
        <v>543</v>
      </c>
      <c r="D216" s="687" t="s">
        <v>595</v>
      </c>
      <c r="E216" s="688" t="s">
        <v>603</v>
      </c>
      <c r="F216" s="689" t="s">
        <v>604</v>
      </c>
      <c r="G216" s="687" t="s">
        <v>605</v>
      </c>
      <c r="H216" s="690" t="s">
        <v>599</v>
      </c>
    </row>
    <row r="217" spans="2:8" s="676" customFormat="1" ht="34.5">
      <c r="B217" s="686" t="s">
        <v>542</v>
      </c>
      <c r="C217" s="687" t="s">
        <v>543</v>
      </c>
      <c r="D217" s="687" t="s">
        <v>595</v>
      </c>
      <c r="E217" s="688" t="s">
        <v>606</v>
      </c>
      <c r="F217" s="689" t="s">
        <v>607</v>
      </c>
      <c r="G217" s="687" t="s">
        <v>608</v>
      </c>
      <c r="H217" s="690" t="s">
        <v>599</v>
      </c>
    </row>
    <row r="218" spans="2:8" s="676" customFormat="1" ht="34.5">
      <c r="B218" s="686" t="s">
        <v>542</v>
      </c>
      <c r="C218" s="687" t="s">
        <v>543</v>
      </c>
      <c r="D218" s="687" t="s">
        <v>595</v>
      </c>
      <c r="E218" s="688" t="s">
        <v>609</v>
      </c>
      <c r="F218" s="689" t="s">
        <v>610</v>
      </c>
      <c r="G218" s="687" t="s">
        <v>611</v>
      </c>
      <c r="H218" s="690" t="s">
        <v>599</v>
      </c>
    </row>
    <row r="219" spans="2:8" s="676" customFormat="1" ht="34.5">
      <c r="B219" s="686" t="s">
        <v>542</v>
      </c>
      <c r="C219" s="687" t="s">
        <v>543</v>
      </c>
      <c r="D219" s="687" t="s">
        <v>595</v>
      </c>
      <c r="E219" s="688" t="s">
        <v>612</v>
      </c>
      <c r="F219" s="689" t="s">
        <v>613</v>
      </c>
      <c r="G219" s="687" t="s">
        <v>614</v>
      </c>
      <c r="H219" s="690" t="s">
        <v>599</v>
      </c>
    </row>
    <row r="220" spans="2:8" s="676" customFormat="1" ht="34.5">
      <c r="B220" s="686" t="s">
        <v>542</v>
      </c>
      <c r="C220" s="687" t="s">
        <v>543</v>
      </c>
      <c r="D220" s="687" t="s">
        <v>595</v>
      </c>
      <c r="E220" s="688" t="s">
        <v>615</v>
      </c>
      <c r="F220" s="689" t="s">
        <v>616</v>
      </c>
      <c r="G220" s="687" t="s">
        <v>617</v>
      </c>
      <c r="H220" s="690" t="s">
        <v>599</v>
      </c>
    </row>
    <row r="221" spans="2:8" s="676" customFormat="1" ht="34.5">
      <c r="B221" s="686" t="s">
        <v>542</v>
      </c>
      <c r="C221" s="687" t="s">
        <v>543</v>
      </c>
      <c r="D221" s="687" t="s">
        <v>618</v>
      </c>
      <c r="E221" s="688" t="s">
        <v>619</v>
      </c>
      <c r="F221" s="689" t="s">
        <v>620</v>
      </c>
      <c r="G221" s="687" t="s">
        <v>621</v>
      </c>
      <c r="H221" s="690" t="s">
        <v>622</v>
      </c>
    </row>
    <row r="222" spans="2:8" s="676" customFormat="1" ht="69">
      <c r="B222" s="686" t="s">
        <v>542</v>
      </c>
      <c r="C222" s="687" t="s">
        <v>623</v>
      </c>
      <c r="D222" s="687" t="s">
        <v>624</v>
      </c>
      <c r="E222" s="688" t="s">
        <v>625</v>
      </c>
      <c r="F222" s="689" t="s">
        <v>626</v>
      </c>
      <c r="G222" s="687" t="s">
        <v>627</v>
      </c>
      <c r="H222" s="690" t="s">
        <v>628</v>
      </c>
    </row>
    <row r="223" spans="2:8" s="676" customFormat="1" ht="69">
      <c r="B223" s="686" t="s">
        <v>542</v>
      </c>
      <c r="C223" s="687" t="s">
        <v>623</v>
      </c>
      <c r="D223" s="687" t="s">
        <v>624</v>
      </c>
      <c r="E223" s="688" t="s">
        <v>629</v>
      </c>
      <c r="F223" s="689" t="s">
        <v>630</v>
      </c>
      <c r="G223" s="687" t="s">
        <v>631</v>
      </c>
      <c r="H223" s="690" t="s">
        <v>632</v>
      </c>
    </row>
    <row r="224" spans="2:8" s="676" customFormat="1" ht="69">
      <c r="B224" s="686" t="s">
        <v>542</v>
      </c>
      <c r="C224" s="687" t="s">
        <v>623</v>
      </c>
      <c r="D224" s="687" t="s">
        <v>624</v>
      </c>
      <c r="E224" s="688" t="s">
        <v>633</v>
      </c>
      <c r="F224" s="689" t="s">
        <v>634</v>
      </c>
      <c r="G224" s="687" t="s">
        <v>635</v>
      </c>
      <c r="H224" s="690" t="s">
        <v>632</v>
      </c>
    </row>
    <row r="225" spans="2:8" s="676" customFormat="1" ht="51.75">
      <c r="B225" s="686" t="s">
        <v>542</v>
      </c>
      <c r="C225" s="687" t="s">
        <v>623</v>
      </c>
      <c r="D225" s="687" t="s">
        <v>624</v>
      </c>
      <c r="E225" s="688" t="s">
        <v>636</v>
      </c>
      <c r="F225" s="689" t="s">
        <v>637</v>
      </c>
      <c r="G225" s="687" t="s">
        <v>638</v>
      </c>
      <c r="H225" s="690" t="s">
        <v>632</v>
      </c>
    </row>
    <row r="226" spans="2:8" s="676" customFormat="1" ht="69">
      <c r="B226" s="686" t="s">
        <v>542</v>
      </c>
      <c r="C226" s="687" t="s">
        <v>623</v>
      </c>
      <c r="D226" s="687" t="s">
        <v>624</v>
      </c>
      <c r="E226" s="688" t="s">
        <v>639</v>
      </c>
      <c r="F226" s="689" t="s">
        <v>640</v>
      </c>
      <c r="G226" s="687" t="s">
        <v>641</v>
      </c>
      <c r="H226" s="690" t="s">
        <v>632</v>
      </c>
    </row>
    <row r="227" spans="2:8" s="676" customFormat="1" ht="34.5">
      <c r="B227" s="686" t="s">
        <v>542</v>
      </c>
      <c r="C227" s="687" t="s">
        <v>623</v>
      </c>
      <c r="D227" s="687" t="s">
        <v>624</v>
      </c>
      <c r="E227" s="688" t="s">
        <v>642</v>
      </c>
      <c r="F227" s="689" t="s">
        <v>643</v>
      </c>
      <c r="G227" s="687"/>
      <c r="H227" s="690"/>
    </row>
    <row r="228" spans="2:8" s="676" customFormat="1" ht="34.5">
      <c r="B228" s="686" t="s">
        <v>542</v>
      </c>
      <c r="C228" s="687" t="s">
        <v>623</v>
      </c>
      <c r="D228" s="687" t="s">
        <v>624</v>
      </c>
      <c r="E228" s="688" t="s">
        <v>644</v>
      </c>
      <c r="F228" s="689" t="s">
        <v>645</v>
      </c>
      <c r="G228" s="687" t="s">
        <v>646</v>
      </c>
      <c r="H228" s="690" t="s">
        <v>647</v>
      </c>
    </row>
    <row r="229" spans="2:8" s="676" customFormat="1" ht="69">
      <c r="B229" s="686" t="s">
        <v>542</v>
      </c>
      <c r="C229" s="687" t="s">
        <v>623</v>
      </c>
      <c r="D229" s="687" t="s">
        <v>624</v>
      </c>
      <c r="E229" s="688" t="s">
        <v>648</v>
      </c>
      <c r="F229" s="689" t="s">
        <v>649</v>
      </c>
      <c r="G229" s="687" t="s">
        <v>650</v>
      </c>
      <c r="H229" s="690" t="s">
        <v>651</v>
      </c>
    </row>
    <row r="230" spans="2:8" s="676" customFormat="1" ht="34.5">
      <c r="B230" s="686" t="s">
        <v>542</v>
      </c>
      <c r="C230" s="687" t="s">
        <v>623</v>
      </c>
      <c r="D230" s="687" t="s">
        <v>624</v>
      </c>
      <c r="E230" s="688" t="s">
        <v>652</v>
      </c>
      <c r="F230" s="689" t="s">
        <v>653</v>
      </c>
      <c r="G230" s="687" t="s">
        <v>654</v>
      </c>
      <c r="H230" s="690" t="s">
        <v>655</v>
      </c>
    </row>
    <row r="231" spans="2:8" s="676" customFormat="1" ht="34.5">
      <c r="B231" s="686" t="s">
        <v>542</v>
      </c>
      <c r="C231" s="687" t="s">
        <v>623</v>
      </c>
      <c r="D231" s="687" t="s">
        <v>624</v>
      </c>
      <c r="E231" s="688" t="s">
        <v>656</v>
      </c>
      <c r="F231" s="689" t="s">
        <v>657</v>
      </c>
      <c r="G231" s="687" t="s">
        <v>658</v>
      </c>
      <c r="H231" s="690"/>
    </row>
    <row r="232" spans="2:8" s="676" customFormat="1" ht="51.75">
      <c r="B232" s="686" t="s">
        <v>542</v>
      </c>
      <c r="C232" s="687" t="s">
        <v>623</v>
      </c>
      <c r="D232" s="687" t="s">
        <v>624</v>
      </c>
      <c r="E232" s="688" t="s">
        <v>659</v>
      </c>
      <c r="F232" s="689" t="s">
        <v>660</v>
      </c>
      <c r="G232" s="687" t="s">
        <v>661</v>
      </c>
      <c r="H232" s="690" t="s">
        <v>662</v>
      </c>
    </row>
    <row r="233" spans="2:8" s="676" customFormat="1" ht="51.75">
      <c r="B233" s="686" t="s">
        <v>542</v>
      </c>
      <c r="C233" s="687" t="s">
        <v>623</v>
      </c>
      <c r="D233" s="687" t="s">
        <v>663</v>
      </c>
      <c r="E233" s="688" t="s">
        <v>664</v>
      </c>
      <c r="F233" s="689" t="s">
        <v>665</v>
      </c>
      <c r="G233" s="687" t="s">
        <v>666</v>
      </c>
      <c r="H233" s="690" t="s">
        <v>667</v>
      </c>
    </row>
    <row r="234" spans="2:8" s="676" customFormat="1" ht="34.5">
      <c r="B234" s="686" t="s">
        <v>542</v>
      </c>
      <c r="C234" s="687" t="s">
        <v>623</v>
      </c>
      <c r="D234" s="687" t="s">
        <v>663</v>
      </c>
      <c r="E234" s="688" t="s">
        <v>668</v>
      </c>
      <c r="F234" s="689" t="s">
        <v>669</v>
      </c>
      <c r="G234" s="687" t="s">
        <v>670</v>
      </c>
      <c r="H234" s="690" t="s">
        <v>671</v>
      </c>
    </row>
    <row r="235" spans="2:8" s="676" customFormat="1" ht="69">
      <c r="B235" s="686" t="s">
        <v>542</v>
      </c>
      <c r="C235" s="687" t="s">
        <v>623</v>
      </c>
      <c r="D235" s="687" t="s">
        <v>663</v>
      </c>
      <c r="E235" s="688" t="s">
        <v>672</v>
      </c>
      <c r="F235" s="689" t="s">
        <v>673</v>
      </c>
      <c r="G235" s="687" t="s">
        <v>674</v>
      </c>
      <c r="H235" s="690" t="s">
        <v>675</v>
      </c>
    </row>
    <row r="236" spans="2:8" s="676" customFormat="1" ht="34.5">
      <c r="B236" s="686" t="s">
        <v>542</v>
      </c>
      <c r="C236" s="687" t="s">
        <v>623</v>
      </c>
      <c r="D236" s="687" t="s">
        <v>676</v>
      </c>
      <c r="E236" s="688" t="s">
        <v>677</v>
      </c>
      <c r="F236" s="689" t="s">
        <v>678</v>
      </c>
      <c r="G236" s="687" t="s">
        <v>679</v>
      </c>
      <c r="H236" s="690" t="s">
        <v>680</v>
      </c>
    </row>
    <row r="237" spans="2:8" s="676" customFormat="1" ht="34.5">
      <c r="B237" s="686" t="s">
        <v>542</v>
      </c>
      <c r="C237" s="687" t="s">
        <v>623</v>
      </c>
      <c r="D237" s="687" t="s">
        <v>676</v>
      </c>
      <c r="E237" s="688" t="s">
        <v>681</v>
      </c>
      <c r="F237" s="689" t="s">
        <v>682</v>
      </c>
      <c r="G237" s="687" t="s">
        <v>683</v>
      </c>
      <c r="H237" s="690" t="s">
        <v>684</v>
      </c>
    </row>
    <row r="238" spans="2:8" s="676" customFormat="1" ht="34.5">
      <c r="B238" s="686" t="s">
        <v>542</v>
      </c>
      <c r="C238" s="687" t="s">
        <v>623</v>
      </c>
      <c r="D238" s="687" t="s">
        <v>676</v>
      </c>
      <c r="E238" s="688" t="s">
        <v>685</v>
      </c>
      <c r="F238" s="689" t="s">
        <v>686</v>
      </c>
      <c r="G238" s="687" t="s">
        <v>687</v>
      </c>
      <c r="H238" s="690" t="s">
        <v>684</v>
      </c>
    </row>
    <row r="239" spans="2:8" s="676" customFormat="1" ht="51.75">
      <c r="B239" s="686" t="s">
        <v>688</v>
      </c>
      <c r="C239" s="687" t="s">
        <v>689</v>
      </c>
      <c r="D239" s="687" t="s">
        <v>690</v>
      </c>
      <c r="E239" s="688" t="s">
        <v>691</v>
      </c>
      <c r="F239" s="689" t="s">
        <v>692</v>
      </c>
      <c r="G239" s="687" t="s">
        <v>693</v>
      </c>
      <c r="H239" s="690" t="s">
        <v>694</v>
      </c>
    </row>
    <row r="240" spans="2:8" s="676" customFormat="1" ht="51.75">
      <c r="B240" s="686" t="s">
        <v>688</v>
      </c>
      <c r="C240" s="687" t="s">
        <v>689</v>
      </c>
      <c r="D240" s="687" t="s">
        <v>690</v>
      </c>
      <c r="E240" s="688" t="s">
        <v>695</v>
      </c>
      <c r="F240" s="689" t="s">
        <v>696</v>
      </c>
      <c r="G240" s="687" t="s">
        <v>697</v>
      </c>
      <c r="H240" s="690" t="s">
        <v>694</v>
      </c>
    </row>
    <row r="241" spans="2:8" s="676" customFormat="1" ht="51.75">
      <c r="B241" s="686" t="s">
        <v>688</v>
      </c>
      <c r="C241" s="687" t="s">
        <v>698</v>
      </c>
      <c r="D241" s="687" t="s">
        <v>699</v>
      </c>
      <c r="E241" s="688" t="s">
        <v>691</v>
      </c>
      <c r="F241" s="689" t="s">
        <v>700</v>
      </c>
      <c r="G241" s="687" t="s">
        <v>701</v>
      </c>
      <c r="H241" s="690" t="s">
        <v>702</v>
      </c>
    </row>
    <row r="242" spans="2:8" s="676" customFormat="1" ht="51.75">
      <c r="B242" s="686" t="s">
        <v>688</v>
      </c>
      <c r="C242" s="687" t="s">
        <v>698</v>
      </c>
      <c r="D242" s="687" t="s">
        <v>699</v>
      </c>
      <c r="E242" s="688" t="s">
        <v>695</v>
      </c>
      <c r="F242" s="689" t="s">
        <v>703</v>
      </c>
      <c r="G242" s="687" t="s">
        <v>704</v>
      </c>
      <c r="H242" s="690" t="s">
        <v>702</v>
      </c>
    </row>
    <row r="243" spans="2:8" s="676" customFormat="1" ht="51.75">
      <c r="B243" s="686" t="s">
        <v>688</v>
      </c>
      <c r="C243" s="687" t="s">
        <v>698</v>
      </c>
      <c r="D243" s="687" t="s">
        <v>705</v>
      </c>
      <c r="E243" s="688" t="s">
        <v>706</v>
      </c>
      <c r="F243" s="689" t="s">
        <v>707</v>
      </c>
      <c r="G243" s="687" t="s">
        <v>708</v>
      </c>
      <c r="H243" s="690" t="s">
        <v>709</v>
      </c>
    </row>
    <row r="244" spans="2:8" s="676" customFormat="1" ht="51.75">
      <c r="B244" s="686" t="s">
        <v>688</v>
      </c>
      <c r="C244" s="687" t="s">
        <v>698</v>
      </c>
      <c r="D244" s="687" t="s">
        <v>705</v>
      </c>
      <c r="E244" s="688" t="s">
        <v>710</v>
      </c>
      <c r="F244" s="689" t="s">
        <v>711</v>
      </c>
      <c r="G244" s="687" t="s">
        <v>712</v>
      </c>
      <c r="H244" s="690" t="s">
        <v>709</v>
      </c>
    </row>
    <row r="245" spans="2:8" s="676" customFormat="1" ht="51.75">
      <c r="B245" s="686" t="s">
        <v>688</v>
      </c>
      <c r="C245" s="687" t="s">
        <v>713</v>
      </c>
      <c r="D245" s="687" t="s">
        <v>714</v>
      </c>
      <c r="E245" s="688" t="s">
        <v>715</v>
      </c>
      <c r="F245" s="689" t="s">
        <v>716</v>
      </c>
      <c r="G245" s="687" t="s">
        <v>717</v>
      </c>
      <c r="H245" s="690" t="s">
        <v>694</v>
      </c>
    </row>
    <row r="246" spans="2:8" s="676" customFormat="1" ht="51.75">
      <c r="B246" s="686" t="s">
        <v>688</v>
      </c>
      <c r="C246" s="687" t="s">
        <v>713</v>
      </c>
      <c r="D246" s="687" t="s">
        <v>714</v>
      </c>
      <c r="E246" s="688" t="s">
        <v>718</v>
      </c>
      <c r="F246" s="689" t="s">
        <v>719</v>
      </c>
      <c r="G246" s="687" t="s">
        <v>720</v>
      </c>
      <c r="H246" s="690" t="s">
        <v>694</v>
      </c>
    </row>
    <row r="247" spans="2:8" s="676" customFormat="1" ht="34.5">
      <c r="B247" s="686" t="s">
        <v>688</v>
      </c>
      <c r="C247" s="687" t="s">
        <v>713</v>
      </c>
      <c r="D247" s="687" t="s">
        <v>721</v>
      </c>
      <c r="E247" s="688" t="s">
        <v>722</v>
      </c>
      <c r="F247" s="689" t="s">
        <v>723</v>
      </c>
      <c r="G247" s="687" t="s">
        <v>724</v>
      </c>
      <c r="H247" s="690" t="s">
        <v>702</v>
      </c>
    </row>
    <row r="248" spans="2:8" s="676" customFormat="1" ht="34.5">
      <c r="B248" s="686" t="s">
        <v>688</v>
      </c>
      <c r="C248" s="687" t="s">
        <v>713</v>
      </c>
      <c r="D248" s="687" t="s">
        <v>721</v>
      </c>
      <c r="E248" s="688" t="s">
        <v>725</v>
      </c>
      <c r="F248" s="689" t="s">
        <v>726</v>
      </c>
      <c r="G248" s="687" t="s">
        <v>727</v>
      </c>
      <c r="H248" s="690" t="s">
        <v>702</v>
      </c>
    </row>
    <row r="249" spans="2:8" s="676" customFormat="1" ht="69">
      <c r="B249" s="686" t="s">
        <v>688</v>
      </c>
      <c r="C249" s="687" t="s">
        <v>728</v>
      </c>
      <c r="D249" s="687" t="s">
        <v>729</v>
      </c>
      <c r="E249" s="688" t="s">
        <v>730</v>
      </c>
      <c r="F249" s="689" t="s">
        <v>731</v>
      </c>
      <c r="G249" s="687" t="s">
        <v>732</v>
      </c>
      <c r="H249" s="690" t="s">
        <v>694</v>
      </c>
    </row>
    <row r="250" spans="2:8" s="676" customFormat="1" ht="69">
      <c r="B250" s="686" t="s">
        <v>688</v>
      </c>
      <c r="C250" s="687" t="s">
        <v>728</v>
      </c>
      <c r="D250" s="687" t="s">
        <v>729</v>
      </c>
      <c r="E250" s="688" t="s">
        <v>718</v>
      </c>
      <c r="F250" s="689" t="s">
        <v>733</v>
      </c>
      <c r="G250" s="687" t="s">
        <v>734</v>
      </c>
      <c r="H250" s="690" t="s">
        <v>694</v>
      </c>
    </row>
    <row r="251" spans="2:8" s="676" customFormat="1" ht="51.75">
      <c r="B251" s="686" t="s">
        <v>688</v>
      </c>
      <c r="C251" s="687" t="s">
        <v>728</v>
      </c>
      <c r="D251" s="687" t="s">
        <v>735</v>
      </c>
      <c r="E251" s="688" t="s">
        <v>736</v>
      </c>
      <c r="F251" s="689" t="s">
        <v>737</v>
      </c>
      <c r="G251" s="687" t="s">
        <v>738</v>
      </c>
      <c r="H251" s="690" t="s">
        <v>702</v>
      </c>
    </row>
    <row r="252" spans="2:8" s="676" customFormat="1" ht="51.75">
      <c r="B252" s="686" t="s">
        <v>688</v>
      </c>
      <c r="C252" s="687" t="s">
        <v>728</v>
      </c>
      <c r="D252" s="687" t="s">
        <v>735</v>
      </c>
      <c r="E252" s="688" t="s">
        <v>725</v>
      </c>
      <c r="F252" s="689" t="s">
        <v>739</v>
      </c>
      <c r="G252" s="687" t="s">
        <v>740</v>
      </c>
      <c r="H252" s="690" t="s">
        <v>702</v>
      </c>
    </row>
    <row r="253" spans="2:8" s="676" customFormat="1" ht="86.25">
      <c r="B253" s="703" t="s">
        <v>972</v>
      </c>
      <c r="C253" s="687" t="s">
        <v>972</v>
      </c>
      <c r="D253" s="687" t="s">
        <v>741</v>
      </c>
      <c r="E253" s="688" t="s">
        <v>50</v>
      </c>
      <c r="F253" s="689" t="s">
        <v>742</v>
      </c>
      <c r="G253" s="687" t="s">
        <v>743</v>
      </c>
      <c r="H253" s="690" t="s">
        <v>744</v>
      </c>
    </row>
    <row r="254" spans="2:8" s="676" customFormat="1" ht="69">
      <c r="B254" s="703" t="s">
        <v>972</v>
      </c>
      <c r="C254" s="687" t="s">
        <v>972</v>
      </c>
      <c r="D254" s="687" t="s">
        <v>741</v>
      </c>
      <c r="E254" s="688" t="s">
        <v>33</v>
      </c>
      <c r="F254" s="689" t="s">
        <v>745</v>
      </c>
      <c r="G254" s="687" t="s">
        <v>746</v>
      </c>
      <c r="H254" s="690" t="s">
        <v>744</v>
      </c>
    </row>
    <row r="255" spans="2:8" s="676" customFormat="1" ht="69">
      <c r="B255" s="703" t="s">
        <v>972</v>
      </c>
      <c r="C255" s="687" t="s">
        <v>972</v>
      </c>
      <c r="D255" s="687" t="s">
        <v>741</v>
      </c>
      <c r="E255" s="688" t="s">
        <v>747</v>
      </c>
      <c r="F255" s="689" t="s">
        <v>748</v>
      </c>
      <c r="G255" s="687" t="s">
        <v>749</v>
      </c>
      <c r="H255" s="690" t="s">
        <v>744</v>
      </c>
    </row>
    <row r="256" spans="2:8" s="676" customFormat="1" ht="34.5">
      <c r="B256" s="686" t="s">
        <v>972</v>
      </c>
      <c r="C256" s="687" t="s">
        <v>972</v>
      </c>
      <c r="D256" s="687" t="s">
        <v>741</v>
      </c>
      <c r="E256" s="688" t="s">
        <v>750</v>
      </c>
      <c r="F256" s="689" t="s">
        <v>751</v>
      </c>
      <c r="G256" s="687" t="s">
        <v>752</v>
      </c>
      <c r="H256" s="690" t="s">
        <v>428</v>
      </c>
    </row>
    <row r="257" spans="2:8" s="676" customFormat="1" ht="51.75">
      <c r="B257" s="703" t="s">
        <v>972</v>
      </c>
      <c r="C257" s="687" t="s">
        <v>972</v>
      </c>
      <c r="D257" s="687" t="s">
        <v>753</v>
      </c>
      <c r="E257" s="688" t="s">
        <v>754</v>
      </c>
      <c r="F257" s="689" t="s">
        <v>755</v>
      </c>
      <c r="G257" s="687"/>
      <c r="H257" s="690"/>
    </row>
    <row r="258" spans="2:8" s="676" customFormat="1" ht="69">
      <c r="B258" s="703" t="s">
        <v>972</v>
      </c>
      <c r="C258" s="687" t="s">
        <v>972</v>
      </c>
      <c r="D258" s="687" t="s">
        <v>753</v>
      </c>
      <c r="E258" s="688" t="s">
        <v>756</v>
      </c>
      <c r="F258" s="689" t="s">
        <v>757</v>
      </c>
      <c r="G258" s="687" t="s">
        <v>758</v>
      </c>
      <c r="H258" s="690" t="s">
        <v>759</v>
      </c>
    </row>
    <row r="259" spans="2:8" s="676" customFormat="1" ht="103.5">
      <c r="B259" s="703" t="s">
        <v>972</v>
      </c>
      <c r="C259" s="687" t="s">
        <v>972</v>
      </c>
      <c r="D259" s="687" t="s">
        <v>753</v>
      </c>
      <c r="E259" s="688" t="s">
        <v>760</v>
      </c>
      <c r="F259" s="689" t="s">
        <v>761</v>
      </c>
      <c r="G259" s="687" t="s">
        <v>762</v>
      </c>
      <c r="H259" s="690" t="s">
        <v>763</v>
      </c>
    </row>
    <row r="260" spans="2:8" s="676" customFormat="1" ht="120.75">
      <c r="B260" s="703" t="s">
        <v>972</v>
      </c>
      <c r="C260" s="687" t="s">
        <v>972</v>
      </c>
      <c r="D260" s="687" t="s">
        <v>753</v>
      </c>
      <c r="E260" s="688" t="s">
        <v>764</v>
      </c>
      <c r="F260" s="689" t="s">
        <v>765</v>
      </c>
      <c r="G260" s="687" t="s">
        <v>766</v>
      </c>
      <c r="H260" s="690" t="s">
        <v>767</v>
      </c>
    </row>
    <row r="261" spans="2:8" s="676" customFormat="1" ht="51.75">
      <c r="B261" s="686" t="s">
        <v>972</v>
      </c>
      <c r="C261" s="687" t="s">
        <v>972</v>
      </c>
      <c r="D261" s="687" t="s">
        <v>753</v>
      </c>
      <c r="E261" s="688" t="s">
        <v>768</v>
      </c>
      <c r="F261" s="689" t="s">
        <v>769</v>
      </c>
      <c r="G261" s="687" t="s">
        <v>770</v>
      </c>
      <c r="H261" s="690"/>
    </row>
    <row r="262" spans="2:8" s="676" customFormat="1" ht="86.25">
      <c r="B262" s="703" t="s">
        <v>972</v>
      </c>
      <c r="C262" s="687" t="s">
        <v>972</v>
      </c>
      <c r="D262" s="687" t="s">
        <v>771</v>
      </c>
      <c r="E262" s="688" t="s">
        <v>50</v>
      </c>
      <c r="F262" s="689" t="s">
        <v>772</v>
      </c>
      <c r="G262" s="687" t="s">
        <v>773</v>
      </c>
      <c r="H262" s="690" t="s">
        <v>744</v>
      </c>
    </row>
    <row r="263" spans="2:8" s="676" customFormat="1" ht="69">
      <c r="B263" s="703" t="s">
        <v>972</v>
      </c>
      <c r="C263" s="687" t="s">
        <v>972</v>
      </c>
      <c r="D263" s="687" t="s">
        <v>771</v>
      </c>
      <c r="E263" s="688" t="s">
        <v>33</v>
      </c>
      <c r="F263" s="689" t="s">
        <v>774</v>
      </c>
      <c r="G263" s="687" t="s">
        <v>775</v>
      </c>
      <c r="H263" s="690" t="s">
        <v>744</v>
      </c>
    </row>
    <row r="264" spans="2:8" s="676" customFormat="1" ht="69">
      <c r="B264" s="703" t="s">
        <v>972</v>
      </c>
      <c r="C264" s="687" t="s">
        <v>972</v>
      </c>
      <c r="D264" s="687" t="s">
        <v>771</v>
      </c>
      <c r="E264" s="688" t="s">
        <v>747</v>
      </c>
      <c r="F264" s="689" t="s">
        <v>776</v>
      </c>
      <c r="G264" s="687" t="s">
        <v>777</v>
      </c>
      <c r="H264" s="690" t="s">
        <v>744</v>
      </c>
    </row>
    <row r="265" spans="2:8" s="676" customFormat="1" ht="34.5">
      <c r="B265" s="703" t="s">
        <v>972</v>
      </c>
      <c r="C265" s="687" t="s">
        <v>972</v>
      </c>
      <c r="D265" s="687" t="s">
        <v>771</v>
      </c>
      <c r="E265" s="688" t="s">
        <v>750</v>
      </c>
      <c r="F265" s="689" t="s">
        <v>778</v>
      </c>
      <c r="G265" s="687" t="s">
        <v>752</v>
      </c>
      <c r="H265" s="690" t="s">
        <v>428</v>
      </c>
    </row>
    <row r="266" spans="2:8" s="676" customFormat="1" ht="51.75">
      <c r="B266" s="686" t="s">
        <v>972</v>
      </c>
      <c r="C266" s="687" t="s">
        <v>972</v>
      </c>
      <c r="D266" s="687" t="s">
        <v>779</v>
      </c>
      <c r="E266" s="688" t="s">
        <v>754</v>
      </c>
      <c r="F266" s="689" t="s">
        <v>780</v>
      </c>
      <c r="G266" s="687" t="s">
        <v>428</v>
      </c>
      <c r="H266" s="690" t="s">
        <v>428</v>
      </c>
    </row>
    <row r="267" spans="2:8" s="676" customFormat="1" ht="69">
      <c r="B267" s="703" t="s">
        <v>972</v>
      </c>
      <c r="C267" s="687" t="s">
        <v>972</v>
      </c>
      <c r="D267" s="687" t="s">
        <v>779</v>
      </c>
      <c r="E267" s="688" t="s">
        <v>756</v>
      </c>
      <c r="F267" s="689" t="s">
        <v>781</v>
      </c>
      <c r="G267" s="687" t="s">
        <v>782</v>
      </c>
      <c r="H267" s="690" t="s">
        <v>759</v>
      </c>
    </row>
    <row r="268" spans="2:8" s="676" customFormat="1" ht="103.5">
      <c r="B268" s="703" t="s">
        <v>972</v>
      </c>
      <c r="C268" s="687" t="s">
        <v>972</v>
      </c>
      <c r="D268" s="687" t="s">
        <v>779</v>
      </c>
      <c r="E268" s="688" t="s">
        <v>760</v>
      </c>
      <c r="F268" s="689" t="s">
        <v>783</v>
      </c>
      <c r="G268" s="687" t="s">
        <v>784</v>
      </c>
      <c r="H268" s="690" t="s">
        <v>763</v>
      </c>
    </row>
    <row r="269" spans="2:8" s="676" customFormat="1" ht="120.75">
      <c r="B269" s="703" t="s">
        <v>972</v>
      </c>
      <c r="C269" s="687" t="s">
        <v>972</v>
      </c>
      <c r="D269" s="687" t="s">
        <v>779</v>
      </c>
      <c r="E269" s="688" t="s">
        <v>764</v>
      </c>
      <c r="F269" s="689" t="s">
        <v>785</v>
      </c>
      <c r="G269" s="687" t="s">
        <v>786</v>
      </c>
      <c r="H269" s="690" t="s">
        <v>767</v>
      </c>
    </row>
    <row r="270" spans="2:8" s="676" customFormat="1" ht="69">
      <c r="B270" s="686" t="s">
        <v>972</v>
      </c>
      <c r="C270" s="687" t="s">
        <v>972</v>
      </c>
      <c r="D270" s="687" t="s">
        <v>779</v>
      </c>
      <c r="E270" s="688" t="s">
        <v>768</v>
      </c>
      <c r="F270" s="689" t="s">
        <v>787</v>
      </c>
      <c r="G270" s="687" t="s">
        <v>788</v>
      </c>
      <c r="H270" s="690"/>
    </row>
    <row r="271" spans="2:8" s="676" customFormat="1" ht="69">
      <c r="B271" s="703" t="s">
        <v>972</v>
      </c>
      <c r="C271" s="687" t="s">
        <v>972</v>
      </c>
      <c r="D271" s="687" t="s">
        <v>789</v>
      </c>
      <c r="E271" s="688" t="s">
        <v>50</v>
      </c>
      <c r="F271" s="689" t="s">
        <v>790</v>
      </c>
      <c r="G271" s="687" t="s">
        <v>791</v>
      </c>
      <c r="H271" s="690" t="s">
        <v>744</v>
      </c>
    </row>
    <row r="272" spans="2:8" s="676" customFormat="1" ht="69">
      <c r="B272" s="686" t="s">
        <v>972</v>
      </c>
      <c r="C272" s="687" t="s">
        <v>972</v>
      </c>
      <c r="D272" s="687" t="s">
        <v>789</v>
      </c>
      <c r="E272" s="688" t="s">
        <v>33</v>
      </c>
      <c r="F272" s="689" t="s">
        <v>792</v>
      </c>
      <c r="G272" s="687" t="s">
        <v>793</v>
      </c>
      <c r="H272" s="690" t="s">
        <v>744</v>
      </c>
    </row>
    <row r="273" spans="2:8" s="676" customFormat="1" ht="69">
      <c r="B273" s="686" t="s">
        <v>972</v>
      </c>
      <c r="C273" s="687" t="s">
        <v>972</v>
      </c>
      <c r="D273" s="687" t="s">
        <v>789</v>
      </c>
      <c r="E273" s="688" t="s">
        <v>747</v>
      </c>
      <c r="F273" s="689" t="s">
        <v>794</v>
      </c>
      <c r="G273" s="687" t="s">
        <v>795</v>
      </c>
      <c r="H273" s="690" t="s">
        <v>744</v>
      </c>
    </row>
    <row r="274" spans="2:8" s="676" customFormat="1" ht="34.5">
      <c r="B274" s="686" t="s">
        <v>972</v>
      </c>
      <c r="C274" s="687" t="s">
        <v>972</v>
      </c>
      <c r="D274" s="687" t="s">
        <v>789</v>
      </c>
      <c r="E274" s="688" t="s">
        <v>750</v>
      </c>
      <c r="F274" s="689" t="s">
        <v>796</v>
      </c>
      <c r="G274" s="687" t="s">
        <v>752</v>
      </c>
      <c r="H274" s="690"/>
    </row>
    <row r="275" spans="2:8" s="676" customFormat="1" ht="51.75">
      <c r="B275" s="686" t="s">
        <v>972</v>
      </c>
      <c r="C275" s="687" t="s">
        <v>972</v>
      </c>
      <c r="D275" s="687" t="s">
        <v>797</v>
      </c>
      <c r="E275" s="688" t="s">
        <v>754</v>
      </c>
      <c r="F275" s="689" t="s">
        <v>798</v>
      </c>
      <c r="G275" s="687" t="s">
        <v>428</v>
      </c>
      <c r="H275" s="690" t="s">
        <v>428</v>
      </c>
    </row>
    <row r="276" spans="2:8" s="676" customFormat="1" ht="69">
      <c r="B276" s="686" t="s">
        <v>972</v>
      </c>
      <c r="C276" s="687" t="s">
        <v>972</v>
      </c>
      <c r="D276" s="687" t="s">
        <v>797</v>
      </c>
      <c r="E276" s="688" t="s">
        <v>756</v>
      </c>
      <c r="F276" s="689" t="s">
        <v>799</v>
      </c>
      <c r="G276" s="687" t="s">
        <v>800</v>
      </c>
      <c r="H276" s="690" t="s">
        <v>759</v>
      </c>
    </row>
    <row r="277" spans="2:8" s="676" customFormat="1" ht="103.5">
      <c r="B277" s="686" t="s">
        <v>972</v>
      </c>
      <c r="C277" s="687" t="s">
        <v>972</v>
      </c>
      <c r="D277" s="687" t="s">
        <v>797</v>
      </c>
      <c r="E277" s="688" t="s">
        <v>760</v>
      </c>
      <c r="F277" s="689" t="s">
        <v>801</v>
      </c>
      <c r="G277" s="687" t="s">
        <v>802</v>
      </c>
      <c r="H277" s="690" t="s">
        <v>763</v>
      </c>
    </row>
    <row r="278" spans="2:8" s="676" customFormat="1" ht="120.75">
      <c r="B278" s="686" t="s">
        <v>972</v>
      </c>
      <c r="C278" s="687" t="s">
        <v>972</v>
      </c>
      <c r="D278" s="687" t="s">
        <v>797</v>
      </c>
      <c r="E278" s="688" t="s">
        <v>764</v>
      </c>
      <c r="F278" s="689" t="s">
        <v>803</v>
      </c>
      <c r="G278" s="687" t="s">
        <v>804</v>
      </c>
      <c r="H278" s="690" t="s">
        <v>767</v>
      </c>
    </row>
    <row r="279" spans="2:8" s="676" customFormat="1" ht="69">
      <c r="B279" s="686" t="s">
        <v>972</v>
      </c>
      <c r="C279" s="687" t="s">
        <v>972</v>
      </c>
      <c r="D279" s="687" t="s">
        <v>797</v>
      </c>
      <c r="E279" s="688" t="s">
        <v>768</v>
      </c>
      <c r="F279" s="689" t="s">
        <v>805</v>
      </c>
      <c r="G279" s="687" t="s">
        <v>806</v>
      </c>
      <c r="H279" s="690"/>
    </row>
    <row r="280" spans="2:8" s="676" customFormat="1" ht="51.75">
      <c r="B280" s="686" t="s">
        <v>807</v>
      </c>
      <c r="C280" s="687" t="s">
        <v>807</v>
      </c>
      <c r="D280" s="687" t="s">
        <v>808</v>
      </c>
      <c r="E280" s="688" t="s">
        <v>809</v>
      </c>
      <c r="F280" s="689" t="s">
        <v>810</v>
      </c>
      <c r="G280" s="687" t="s">
        <v>811</v>
      </c>
      <c r="H280" s="690" t="s">
        <v>812</v>
      </c>
    </row>
    <row r="281" spans="2:8" s="676" customFormat="1" ht="51.75">
      <c r="B281" s="686" t="s">
        <v>807</v>
      </c>
      <c r="C281" s="687" t="s">
        <v>807</v>
      </c>
      <c r="D281" s="688" t="s">
        <v>813</v>
      </c>
      <c r="E281" s="688" t="s">
        <v>814</v>
      </c>
      <c r="F281" s="689" t="s">
        <v>815</v>
      </c>
      <c r="G281" s="687" t="s">
        <v>816</v>
      </c>
      <c r="H281" s="690" t="s">
        <v>812</v>
      </c>
    </row>
    <row r="282" spans="2:8" s="676" customFormat="1" ht="69">
      <c r="B282" s="686" t="s">
        <v>807</v>
      </c>
      <c r="C282" s="687" t="s">
        <v>807</v>
      </c>
      <c r="D282" s="688" t="s">
        <v>817</v>
      </c>
      <c r="E282" s="688" t="s">
        <v>818</v>
      </c>
      <c r="F282" s="689" t="s">
        <v>819</v>
      </c>
      <c r="G282" s="687" t="s">
        <v>820</v>
      </c>
      <c r="H282" s="690" t="s">
        <v>812</v>
      </c>
    </row>
    <row r="283" spans="2:8" s="676" customFormat="1" ht="51.75">
      <c r="B283" s="686" t="s">
        <v>807</v>
      </c>
      <c r="C283" s="687" t="s">
        <v>807</v>
      </c>
      <c r="D283" s="687" t="s">
        <v>817</v>
      </c>
      <c r="E283" s="688" t="s">
        <v>821</v>
      </c>
      <c r="F283" s="689" t="s">
        <v>822</v>
      </c>
      <c r="G283" s="687" t="s">
        <v>823</v>
      </c>
      <c r="H283" s="690" t="s">
        <v>812</v>
      </c>
    </row>
    <row r="284" spans="2:8" s="676" customFormat="1" ht="34.5">
      <c r="B284" s="686" t="s">
        <v>807</v>
      </c>
      <c r="C284" s="687" t="s">
        <v>807</v>
      </c>
      <c r="D284" s="687" t="s">
        <v>817</v>
      </c>
      <c r="E284" s="688" t="s">
        <v>824</v>
      </c>
      <c r="F284" s="689" t="s">
        <v>825</v>
      </c>
      <c r="G284" s="687" t="s">
        <v>826</v>
      </c>
      <c r="H284" s="690" t="s">
        <v>812</v>
      </c>
    </row>
    <row r="285" spans="2:8" s="679" customFormat="1" ht="34.5">
      <c r="B285" s="686" t="s">
        <v>807</v>
      </c>
      <c r="C285" s="687" t="s">
        <v>807</v>
      </c>
      <c r="D285" s="687" t="s">
        <v>817</v>
      </c>
      <c r="E285" s="688" t="s">
        <v>827</v>
      </c>
      <c r="F285" s="689" t="s">
        <v>828</v>
      </c>
      <c r="G285" s="687" t="s">
        <v>829</v>
      </c>
      <c r="H285" s="690" t="s">
        <v>812</v>
      </c>
    </row>
    <row r="286" spans="2:8" s="679" customFormat="1" ht="34.5">
      <c r="B286" s="686" t="s">
        <v>807</v>
      </c>
      <c r="C286" s="687" t="s">
        <v>807</v>
      </c>
      <c r="D286" s="687" t="s">
        <v>817</v>
      </c>
      <c r="E286" s="688" t="s">
        <v>830</v>
      </c>
      <c r="F286" s="689" t="s">
        <v>831</v>
      </c>
      <c r="G286" s="687" t="s">
        <v>832</v>
      </c>
      <c r="H286" s="690" t="s">
        <v>812</v>
      </c>
    </row>
    <row r="287" spans="2:8" s="676" customFormat="1" ht="51.75">
      <c r="B287" s="686" t="s">
        <v>807</v>
      </c>
      <c r="C287" s="687" t="s">
        <v>807</v>
      </c>
      <c r="D287" s="687" t="s">
        <v>817</v>
      </c>
      <c r="E287" s="688" t="s">
        <v>833</v>
      </c>
      <c r="F287" s="689" t="s">
        <v>834</v>
      </c>
      <c r="G287" s="687" t="s">
        <v>835</v>
      </c>
      <c r="H287" s="690" t="s">
        <v>812</v>
      </c>
    </row>
    <row r="288" spans="2:8" s="676" customFormat="1" ht="34.5">
      <c r="B288" s="686" t="s">
        <v>807</v>
      </c>
      <c r="C288" s="687" t="s">
        <v>807</v>
      </c>
      <c r="D288" s="687" t="s">
        <v>817</v>
      </c>
      <c r="E288" s="688" t="s">
        <v>836</v>
      </c>
      <c r="F288" s="689" t="s">
        <v>837</v>
      </c>
      <c r="G288" s="687" t="s">
        <v>838</v>
      </c>
      <c r="H288" s="690" t="s">
        <v>812</v>
      </c>
    </row>
    <row r="289" spans="2:8" s="676" customFormat="1" ht="69">
      <c r="B289" s="686" t="s">
        <v>807</v>
      </c>
      <c r="C289" s="687" t="s">
        <v>807</v>
      </c>
      <c r="D289" s="687" t="s">
        <v>817</v>
      </c>
      <c r="E289" s="688" t="s">
        <v>839</v>
      </c>
      <c r="F289" s="689" t="s">
        <v>840</v>
      </c>
      <c r="G289" s="687" t="s">
        <v>841</v>
      </c>
      <c r="H289" s="690" t="s">
        <v>812</v>
      </c>
    </row>
    <row r="290" spans="2:8" s="679" customFormat="1" ht="69">
      <c r="B290" s="686" t="s">
        <v>807</v>
      </c>
      <c r="C290" s="687" t="s">
        <v>807</v>
      </c>
      <c r="D290" s="687" t="s">
        <v>817</v>
      </c>
      <c r="E290" s="688" t="s">
        <v>842</v>
      </c>
      <c r="F290" s="689" t="s">
        <v>843</v>
      </c>
      <c r="G290" s="687" t="s">
        <v>844</v>
      </c>
      <c r="H290" s="690" t="s">
        <v>812</v>
      </c>
    </row>
    <row r="291" spans="2:8" s="679" customFormat="1" ht="34.5">
      <c r="B291" s="686" t="s">
        <v>807</v>
      </c>
      <c r="C291" s="687" t="s">
        <v>807</v>
      </c>
      <c r="D291" s="687" t="s">
        <v>817</v>
      </c>
      <c r="E291" s="688" t="s">
        <v>845</v>
      </c>
      <c r="F291" s="689" t="s">
        <v>846</v>
      </c>
      <c r="G291" s="687" t="s">
        <v>847</v>
      </c>
      <c r="H291" s="690" t="s">
        <v>812</v>
      </c>
    </row>
    <row r="292" spans="2:8" s="679" customFormat="1" ht="34.5">
      <c r="B292" s="686" t="s">
        <v>807</v>
      </c>
      <c r="C292" s="687" t="s">
        <v>807</v>
      </c>
      <c r="D292" s="687" t="s">
        <v>817</v>
      </c>
      <c r="E292" s="688" t="s">
        <v>848</v>
      </c>
      <c r="F292" s="689" t="s">
        <v>849</v>
      </c>
      <c r="G292" s="687" t="s">
        <v>850</v>
      </c>
      <c r="H292" s="690" t="s">
        <v>812</v>
      </c>
    </row>
    <row r="293" spans="2:8" s="679" customFormat="1" ht="34.5">
      <c r="B293" s="686" t="s">
        <v>807</v>
      </c>
      <c r="C293" s="687" t="s">
        <v>807</v>
      </c>
      <c r="D293" s="687" t="s">
        <v>817</v>
      </c>
      <c r="E293" s="688" t="s">
        <v>851</v>
      </c>
      <c r="F293" s="689" t="s">
        <v>852</v>
      </c>
      <c r="G293" s="687" t="s">
        <v>853</v>
      </c>
      <c r="H293" s="690" t="s">
        <v>812</v>
      </c>
    </row>
    <row r="294" spans="2:8" s="679" customFormat="1" ht="34.5">
      <c r="B294" s="686" t="s">
        <v>807</v>
      </c>
      <c r="C294" s="687" t="s">
        <v>807</v>
      </c>
      <c r="D294" s="687" t="s">
        <v>817</v>
      </c>
      <c r="E294" s="688" t="s">
        <v>854</v>
      </c>
      <c r="F294" s="689" t="s">
        <v>855</v>
      </c>
      <c r="G294" s="687" t="s">
        <v>856</v>
      </c>
      <c r="H294" s="690" t="s">
        <v>812</v>
      </c>
    </row>
    <row r="295" spans="2:8" s="679" customFormat="1" ht="34.5">
      <c r="B295" s="692" t="s">
        <v>807</v>
      </c>
      <c r="C295" s="693" t="s">
        <v>807</v>
      </c>
      <c r="D295" s="693" t="s">
        <v>817</v>
      </c>
      <c r="E295" s="694" t="s">
        <v>854</v>
      </c>
      <c r="F295" s="695" t="s">
        <v>855</v>
      </c>
      <c r="G295" s="693" t="s">
        <v>856</v>
      </c>
      <c r="H295" s="696" t="s">
        <v>857</v>
      </c>
    </row>
    <row r="297" spans="2:8" ht="11.45" customHeight="1"/>
    <row r="298" spans="2:8" ht="24.95" customHeight="1">
      <c r="B298" s="815" t="s">
        <v>974</v>
      </c>
      <c r="C298" s="815"/>
      <c r="D298" s="815"/>
    </row>
    <row r="299" spans="2:8" ht="15.75" thickBot="1">
      <c r="B299" s="704"/>
      <c r="D299" s="705"/>
    </row>
    <row r="300" spans="2:8">
      <c r="B300" s="811" t="s">
        <v>858</v>
      </c>
      <c r="C300" s="813" t="s">
        <v>859</v>
      </c>
      <c r="D300" s="814" t="s">
        <v>860</v>
      </c>
    </row>
    <row r="301" spans="2:8" ht="41.1" customHeight="1" thickBot="1">
      <c r="B301" s="812"/>
      <c r="C301" s="813"/>
      <c r="D301" s="814"/>
    </row>
    <row r="302" spans="2:8" ht="19.5">
      <c r="B302" s="697" t="s">
        <v>861</v>
      </c>
      <c r="C302" s="698" t="s">
        <v>862</v>
      </c>
      <c r="D302" s="698" t="s">
        <v>863</v>
      </c>
    </row>
    <row r="303" spans="2:8" ht="19.5">
      <c r="B303" s="699" t="s">
        <v>864</v>
      </c>
      <c r="C303" s="700" t="s">
        <v>865</v>
      </c>
      <c r="D303" s="700" t="s">
        <v>866</v>
      </c>
    </row>
    <row r="304" spans="2:8" ht="19.5">
      <c r="B304" s="699" t="s">
        <v>867</v>
      </c>
      <c r="C304" s="700" t="s">
        <v>868</v>
      </c>
      <c r="D304" s="700" t="s">
        <v>869</v>
      </c>
    </row>
    <row r="305" spans="2:4" ht="19.5">
      <c r="B305" s="699" t="s">
        <v>870</v>
      </c>
      <c r="C305" s="700" t="s">
        <v>861</v>
      </c>
      <c r="D305" s="700" t="s">
        <v>862</v>
      </c>
    </row>
    <row r="306" spans="2:4" ht="19.5">
      <c r="B306" s="699" t="s">
        <v>871</v>
      </c>
      <c r="C306" s="700" t="s">
        <v>864</v>
      </c>
      <c r="D306" s="700" t="s">
        <v>865</v>
      </c>
    </row>
    <row r="307" spans="2:4" ht="19.5">
      <c r="B307" s="699" t="s">
        <v>872</v>
      </c>
      <c r="C307" s="700" t="s">
        <v>867</v>
      </c>
      <c r="D307" s="700" t="s">
        <v>868</v>
      </c>
    </row>
    <row r="308" spans="2:4" ht="19.5">
      <c r="B308" s="699" t="s">
        <v>863</v>
      </c>
      <c r="C308" s="700" t="s">
        <v>870</v>
      </c>
      <c r="D308" s="700" t="s">
        <v>861</v>
      </c>
    </row>
    <row r="309" spans="2:4" ht="19.5">
      <c r="B309" s="699" t="s">
        <v>866</v>
      </c>
      <c r="C309" s="700" t="s">
        <v>871</v>
      </c>
      <c r="D309" s="700" t="s">
        <v>864</v>
      </c>
    </row>
    <row r="310" spans="2:4" ht="19.5">
      <c r="B310" s="699" t="s">
        <v>869</v>
      </c>
      <c r="C310" s="700" t="s">
        <v>872</v>
      </c>
      <c r="D310" s="700" t="s">
        <v>867</v>
      </c>
    </row>
    <row r="311" spans="2:4" ht="19.5">
      <c r="B311" s="699" t="s">
        <v>862</v>
      </c>
      <c r="C311" s="700" t="s">
        <v>863</v>
      </c>
      <c r="D311" s="700" t="s">
        <v>870</v>
      </c>
    </row>
    <row r="312" spans="2:4" ht="19.5">
      <c r="B312" s="699" t="s">
        <v>865</v>
      </c>
      <c r="C312" s="700" t="s">
        <v>866</v>
      </c>
      <c r="D312" s="700" t="s">
        <v>871</v>
      </c>
    </row>
    <row r="313" spans="2:4" ht="19.5">
      <c r="B313" s="699" t="s">
        <v>868</v>
      </c>
      <c r="C313" s="700" t="s">
        <v>869</v>
      </c>
      <c r="D313" s="700" t="s">
        <v>872</v>
      </c>
    </row>
  </sheetData>
  <autoFilter ref="A3:H295" xr:uid="{00000000-0009-0000-0000-000000000000}"/>
  <mergeCells count="5">
    <mergeCell ref="B2:H2"/>
    <mergeCell ref="B300:B301"/>
    <mergeCell ref="C300:C301"/>
    <mergeCell ref="D300:D301"/>
    <mergeCell ref="B298:D298"/>
  </mergeCells>
  <conditionalFormatting sqref="E105">
    <cfRule type="cellIs" dxfId="1317" priority="1052" operator="equal">
      <formula>0</formula>
    </cfRule>
  </conditionalFormatting>
  <conditionalFormatting sqref="E144:E145">
    <cfRule type="cellIs" dxfId="1316" priority="1093" operator="equal">
      <formula>0</formula>
    </cfRule>
  </conditionalFormatting>
  <conditionalFormatting sqref="E169">
    <cfRule type="cellIs" dxfId="1315" priority="1076" operator="equal">
      <formula>0</formula>
    </cfRule>
  </conditionalFormatting>
  <conditionalFormatting sqref="E186">
    <cfRule type="cellIs" dxfId="1314" priority="1064" operator="equal">
      <formula>0</formula>
    </cfRule>
  </conditionalFormatting>
  <conditionalFormatting sqref="E188">
    <cfRule type="cellIs" dxfId="1313" priority="1063" operator="equal">
      <formula>0</formula>
    </cfRule>
  </conditionalFormatting>
  <conditionalFormatting sqref="E194">
    <cfRule type="cellIs" dxfId="1312" priority="1057" operator="equal">
      <formula>0</formula>
    </cfRule>
  </conditionalFormatting>
  <conditionalFormatting sqref="E197:E239">
    <cfRule type="cellIs" dxfId="1311" priority="1094" operator="equal">
      <formula>0</formula>
    </cfRule>
  </conditionalFormatting>
  <conditionalFormatting sqref="F4:F139 F144:F161 F167:F221 F223:F275">
    <cfRule type="duplicateValues" dxfId="1310" priority="5635"/>
  </conditionalFormatting>
  <conditionalFormatting sqref="F67">
    <cfRule type="duplicateValues" dxfId="1309" priority="280"/>
  </conditionalFormatting>
  <conditionalFormatting sqref="F68:F73">
    <cfRule type="duplicateValues" dxfId="1308" priority="245"/>
  </conditionalFormatting>
  <conditionalFormatting sqref="F77:F79">
    <cfRule type="duplicateValues" dxfId="1307" priority="211"/>
  </conditionalFormatting>
  <conditionalFormatting sqref="F80:F82">
    <cfRule type="duplicateValues" dxfId="1306" priority="209"/>
  </conditionalFormatting>
  <conditionalFormatting sqref="F83:F88">
    <cfRule type="duplicateValues" dxfId="1305" priority="247"/>
  </conditionalFormatting>
  <conditionalFormatting sqref="F90:F94">
    <cfRule type="duplicateValues" dxfId="1304" priority="208"/>
  </conditionalFormatting>
  <conditionalFormatting sqref="F140:F143">
    <cfRule type="duplicateValues" dxfId="1303" priority="88"/>
  </conditionalFormatting>
  <conditionalFormatting sqref="F162">
    <cfRule type="duplicateValues" dxfId="1302" priority="19"/>
  </conditionalFormatting>
  <conditionalFormatting sqref="F163:F166">
    <cfRule type="duplicateValues" dxfId="1301" priority="40"/>
  </conditionalFormatting>
  <conditionalFormatting sqref="F242:F245">
    <cfRule type="duplicateValues" dxfId="1300" priority="5582"/>
  </conditionalFormatting>
  <conditionalFormatting sqref="F246:F247">
    <cfRule type="duplicateValues" dxfId="1299" priority="192"/>
  </conditionalFormatting>
  <conditionalFormatting sqref="F250:F251">
    <cfRule type="duplicateValues" dxfId="1298" priority="189"/>
  </conditionalFormatting>
  <conditionalFormatting sqref="F252:F275 F4:F139 F248:F249 F144:F161 F167:F221 F223:F245">
    <cfRule type="duplicateValues" dxfId="1297" priority="5628"/>
  </conditionalFormatting>
  <conditionalFormatting sqref="F252:F275 F89 F4:F66 F74:F76 F95:F139 F248:F249 F144:F161 F167:F221 F223:F241">
    <cfRule type="duplicateValues" dxfId="1296" priority="5608"/>
  </conditionalFormatting>
  <conditionalFormatting sqref="F252:F275 F89 F4:F67 F74:F76 F95:F139 F248:F249 F144:F161 F167:F221 F223:F241">
    <cfRule type="duplicateValues" dxfId="1295" priority="5618"/>
  </conditionalFormatting>
  <conditionalFormatting sqref="F276:F280">
    <cfRule type="duplicateValues" dxfId="1294" priority="141"/>
  </conditionalFormatting>
  <conditionalFormatting sqref="F281:F295">
    <cfRule type="duplicateValues" dxfId="1293" priority="13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92"/>
  <sheetViews>
    <sheetView showGridLines="0" tabSelected="1" showRuler="0" zoomScale="60" zoomScaleNormal="60" zoomScaleSheetLayoutView="68" zoomScalePageLayoutView="21" workbookViewId="0">
      <pane xSplit="3" ySplit="7" topLeftCell="D131" activePane="bottomRight" state="frozen"/>
      <selection pane="topRight"/>
      <selection pane="bottomLeft"/>
      <selection pane="bottomRight" activeCell="Q140" sqref="Q140"/>
    </sheetView>
  </sheetViews>
  <sheetFormatPr defaultColWidth="9.140625" defaultRowHeight="30.75"/>
  <cols>
    <col min="1" max="1" width="57.85546875" style="11" customWidth="1"/>
    <col min="2" max="2" width="96" style="12" customWidth="1"/>
    <col min="3" max="3" width="16.28515625" style="6" customWidth="1"/>
    <col min="4" max="4" width="9" style="6" customWidth="1"/>
    <col min="5" max="5" width="8.140625" style="6" customWidth="1"/>
    <col min="6" max="23" width="7.5703125" style="6" customWidth="1"/>
    <col min="24" max="24" width="9.140625" style="6" customWidth="1"/>
    <col min="25" max="26" width="8.85546875" style="6" customWidth="1"/>
    <col min="27" max="35" width="9.140625" style="6" customWidth="1"/>
    <col min="36" max="36" width="14.7109375" style="6" bestFit="1" customWidth="1"/>
    <col min="37" max="37" width="11.85546875" style="6" hidden="1" customWidth="1"/>
    <col min="38" max="38" width="32.140625" style="8" bestFit="1" customWidth="1"/>
    <col min="39" max="39" width="52.42578125" style="6" hidden="1" customWidth="1"/>
    <col min="40" max="40" width="52.42578125" style="6" bestFit="1" customWidth="1"/>
    <col min="41" max="41" width="9.140625" style="13"/>
    <col min="42" max="42" width="9.140625" style="6"/>
    <col min="43" max="43" width="24.140625" style="14" customWidth="1"/>
    <col min="44" max="44" width="35.42578125" style="14" customWidth="1"/>
    <col min="45" max="45" width="32" style="14" customWidth="1"/>
    <col min="46" max="16384" width="9.140625" style="6"/>
  </cols>
  <sheetData>
    <row r="1" spans="1:45" s="1" customFormat="1" ht="39" hidden="1" customHeight="1">
      <c r="A1" s="15" t="s">
        <v>873</v>
      </c>
      <c r="B1" s="1040" t="s">
        <v>874</v>
      </c>
      <c r="C1" s="1041"/>
      <c r="D1" s="1042" t="s">
        <v>875</v>
      </c>
      <c r="E1" s="1043"/>
      <c r="F1" s="1044" t="s">
        <v>876</v>
      </c>
      <c r="G1" s="1045"/>
      <c r="H1" s="1042" t="s">
        <v>877</v>
      </c>
      <c r="I1" s="1046"/>
      <c r="J1" s="1043"/>
      <c r="K1" s="1044" t="s">
        <v>878</v>
      </c>
      <c r="L1" s="1047"/>
      <c r="M1" s="1047"/>
      <c r="N1" s="1047"/>
      <c r="O1" s="1047"/>
      <c r="P1" s="1047"/>
      <c r="Q1" s="1045"/>
      <c r="R1" s="1042" t="s">
        <v>879</v>
      </c>
      <c r="S1" s="1043"/>
      <c r="T1" s="1044" t="s">
        <v>880</v>
      </c>
      <c r="U1" s="1047"/>
      <c r="V1" s="1045"/>
      <c r="W1" s="1042" t="s">
        <v>881</v>
      </c>
      <c r="X1" s="1043"/>
      <c r="Y1" s="80" t="s">
        <v>882</v>
      </c>
      <c r="Z1" s="81" t="s">
        <v>883</v>
      </c>
      <c r="AA1" s="1044">
        <v>2020</v>
      </c>
      <c r="AB1" s="1047"/>
      <c r="AC1" s="1047"/>
      <c r="AD1" s="1047"/>
      <c r="AE1" s="1047"/>
      <c r="AF1" s="1047"/>
      <c r="AG1" s="1047"/>
      <c r="AH1" s="1047"/>
      <c r="AI1" s="1047"/>
      <c r="AJ1" s="1045"/>
      <c r="AK1" s="1025" t="s">
        <v>884</v>
      </c>
      <c r="AL1" s="1026"/>
      <c r="AM1" s="1026"/>
      <c r="AN1" s="1026"/>
      <c r="AO1" s="919"/>
      <c r="AQ1" s="129"/>
      <c r="AR1" s="129"/>
      <c r="AS1" s="129"/>
    </row>
    <row r="2" spans="1:45" s="2" customFormat="1" ht="75.75" customHeight="1" thickBot="1">
      <c r="A2" s="16"/>
      <c r="B2" s="17" t="str">
        <f>IF(LEN(A341)&gt;1,"This form has data Errors. Please correct before submitting","")</f>
        <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08"/>
      <c r="AO2" s="919"/>
      <c r="AQ2" s="130"/>
      <c r="AR2" s="130"/>
      <c r="AS2" s="130"/>
    </row>
    <row r="3" spans="1:45" s="3" customFormat="1" ht="57.4" customHeight="1" thickBot="1">
      <c r="A3" s="1027" t="str">
        <f>CONCATENATE(R1,":  ",T1,"                            ",H1,":   ",K1,"                            ",A1,":   ",B1,"                            ",D1,":   ",F1,"                            Reporting Year:   ",AA1,"              Reporting Month:   ",Y1)</f>
        <v>County:  Laikipia                            Sub County:   Laikipia East                            Health Facility:   Likii Dispensary                            MFL Code:   15035                            Reporting Year:   2020              Reporting Month:   02</v>
      </c>
      <c r="B3" s="1028"/>
      <c r="C3" s="1028"/>
      <c r="D3" s="1028"/>
      <c r="E3" s="1028"/>
      <c r="F3" s="1028"/>
      <c r="G3" s="1028"/>
      <c r="H3" s="1028"/>
      <c r="I3" s="1028"/>
      <c r="J3" s="1028"/>
      <c r="K3" s="1028"/>
      <c r="L3" s="1028"/>
      <c r="M3" s="1028"/>
      <c r="N3" s="1028"/>
      <c r="O3" s="1028"/>
      <c r="P3" s="1028"/>
      <c r="Q3" s="1028"/>
      <c r="R3" s="1028"/>
      <c r="S3" s="1028"/>
      <c r="T3" s="1028"/>
      <c r="U3" s="1028"/>
      <c r="V3" s="1028"/>
      <c r="W3" s="1028"/>
      <c r="X3" s="1028"/>
      <c r="Y3" s="1028"/>
      <c r="Z3" s="1028"/>
      <c r="AA3" s="1028"/>
      <c r="AB3" s="1028"/>
      <c r="AC3" s="1028"/>
      <c r="AD3" s="1028"/>
      <c r="AE3" s="1028"/>
      <c r="AF3" s="1028"/>
      <c r="AG3" s="1028"/>
      <c r="AH3" s="1028"/>
      <c r="AI3" s="1028"/>
      <c r="AJ3" s="1028"/>
      <c r="AK3" s="1028"/>
      <c r="AL3" s="1028"/>
      <c r="AM3" s="1028"/>
      <c r="AN3" s="1029"/>
      <c r="AO3" s="919"/>
      <c r="AQ3" s="131"/>
      <c r="AR3" s="131"/>
      <c r="AS3" s="131"/>
    </row>
    <row r="4" spans="1:45" s="4" customFormat="1">
      <c r="A4" s="1030" t="s">
        <v>885</v>
      </c>
      <c r="B4" s="1031"/>
      <c r="C4" s="1031"/>
      <c r="D4" s="1032" t="s">
        <v>886</v>
      </c>
      <c r="E4" s="1032"/>
      <c r="F4" s="1032"/>
      <c r="G4" s="1032"/>
      <c r="H4" s="1032"/>
      <c r="I4" s="1032"/>
      <c r="J4" s="1032"/>
      <c r="K4" s="1032"/>
      <c r="L4" s="1032"/>
      <c r="M4" s="1032"/>
      <c r="N4" s="1032"/>
      <c r="O4" s="1032"/>
      <c r="P4" s="1032"/>
      <c r="Q4" s="1032"/>
      <c r="R4" s="1032"/>
      <c r="S4" s="1032"/>
      <c r="T4" s="1032"/>
      <c r="U4" s="1032"/>
      <c r="V4" s="1032"/>
      <c r="W4" s="1033" t="s">
        <v>887</v>
      </c>
      <c r="X4" s="1034"/>
      <c r="Y4" s="1034"/>
      <c r="Z4" s="1034"/>
      <c r="AA4" s="1034"/>
      <c r="AB4" s="1034"/>
      <c r="AC4" s="1034"/>
      <c r="AD4" s="1034"/>
      <c r="AE4" s="1034"/>
      <c r="AF4" s="1034"/>
      <c r="AG4" s="1034"/>
      <c r="AH4" s="1034"/>
      <c r="AI4" s="1034"/>
      <c r="AJ4" s="1034"/>
      <c r="AK4" s="1034"/>
      <c r="AL4" s="1034"/>
      <c r="AM4" s="1034"/>
      <c r="AN4" s="1035"/>
      <c r="AO4" s="919"/>
      <c r="AQ4" s="131"/>
      <c r="AR4" s="131"/>
      <c r="AS4" s="131"/>
    </row>
    <row r="5" spans="1:45" ht="42" customHeight="1">
      <c r="A5" s="1036" t="s">
        <v>8</v>
      </c>
      <c r="B5" s="1037"/>
      <c r="C5" s="1037"/>
      <c r="D5" s="1037"/>
      <c r="E5" s="1037"/>
      <c r="F5" s="1037"/>
      <c r="G5" s="1037"/>
      <c r="H5" s="1037"/>
      <c r="I5" s="1037"/>
      <c r="J5" s="1037"/>
      <c r="K5" s="1037"/>
      <c r="L5" s="1037"/>
      <c r="M5" s="1037"/>
      <c r="N5" s="1037"/>
      <c r="O5" s="1037"/>
      <c r="P5" s="1037"/>
      <c r="Q5" s="1037"/>
      <c r="R5" s="1037"/>
      <c r="S5" s="1037"/>
      <c r="T5" s="1037"/>
      <c r="U5" s="1037"/>
      <c r="V5" s="1037"/>
      <c r="W5" s="1037"/>
      <c r="X5" s="1037"/>
      <c r="Y5" s="1037"/>
      <c r="Z5" s="1037"/>
      <c r="AA5" s="1037"/>
      <c r="AB5" s="1037"/>
      <c r="AC5" s="1037"/>
      <c r="AD5" s="1037"/>
      <c r="AE5" s="1037"/>
      <c r="AF5" s="1037"/>
      <c r="AG5" s="1037"/>
      <c r="AH5" s="1037"/>
      <c r="AI5" s="1037"/>
      <c r="AJ5" s="1037"/>
      <c r="AK5" s="1037"/>
      <c r="AL5" s="1037"/>
      <c r="AM5" s="1037"/>
      <c r="AN5" s="1038"/>
      <c r="AO5" s="919"/>
    </row>
    <row r="6" spans="1:45" s="5" customFormat="1" ht="33" customHeight="1">
      <c r="A6" s="979" t="s">
        <v>3</v>
      </c>
      <c r="B6" s="977" t="s">
        <v>4</v>
      </c>
      <c r="C6" s="892" t="s">
        <v>5</v>
      </c>
      <c r="D6" s="1010" t="s">
        <v>888</v>
      </c>
      <c r="E6" s="1010"/>
      <c r="F6" s="1010" t="s">
        <v>889</v>
      </c>
      <c r="G6" s="1010"/>
      <c r="H6" s="1010" t="s">
        <v>890</v>
      </c>
      <c r="I6" s="1010"/>
      <c r="J6" s="1010" t="s">
        <v>891</v>
      </c>
      <c r="K6" s="1010"/>
      <c r="L6" s="1010" t="s">
        <v>892</v>
      </c>
      <c r="M6" s="1010"/>
      <c r="N6" s="1010" t="s">
        <v>893</v>
      </c>
      <c r="O6" s="1010"/>
      <c r="P6" s="1010" t="s">
        <v>894</v>
      </c>
      <c r="Q6" s="1010"/>
      <c r="R6" s="1010" t="s">
        <v>895</v>
      </c>
      <c r="S6" s="1010"/>
      <c r="T6" s="1010" t="s">
        <v>896</v>
      </c>
      <c r="U6" s="1010"/>
      <c r="V6" s="1010" t="s">
        <v>897</v>
      </c>
      <c r="W6" s="1010"/>
      <c r="X6" s="1010" t="s">
        <v>898</v>
      </c>
      <c r="Y6" s="1010"/>
      <c r="Z6" s="1010" t="s">
        <v>899</v>
      </c>
      <c r="AA6" s="1010"/>
      <c r="AB6" s="845" t="s">
        <v>900</v>
      </c>
      <c r="AC6" s="846"/>
      <c r="AD6" s="845" t="s">
        <v>901</v>
      </c>
      <c r="AE6" s="846"/>
      <c r="AF6" s="845" t="s">
        <v>902</v>
      </c>
      <c r="AG6" s="846"/>
      <c r="AH6" s="845" t="s">
        <v>903</v>
      </c>
      <c r="AI6" s="846"/>
      <c r="AJ6" s="967" t="s">
        <v>904</v>
      </c>
      <c r="AK6" s="850" t="s">
        <v>905</v>
      </c>
      <c r="AL6" s="925" t="s">
        <v>906</v>
      </c>
      <c r="AM6" s="932" t="s">
        <v>907</v>
      </c>
      <c r="AN6" s="926" t="s">
        <v>907</v>
      </c>
      <c r="AO6" s="919"/>
      <c r="AQ6" s="132"/>
      <c r="AR6" s="132"/>
      <c r="AS6" s="132"/>
    </row>
    <row r="7" spans="1:45" s="5" customFormat="1" ht="33" customHeight="1" thickBot="1">
      <c r="A7" s="945"/>
      <c r="B7" s="978"/>
      <c r="C7" s="1003"/>
      <c r="D7" s="20" t="s">
        <v>908</v>
      </c>
      <c r="E7" s="20" t="s">
        <v>909</v>
      </c>
      <c r="F7" s="82" t="s">
        <v>908</v>
      </c>
      <c r="G7" s="82" t="s">
        <v>909</v>
      </c>
      <c r="H7" s="82" t="s">
        <v>908</v>
      </c>
      <c r="I7" s="82" t="s">
        <v>909</v>
      </c>
      <c r="J7" s="82" t="s">
        <v>908</v>
      </c>
      <c r="K7" s="82" t="s">
        <v>909</v>
      </c>
      <c r="L7" s="82" t="s">
        <v>908</v>
      </c>
      <c r="M7" s="82" t="s">
        <v>909</v>
      </c>
      <c r="N7" s="82" t="s">
        <v>908</v>
      </c>
      <c r="O7" s="82" t="s">
        <v>909</v>
      </c>
      <c r="P7" s="82" t="s">
        <v>908</v>
      </c>
      <c r="Q7" s="82" t="s">
        <v>909</v>
      </c>
      <c r="R7" s="82" t="s">
        <v>908</v>
      </c>
      <c r="S7" s="82" t="s">
        <v>909</v>
      </c>
      <c r="T7" s="82" t="s">
        <v>908</v>
      </c>
      <c r="U7" s="82" t="s">
        <v>909</v>
      </c>
      <c r="V7" s="82" t="s">
        <v>908</v>
      </c>
      <c r="W7" s="82" t="s">
        <v>909</v>
      </c>
      <c r="X7" s="82" t="s">
        <v>908</v>
      </c>
      <c r="Y7" s="82" t="s">
        <v>909</v>
      </c>
      <c r="Z7" s="82" t="s">
        <v>908</v>
      </c>
      <c r="AA7" s="82" t="s">
        <v>909</v>
      </c>
      <c r="AB7" s="82" t="s">
        <v>908</v>
      </c>
      <c r="AC7" s="82" t="s">
        <v>909</v>
      </c>
      <c r="AD7" s="82" t="s">
        <v>908</v>
      </c>
      <c r="AE7" s="82" t="s">
        <v>909</v>
      </c>
      <c r="AF7" s="82" t="s">
        <v>908</v>
      </c>
      <c r="AG7" s="82" t="s">
        <v>909</v>
      </c>
      <c r="AH7" s="82" t="s">
        <v>908</v>
      </c>
      <c r="AI7" s="82" t="s">
        <v>909</v>
      </c>
      <c r="AJ7" s="968"/>
      <c r="AK7" s="1039"/>
      <c r="AL7" s="912"/>
      <c r="AM7" s="933"/>
      <c r="AN7" s="927"/>
      <c r="AO7" s="919"/>
      <c r="AQ7" s="132"/>
      <c r="AR7" s="132"/>
      <c r="AS7" s="132"/>
    </row>
    <row r="8" spans="1:45">
      <c r="A8" s="894" t="s">
        <v>910</v>
      </c>
      <c r="B8" s="22" t="s">
        <v>10</v>
      </c>
      <c r="C8" s="18" t="s">
        <v>11</v>
      </c>
      <c r="D8" s="23"/>
      <c r="E8" s="64"/>
      <c r="F8" s="795"/>
      <c r="G8" s="796"/>
      <c r="H8" s="796"/>
      <c r="I8" s="797"/>
      <c r="J8" s="796"/>
      <c r="K8" s="796"/>
      <c r="L8" s="796"/>
      <c r="M8" s="796"/>
      <c r="N8" s="796"/>
      <c r="O8" s="796"/>
      <c r="P8" s="796"/>
      <c r="Q8" s="796"/>
      <c r="R8" s="796"/>
      <c r="S8" s="796"/>
      <c r="T8" s="796"/>
      <c r="U8" s="796"/>
      <c r="V8" s="796"/>
      <c r="W8" s="796"/>
      <c r="X8" s="796"/>
      <c r="Y8" s="798"/>
      <c r="Z8" s="84">
        <f t="shared" ref="Z8:AA11" si="0">SUM(AB8,AD8,AF8,AH8)</f>
        <v>0</v>
      </c>
      <c r="AA8" s="85">
        <f t="shared" si="0"/>
        <v>0</v>
      </c>
      <c r="AB8" s="86"/>
      <c r="AC8" s="83"/>
      <c r="AD8" s="25"/>
      <c r="AE8" s="83"/>
      <c r="AF8" s="25"/>
      <c r="AG8" s="83"/>
      <c r="AH8" s="25"/>
      <c r="AI8" s="83"/>
      <c r="AJ8" s="109">
        <f t="shared" ref="AJ8" si="1">SUM(D8:AA8)</f>
        <v>0</v>
      </c>
      <c r="AK8" s="847" t="str">
        <f>CONCATENATE(IF(D9&gt;D8," * F01-02 "&amp;$D$6&amp;" "&amp;$D$7&amp;" is more than F01-01"&amp;CHAR(10),""),IF(E9&gt;E8," * F01-02 "&amp;$D$6&amp;" "&amp;$E$7&amp;" is more than F01-01"&amp;CHAR(10),""),IF(F9&gt;F8," * F01-02 "&amp;$F$6&amp;" "&amp;$F$7&amp;" is more than F01-01"&amp;CHAR(10),""),IF(G9&gt;G8," * F01-02 "&amp;$F$6&amp;" "&amp;$G$7&amp;" is more than F01-01"&amp;CHAR(10),""),IF(H9&gt;H8," * F01-02 "&amp;$H$6&amp;" "&amp;$H$7&amp;" is more than F01-01"&amp;CHAR(10),""),IF(I9&gt;I8," * F01-02 "&amp;$H$6&amp;" "&amp;$I$7&amp;" is more than F01-01"&amp;CHAR(10),""),IF(J9&gt;J8," * F01-02 "&amp;$J$6&amp;" "&amp;$J$7&amp;" is more than F01-01"&amp;CHAR(10),""),IF(K9&gt;K8," * F01-02 "&amp;$J$6&amp;" "&amp;$K$7&amp;" is more than F01-01"&amp;CHAR(10),""),IF(L9&gt;L8," * F01-02 "&amp;$L$6&amp;" "&amp;$L$7&amp;" is more than F01-01"&amp;CHAR(10),""),IF(M9&gt;M8," * F01-02 "&amp;$L$6&amp;" "&amp;$M$7&amp;" is more than F01-01"&amp;CHAR(10),""),IF(N9&gt;N8," * F01-02 "&amp;$N$6&amp;" "&amp;$N$7&amp;" is more than F01-01"&amp;CHAR(10),""),IF(O9&gt;O8," * F01-02 "&amp;$N$6&amp;" "&amp;$O$7&amp;" is more than F01-01"&amp;CHAR(10),""),IF(P9&gt;P8," * F01-02 "&amp;$P$6&amp;" "&amp;$P$7&amp;" is more than F01-01"&amp;CHAR(10),""),IF(Q9&gt;Q8," * F01-02 "&amp;$P$6&amp;" "&amp;$Q$7&amp;" is more than F01-01"&amp;CHAR(10),""),IF(R9&gt;R8," * F01-02 "&amp;$R$6&amp;" "&amp;$R$7&amp;" is more than F01-01"&amp;CHAR(10),""),IF(S9&gt;S8," * F01-02 "&amp;$R$6&amp;" "&amp;$S$7&amp;" is more than F01-01"&amp;CHAR(10),""),IF(T9&gt;T8," * F01-02 "&amp;$T$6&amp;" "&amp;$T$7&amp;" is more than F01-01"&amp;CHAR(10),""),IF(U9&gt;U8," * F01-02 "&amp;$T$6&amp;" "&amp;$U$7&amp;" is more than F01-01"&amp;CHAR(10),""),IF(V9&gt;V8," * F01-02 "&amp;$V$6&amp;" "&amp;$V$7&amp;" is more than F01-01"&amp;CHAR(10),""),IF(W9&gt;W8," * F01-02 "&amp;$V$6&amp;" "&amp;$W$7&amp;" is more than F01-01"&amp;CHAR(10),""),IF(X9&gt;X8," * F01-02 "&amp;$X$6&amp;" "&amp;$X$7&amp;" is more than F01-01"&amp;CHAR(10),""),IF(Y9&gt;Y8," * F01-02 "&amp;$X$6&amp;" "&amp;$Y$7&amp;" is more than F01-01"&amp;CHAR(10),""),IF(Z9&gt;Z8," * F01-02 "&amp;$Z$6&amp;" "&amp;$Z$7&amp;" is more than F01-01"&amp;CHAR(10),""),IF(AA9&gt;AA8," * F01-02 "&amp;$Z$6&amp;" "&amp;$AA$7&amp;" is more than F01-01"&amp;CHAR(10),""))</f>
        <v/>
      </c>
      <c r="AL8" s="822" t="str">
        <f>CONCATENATE(AK8,AK10,AK11,AK13,AK21,AK27,AK33,AK39,AK45,AK51,AK87,AK72,AK79,AK78,AK80,AK100,AK102,AK12,AK93,AK94,AK20,AK86,AK85,AK14,AK103,AK98,AK97,AK96,AK95,AK92,AK91,AK90,AK89,AK83,AK84,AK82,AK77,AK76,AK75,AK74,AK73,AK71,AK70,AK68,AK67,AK66,AK65,AK64,AK63,AK62,AK61,AK60,AK59,AK58,AK57,AK56,AK55,AK54,AK50,AK49,AK48,AK47,AK44,AK43,AK42,AK41,AK40,AK38,AK37,AK36,AK35,AK34,AK32,AK31,AK30,AK29,AK28,AK26,AK25,AK23,AK19,AK18,AK17,AK15,AK16)</f>
        <v/>
      </c>
      <c r="AM8" s="110"/>
      <c r="AN8" s="816" t="str">
        <f>CONCATENATE(AM8,AM9,AM10,AM11,AM13,AM14,AM21,AM22,AM27,AM28,AM33,AM34,AM39,AM40,AM45,AM46,AM51,AM52,AM87,AM88,AM72,AM73,AM94,AM93,AM86,AM85,AM80,AM79,AM78,AM20,AM12,AM15,AM16,AM17,AM18,AM19,AM23,AM24,AM25,AM26,AM29,AM30,AM31,AM32,AM35,AM36,AM37,AM38,AM41,AM42,AM43,AM44,AM47,AM48,AM49,AM50,AM53,AM54,AM55,AM56,AM57,AM58,AM59,AM60,AM61,AM62,AM63,AM64,AM65,AM66,AM67,AM68,AM69,AM70,AM71,AM74,AM75,AM76,AM77,AM81,AM82,AM83,AM84,AM89,AM90,AM91,AM92,AM95,AM96,AM98,AM100,AM101,AM102,AM103,AM97)</f>
        <v/>
      </c>
      <c r="AO8" s="133">
        <v>21</v>
      </c>
    </row>
    <row r="9" spans="1:45">
      <c r="A9" s="895"/>
      <c r="B9" s="26" t="s">
        <v>14</v>
      </c>
      <c r="C9" s="27" t="s">
        <v>15</v>
      </c>
      <c r="D9" s="28"/>
      <c r="E9" s="67"/>
      <c r="F9" s="799"/>
      <c r="G9" s="709"/>
      <c r="H9" s="709"/>
      <c r="I9" s="709"/>
      <c r="J9" s="709"/>
      <c r="K9" s="709"/>
      <c r="L9" s="709"/>
      <c r="M9" s="709"/>
      <c r="N9" s="709"/>
      <c r="O9" s="709"/>
      <c r="P9" s="709"/>
      <c r="Q9" s="709"/>
      <c r="R9" s="709"/>
      <c r="S9" s="709"/>
      <c r="T9" s="709"/>
      <c r="U9" s="709"/>
      <c r="V9" s="709"/>
      <c r="W9" s="709"/>
      <c r="X9" s="709"/>
      <c r="Y9" s="800"/>
      <c r="Z9" s="88">
        <f t="shared" si="0"/>
        <v>0</v>
      </c>
      <c r="AA9" s="89">
        <f t="shared" si="0"/>
        <v>0</v>
      </c>
      <c r="AB9" s="90"/>
      <c r="AC9" s="87"/>
      <c r="AD9" s="30"/>
      <c r="AE9" s="87"/>
      <c r="AF9" s="30"/>
      <c r="AG9" s="87"/>
      <c r="AH9" s="30"/>
      <c r="AI9" s="87"/>
      <c r="AJ9" s="111">
        <f t="shared" ref="AJ9:AJ16" si="2">SUM(D9:AA9)</f>
        <v>0</v>
      </c>
      <c r="AK9" s="848"/>
      <c r="AL9" s="823"/>
      <c r="AM9" s="113"/>
      <c r="AN9" s="817"/>
      <c r="AO9" s="133">
        <v>22</v>
      </c>
    </row>
    <row r="10" spans="1:45">
      <c r="A10" s="895"/>
      <c r="B10" s="26" t="s">
        <v>18</v>
      </c>
      <c r="C10" s="27" t="s">
        <v>19</v>
      </c>
      <c r="D10" s="28"/>
      <c r="E10" s="67"/>
      <c r="F10" s="799"/>
      <c r="G10" s="709"/>
      <c r="H10" s="709"/>
      <c r="I10" s="709"/>
      <c r="J10" s="709"/>
      <c r="K10" s="709"/>
      <c r="L10" s="709"/>
      <c r="M10" s="709"/>
      <c r="N10" s="709"/>
      <c r="O10" s="709"/>
      <c r="P10" s="709"/>
      <c r="Q10" s="709"/>
      <c r="R10" s="709"/>
      <c r="S10" s="709"/>
      <c r="T10" s="709"/>
      <c r="U10" s="709"/>
      <c r="V10" s="709"/>
      <c r="W10" s="709"/>
      <c r="X10" s="709"/>
      <c r="Y10" s="800"/>
      <c r="Z10" s="88">
        <f t="shared" si="0"/>
        <v>0</v>
      </c>
      <c r="AA10" s="89">
        <f t="shared" si="0"/>
        <v>0</v>
      </c>
      <c r="AB10" s="90"/>
      <c r="AC10" s="87"/>
      <c r="AD10" s="30"/>
      <c r="AE10" s="87"/>
      <c r="AF10" s="30"/>
      <c r="AG10" s="87"/>
      <c r="AH10" s="30"/>
      <c r="AI10" s="87"/>
      <c r="AJ10" s="111">
        <f t="shared" si="2"/>
        <v>0</v>
      </c>
      <c r="AK10" s="112" t="str">
        <f>IF(AJ10&gt;0,IF(AJ9&lt;1,"Contacts were Elicited [ F01-03 ] yet no Patients Accepted Index Testing [F01-02]",""),"")</f>
        <v/>
      </c>
      <c r="AL10" s="823"/>
      <c r="AM10" s="114" t="str">
        <f>CONCATENATE(IF(D10&lt;&gt;SUM(D11,D13)," * F01-03 for Age "&amp;D6&amp;" "&amp;D7&amp;" is not equal to the sum of (F01-04+F01-05)"&amp;CHAR(10),""),IF(E10&lt;&gt;SUM(E11,E13)," * F01-03 for Age "&amp;D6&amp;" "&amp;E7&amp;" is not equal to the sum of F01-04+F01-05"&amp;CHAR(10),""),IF(F10&lt;&gt;SUM(F11,F13)," * F01-03 for Age "&amp;F6&amp;" "&amp;F7&amp;" is not equal to the sum of (F01-04+F01-05)"&amp;CHAR(10),""),IF(G10&lt;&gt;SUM(G11,G13)," * F01-03 for Age "&amp;F6&amp;" "&amp;G7&amp;" is not equal to the sum of F01-04+F01-05"&amp;CHAR(10),""),IF(H10&lt;&gt;SUM(H11,H13)," * F01-03 for Age "&amp;H6&amp;" "&amp;H7&amp;" is not equal to the sum of (F01-04+F01-05)"&amp;CHAR(10),""),IF(I10&lt;&gt;SUM(I11,I13)," * F01-03 for Age "&amp;H6&amp;" "&amp;I7&amp;" is not equal to the sum of F01-04+F01-05"&amp;CHAR(10),""),IF(J10&lt;&gt;SUM(J11,J13)," * F01-03 for Age "&amp;J6&amp;" "&amp;J7&amp;" is not equal to the sum of (F01-04+F01-05)"&amp;CHAR(10),""),IF(K10&lt;&gt;SUM(K11,K13)," * F01-03 for Age "&amp;J6&amp;" "&amp;K7&amp;" is not equal to the sum of F01-04+F01-05"&amp;CHAR(10),""),IF(L10&lt;&gt;SUM(L11,L13)," * F01-03 for Age "&amp;L6&amp;" "&amp;L7&amp;" is not equal to the sum of (F01-04+F01-05)"&amp;CHAR(10),""),IF(M10&lt;&gt;SUM(M11,M13)," * F01-03 for Age "&amp;L6&amp;" "&amp;M7&amp;" is not equal to the sum of F01-04+F01-05"&amp;CHAR(10),""),IF(N10&lt;&gt;SUM(N11,N13)," * F01-03 for Age "&amp;N6&amp;" "&amp;N7&amp;" is not equal to the sum of (F01-04+F01-05)"&amp;CHAR(10),""),IF(O10&lt;&gt;SUM(O11,O13)," * F01-03 for Age "&amp;N6&amp;" "&amp;O7&amp;" is not equal to the sum of F01-04+F01-05"&amp;CHAR(10),""),IF(P10&lt;&gt;SUM(P11,P13)," * F01-03 for Age "&amp;P6&amp;" "&amp;P7&amp;" is not equal to the sum of (F01-04+F01-05)"&amp;CHAR(10),""),IF(Q10&lt;&gt;SUM(Q11,Q13)," * F01-03 for Age "&amp;P6&amp;" "&amp;Q7&amp;" is not equal to the sum of F01-04+F01-05"&amp;CHAR(10),""),IF(R10&lt;&gt;SUM(R11,R13)," * F01-03 for Age "&amp;R6&amp;" "&amp;R7&amp;" is not equal to the sum of (F01-04+F01-05)"&amp;CHAR(10),""),IF(S10&lt;&gt;SUM(S11,S13)," * F01-03 for Age "&amp;R6&amp;" "&amp;S7&amp;" is not equal to the sum of F01-04+F01-05"&amp;CHAR(10),""),IF(T10&lt;&gt;SUM(T11,T13)," * F01-03 for Age "&amp;T6&amp;" "&amp;T7&amp;" is not equal to the sum of (F01-04+F01-05)"&amp;CHAR(10),""),IF(U10&lt;&gt;SUM(U11,U13)," * F01-03 for Age "&amp;T6&amp;" "&amp;U7&amp;" is not equal to the sum of F01-04+F01-05"&amp;CHAR(10),""),IF(V10&lt;&gt;SUM(V11,V13)," * F01-03 for Age "&amp;V6&amp;" "&amp;V7&amp;" is not equal to the sum of (F01-04+F01-05)"&amp;CHAR(10),""),IF(W10&lt;&gt;SUM(W11,W13)," * F01-03 for Age "&amp;V6&amp;" "&amp;W7&amp;" is not equal to the sum of F01-04+F01-05"&amp;CHAR(10),""),IF(X10&lt;&gt;SUM(X11,X13)," * F01-03 for Age "&amp;X6&amp;" "&amp;X7&amp;" is not equal to the sum of (F01-04+F01-05)"&amp;CHAR(10),""),IF(Y10&lt;&gt;SUM(Y11,Y13)," * F01-03 for Age "&amp;X6&amp;" "&amp;Y7&amp;" is not equal to the sum of F01-04+F01-05"&amp;CHAR(10),""),IF(Z10&lt;&gt;SUM(Z11,Z13)," * F01-03 for Age "&amp;Z6&amp;" "&amp;Z7&amp;" is not equal to the sum of (F01-04+F01-05)"&amp;CHAR(10),""),IF(AA10&lt;&gt;SUM(AA11,AA13)," * F01-03 for Age "&amp;Z6&amp;" "&amp;AA7&amp;" is not equal to the sum of (F01-04+F01-05)"&amp;CHAR(10),""))</f>
        <v/>
      </c>
      <c r="AN10" s="817"/>
      <c r="AO10" s="133">
        <v>23</v>
      </c>
    </row>
    <row r="11" spans="1:45" s="7" customFormat="1">
      <c r="A11" s="895"/>
      <c r="B11" s="26" t="s">
        <v>22</v>
      </c>
      <c r="C11" s="27" t="s">
        <v>23</v>
      </c>
      <c r="D11" s="28"/>
      <c r="E11" s="67"/>
      <c r="F11" s="799"/>
      <c r="G11" s="709"/>
      <c r="H11" s="709"/>
      <c r="I11" s="709"/>
      <c r="J11" s="709"/>
      <c r="K11" s="709"/>
      <c r="L11" s="709"/>
      <c r="M11" s="709"/>
      <c r="N11" s="709"/>
      <c r="O11" s="709"/>
      <c r="P11" s="709"/>
      <c r="Q11" s="709"/>
      <c r="R11" s="709"/>
      <c r="S11" s="709"/>
      <c r="T11" s="709"/>
      <c r="U11" s="709"/>
      <c r="V11" s="709"/>
      <c r="W11" s="709"/>
      <c r="X11" s="709"/>
      <c r="Y11" s="800"/>
      <c r="Z11" s="88">
        <f t="shared" si="0"/>
        <v>0</v>
      </c>
      <c r="AA11" s="89">
        <f t="shared" si="0"/>
        <v>0</v>
      </c>
      <c r="AB11" s="90"/>
      <c r="AC11" s="87"/>
      <c r="AD11" s="30"/>
      <c r="AE11" s="87"/>
      <c r="AF11" s="30"/>
      <c r="AG11" s="87"/>
      <c r="AH11" s="30"/>
      <c r="AI11" s="87"/>
      <c r="AJ11" s="111">
        <f t="shared" si="2"/>
        <v>0</v>
      </c>
      <c r="AK11" s="112"/>
      <c r="AL11" s="823"/>
      <c r="AM11" s="113"/>
      <c r="AN11" s="817"/>
      <c r="AO11" s="133">
        <v>24</v>
      </c>
      <c r="AQ11" s="134"/>
      <c r="AR11" s="134"/>
      <c r="AS11" s="134"/>
    </row>
    <row r="12" spans="1:45" s="7" customFormat="1">
      <c r="A12" s="895"/>
      <c r="B12" s="26" t="s">
        <v>26</v>
      </c>
      <c r="C12" s="27" t="s">
        <v>27</v>
      </c>
      <c r="D12" s="28"/>
      <c r="E12" s="67"/>
      <c r="F12" s="799"/>
      <c r="G12" s="709"/>
      <c r="H12" s="709"/>
      <c r="I12" s="709"/>
      <c r="J12" s="709"/>
      <c r="K12" s="709"/>
      <c r="L12" s="710"/>
      <c r="M12" s="710"/>
      <c r="N12" s="710"/>
      <c r="O12" s="710"/>
      <c r="P12" s="710"/>
      <c r="Q12" s="710"/>
      <c r="R12" s="710"/>
      <c r="S12" s="710"/>
      <c r="T12" s="710"/>
      <c r="U12" s="710"/>
      <c r="V12" s="710"/>
      <c r="W12" s="710"/>
      <c r="X12" s="710"/>
      <c r="Y12" s="801"/>
      <c r="Z12" s="28"/>
      <c r="AA12" s="91"/>
      <c r="AB12" s="92"/>
      <c r="AC12" s="67"/>
      <c r="AD12" s="29"/>
      <c r="AE12" s="67"/>
      <c r="AF12" s="29"/>
      <c r="AG12" s="67"/>
      <c r="AH12" s="29"/>
      <c r="AI12" s="67"/>
      <c r="AJ12" s="111">
        <f t="shared" si="2"/>
        <v>0</v>
      </c>
      <c r="AK12" s="112"/>
      <c r="AL12" s="823"/>
      <c r="AM12" s="113"/>
      <c r="AN12" s="817"/>
      <c r="AO12" s="133"/>
      <c r="AQ12" s="134"/>
      <c r="AR12" s="134"/>
      <c r="AS12" s="134"/>
    </row>
    <row r="13" spans="1:45" s="7" customFormat="1">
      <c r="A13" s="895"/>
      <c r="B13" s="26" t="s">
        <v>29</v>
      </c>
      <c r="C13" s="27" t="s">
        <v>30</v>
      </c>
      <c r="D13" s="28"/>
      <c r="E13" s="67"/>
      <c r="F13" s="799"/>
      <c r="G13" s="709"/>
      <c r="H13" s="709"/>
      <c r="I13" s="709"/>
      <c r="J13" s="709"/>
      <c r="K13" s="709"/>
      <c r="L13" s="709"/>
      <c r="M13" s="709"/>
      <c r="N13" s="709"/>
      <c r="O13" s="709"/>
      <c r="P13" s="709"/>
      <c r="Q13" s="709"/>
      <c r="R13" s="709"/>
      <c r="S13" s="709"/>
      <c r="T13" s="709"/>
      <c r="U13" s="709"/>
      <c r="V13" s="709"/>
      <c r="W13" s="709"/>
      <c r="X13" s="709"/>
      <c r="Y13" s="800"/>
      <c r="Z13" s="88">
        <f t="shared" ref="Z13:Z32" si="3">SUM(AB13,AD13,AF13,AH13)</f>
        <v>0</v>
      </c>
      <c r="AA13" s="89">
        <f t="shared" ref="AA13:AA32" si="4">SUM(AC13,AE13,AG13,AI13)</f>
        <v>0</v>
      </c>
      <c r="AB13" s="90"/>
      <c r="AC13" s="30"/>
      <c r="AD13" s="30"/>
      <c r="AE13" s="30"/>
      <c r="AF13" s="30"/>
      <c r="AG13" s="30"/>
      <c r="AH13" s="30"/>
      <c r="AI13" s="87"/>
      <c r="AJ13" s="111">
        <f t="shared" si="2"/>
        <v>0</v>
      </c>
      <c r="AK13" s="115" t="str">
        <f>CONCATENATE(IF(D14&gt;D13," * Positive F01-06 for Age "&amp;D6&amp;" "&amp;D7&amp;" is more than Tested  F01-05"&amp;CHAR(10),""),IF(E14&gt;E13," * Positive F01-06 for Age "&amp;D6&amp;" "&amp;E7&amp;" is more than Tested  F01-05"&amp;CHAR(10),""),IF(F14&gt;F13," * Positive F01-06 for Age "&amp;F6&amp;" "&amp;F7&amp;" is more than Tested  F01-05"&amp;CHAR(10),""),IF(G14&gt;G13," * Positive F01-06 for Age "&amp;F6&amp;" "&amp;G7&amp;" is more than Tested  F01-05"&amp;CHAR(10),""),IF(H14&gt;H13," * Positive F01-06 for Age "&amp;H6&amp;" "&amp;H7&amp;" is more than Tested  F01-05"&amp;CHAR(10),""),IF(I14&gt;I13," * Positive F01-06 for Age "&amp;H6&amp;" "&amp;I7&amp;" is more than Tested  F01-05"&amp;CHAR(10),""),IF(J14&gt;J13," * Positive F01-06 for Age "&amp;J6&amp;" "&amp;J7&amp;" is more than Tested  F01-05"&amp;CHAR(10),""),IF(K14&gt;K13," * Positive F01-06 for Age "&amp;J6&amp;" "&amp;K7&amp;" is more than Tested  F01-05"&amp;CHAR(10),""),IF(L14&gt;L13," * Positive F01-06 for Age "&amp;L6&amp;" "&amp;L7&amp;" is more than Tested  F01-05"&amp;CHAR(10),""),IF(M14&gt;M13," * Positive F01-06 for Age "&amp;L6&amp;" "&amp;M7&amp;" is more than Tested  F01-05"&amp;CHAR(10),""),IF(N14&gt;N13," * Positive F01-06 for Age "&amp;N6&amp;" "&amp;N7&amp;" is more than Tested  F01-05"&amp;CHAR(10),""),IF(O14&gt;O13," * Positive F01-06 for Age "&amp;N6&amp;" "&amp;O7&amp;" is more than Tested  F01-05"&amp;CHAR(10),""),IF(P14&gt;P13," * Positive F01-06 for Age "&amp;P6&amp;" "&amp;P7&amp;" is more than Tested  F01-05"&amp;CHAR(10),""),IF(Q14&gt;Q13," * Positive F01-06 for Age "&amp;P6&amp;" "&amp;Q7&amp;" is more than Tested  F01-05"&amp;CHAR(10),""),IF(R14&gt;R13," * Positive F01-06 for Age "&amp;R6&amp;" "&amp;R7&amp;" is more than Tested  F01-05"&amp;CHAR(10),""),IF(S14&gt;S13," * Positive F01-06 for Age "&amp;R6&amp;" "&amp;S7&amp;" is more than Tested  F01-05"&amp;CHAR(10),""),IF(T14&gt;T13," * Positive F01-06 for Age "&amp;T6&amp;" "&amp;T7&amp;" is more than Tested  F01-05"&amp;CHAR(10),""),IF(U14&gt;U13," * Positive F01-06 for Age "&amp;T6&amp;" "&amp;U7&amp;" is more than Tested  F01-05"&amp;CHAR(10),""),IF(V14&gt;V13," * Positive F01-06 for Age "&amp;V6&amp;" "&amp;V7&amp;" is more than Tested  F01-05"&amp;CHAR(10),""),IF(W14&gt;W13," * Positive F01-06 for Age "&amp;V6&amp;" "&amp;W7&amp;" is more than Tested  F01-05"&amp;CHAR(10),""),IF(X14&gt;X13," * Positive F01-06 for Age "&amp;X6&amp;" "&amp;X7&amp;" is more than Tested  F01-05"&amp;CHAR(10),""),IF(Y14&gt;Y13," * Positive F01-06 for Age "&amp;X6&amp;" "&amp;Y7&amp;" is more than Tested  F01-05"&amp;CHAR(10),""),IF(Z14&gt;Z13," * Positive F01-06 for Age "&amp;Z6&amp;" "&amp;Z7&amp;" is more than Tested  F01-05"&amp;CHAR(10),""),IF(AA14&gt;AA13," * Positive F01-06 for Age "&amp;Z6&amp;" "&amp;AA7&amp;" is more than Tested  F01-05"&amp;CHAR(10),""))</f>
        <v/>
      </c>
      <c r="AL13" s="823"/>
      <c r="AM13" s="113" t="str">
        <f>CONCATENATE(IF(AND(IFERROR((AJ14*100)/AJ13,0)&gt;10,AJ14&gt;5)," * This facility has a high positivity rate for Index Testing. Kindly confirm if this is the true reflection"&amp;CHAR(10),""),"")</f>
        <v/>
      </c>
      <c r="AN13" s="817"/>
      <c r="AO13" s="133">
        <v>25</v>
      </c>
      <c r="AQ13" s="134"/>
      <c r="AR13" s="134"/>
      <c r="AS13" s="134"/>
    </row>
    <row r="14" spans="1:45" s="7" customFormat="1">
      <c r="A14" s="895"/>
      <c r="B14" s="31" t="s">
        <v>33</v>
      </c>
      <c r="C14" s="27" t="s">
        <v>34</v>
      </c>
      <c r="D14" s="28"/>
      <c r="E14" s="67"/>
      <c r="F14" s="785"/>
      <c r="G14" s="711"/>
      <c r="H14" s="711"/>
      <c r="I14" s="711"/>
      <c r="J14" s="711"/>
      <c r="K14" s="711"/>
      <c r="L14" s="711"/>
      <c r="M14" s="711"/>
      <c r="N14" s="711"/>
      <c r="O14" s="711"/>
      <c r="P14" s="711"/>
      <c r="Q14" s="711"/>
      <c r="R14" s="711"/>
      <c r="S14" s="711"/>
      <c r="T14" s="711"/>
      <c r="U14" s="711"/>
      <c r="V14" s="711"/>
      <c r="W14" s="711"/>
      <c r="X14" s="711"/>
      <c r="Y14" s="781"/>
      <c r="Z14" s="88">
        <f t="shared" si="3"/>
        <v>0</v>
      </c>
      <c r="AA14" s="89">
        <f t="shared" si="4"/>
        <v>0</v>
      </c>
      <c r="AB14" s="711"/>
      <c r="AC14" s="711"/>
      <c r="AD14" s="711"/>
      <c r="AE14" s="711"/>
      <c r="AF14" s="711"/>
      <c r="AG14" s="711"/>
      <c r="AH14" s="711"/>
      <c r="AI14" s="711"/>
      <c r="AJ14" s="111">
        <f t="shared" si="2"/>
        <v>0</v>
      </c>
      <c r="AK14" s="116" t="str">
        <f>CONCATENATE(IF((D15+D16+D17+D18)&lt;&gt;D14," * "&amp;$A14&amp;" , "&amp;$B15&amp;" plus "&amp;$B16&amp;" plus "&amp;$B17&amp;" plus "&amp;$B18&amp;" For age "&amp;$D$6&amp;" "&amp;$D$7&amp;" should be equal to "&amp;$B14&amp;""&amp;CHAR(10),""),IF((E15+E16+E17+E18)&lt;&gt;E14," * "&amp;$A14&amp;" , "&amp;$B15&amp;" plus "&amp;$B16&amp;" plus "&amp;$B17&amp;" plus "&amp;$B18&amp;" For age "&amp;$D$6&amp;" "&amp;$E$7&amp;" should be equal to "&amp;$B14&amp;""&amp;CHAR(10),""),IF((F15+F16+F17+F18)&lt;&gt;F14," * "&amp;$A14&amp;" , "&amp;$B15&amp;" plus "&amp;$B16&amp;" plus "&amp;$B17&amp;" plus "&amp;$B18&amp;" For age "&amp;$F$6&amp;" "&amp;$F$7&amp;" should be equal to "&amp;$B14&amp;""&amp;CHAR(10),""),IF((G15+G16+G17+G18)&lt;&gt;G14," * "&amp;$A14&amp;" , "&amp;$B15&amp;" plus "&amp;$B16&amp;" plus "&amp;$B17&amp;" plus "&amp;$B18&amp;" For age "&amp;$F$6&amp;" "&amp;$G$7&amp;" should be equal to "&amp;$B14&amp;""&amp;CHAR(10),""),IF((H15+H16+H17+H18)&lt;&gt;H14," * "&amp;$A14&amp;" , "&amp;$B15&amp;" plus "&amp;$B16&amp;" plus "&amp;$B17&amp;" plus "&amp;$B18&amp;" For age "&amp;$H$6&amp;" "&amp;$H$7&amp;" should be equal to "&amp;$B14&amp;""&amp;CHAR(10),""),IF((I15+I16+I17+I18)&lt;&gt;I14," * "&amp;$A14&amp;" , "&amp;$B15&amp;" plus "&amp;$B16&amp;" plus "&amp;$B17&amp;" plus "&amp;$B18&amp;" For age "&amp;$H$6&amp;" "&amp;$I$7&amp;" should be equal to "&amp;$B14&amp;""&amp;CHAR(10),""),IF((J15+J16+J17+J18)&lt;&gt;J14," * "&amp;$A14&amp;" , "&amp;$B15&amp;" plus "&amp;$B16&amp;" plus "&amp;$B17&amp;" plus "&amp;$B18&amp;" For age "&amp;$J$6&amp;" "&amp;$J$7&amp;" should be equal to "&amp;$B14&amp;""&amp;CHAR(10),""),IF((K15+K16+K17+K18)&lt;&gt;K14," * "&amp;$A14&amp;" , "&amp;$B15&amp;" plus "&amp;$B16&amp;" plus "&amp;$B17&amp;" plus "&amp;$B18&amp;" For age "&amp;$J$6&amp;" "&amp;$K$7&amp;" should be equal to "&amp;$B14&amp;""&amp;CHAR(10),""),IF((L15+L16+L17+L18)&lt;&gt;L14," * "&amp;$A14&amp;" , "&amp;$B15&amp;" plus "&amp;$B16&amp;" plus "&amp;$B17&amp;" plus "&amp;$B18&amp;" For age "&amp;$L$6&amp;" "&amp;$L$7&amp;" should be equal to "&amp;$B14&amp;""&amp;CHAR(10),""),IF((M15+M16+M17+M18)&lt;&gt;M14," * "&amp;$A14&amp;" , "&amp;$B15&amp;" plus "&amp;$B16&amp;" plus "&amp;$B17&amp;" plus "&amp;$B18&amp;" For age "&amp;$L$6&amp;" "&amp;$M$7&amp;" should be equal to "&amp;$B14&amp;""&amp;CHAR(10),""),IF((N15+N16+N17+N18)&lt;&gt;N14," * "&amp;$A14&amp;" , "&amp;$B15&amp;" plus "&amp;$B16&amp;" plus "&amp;$B17&amp;" plus "&amp;$B18&amp;" For age "&amp;$N$6&amp;" "&amp;$N$7&amp;" should be equal to "&amp;$B14&amp;""&amp;CHAR(10),""),IF((O15+O16+O17+O18)&lt;&gt;O14," * "&amp;$A14&amp;" , "&amp;$B15&amp;" plus "&amp;$B16&amp;" plus "&amp;$B17&amp;" plus "&amp;$B18&amp;" For age "&amp;$N$6&amp;" "&amp;$O$7&amp;" should be equal to "&amp;$B14&amp;""&amp;CHAR(10),""),IF((P15+P16+P17+P18)&lt;&gt;P14," * "&amp;$A14&amp;" , "&amp;$B15&amp;" plus "&amp;$B16&amp;" plus "&amp;$B17&amp;" plus "&amp;$B18&amp;" For age "&amp;$P$6&amp;" "&amp;$P$7&amp;" should be equal to "&amp;$B14&amp;""&amp;CHAR(10),""),IF((Q15+Q16+Q17+Q18)&lt;&gt;Q14," * "&amp;$A14&amp;" , "&amp;$B15&amp;" plus "&amp;$B16&amp;" plus "&amp;$B17&amp;" plus "&amp;$B18&amp;" For age "&amp;$P$6&amp;" "&amp;$Q$7&amp;" should be equal to "&amp;$B14&amp;""&amp;CHAR(10),""),IF((R15+R16+R17+R18)&lt;&gt;R14," * "&amp;$A14&amp;" , "&amp;$B15&amp;" plus "&amp;$B16&amp;" plus "&amp;$B17&amp;" plus "&amp;$B18&amp;" For age "&amp;$R$6&amp;" "&amp;$R$7&amp;" should be equal to "&amp;$B14&amp;""&amp;CHAR(10),""),IF((S15+S16+S17+S18)&lt;&gt;S14," * "&amp;$A14&amp;" , "&amp;$B15&amp;" plus "&amp;$B16&amp;" plus "&amp;$B17&amp;" plus "&amp;$B18&amp;" For age "&amp;$R$6&amp;" "&amp;$S$7&amp;" should be equal to "&amp;$B14&amp;""&amp;CHAR(10),""),IF((T15+T16+T17+T18)&lt;&gt;T14," * "&amp;$A14&amp;" , "&amp;$B15&amp;" plus "&amp;$B16&amp;" plus "&amp;$B17&amp;" plus "&amp;$B18&amp;" For age "&amp;$T$6&amp;" "&amp;$T$7&amp;" should be equal to "&amp;$B14&amp;""&amp;CHAR(10),""),IF((U15+U16+U17+U18)&lt;&gt;U14," * "&amp;$A14&amp;" , "&amp;$B15&amp;" plus "&amp;$B16&amp;" plus "&amp;$B17&amp;" plus "&amp;$B18&amp;" For age "&amp;$T$6&amp;" "&amp;$U$7&amp;" should be equal to "&amp;$B14&amp;""&amp;CHAR(10),""),IF((V15+V16+V17+V18)&lt;&gt;V14," * "&amp;$A14&amp;" , "&amp;$B15&amp;" plus "&amp;$B16&amp;" plus "&amp;$B17&amp;" plus "&amp;$B18&amp;" For age "&amp;$V$6&amp;" "&amp;$V$7&amp;" should be equal to "&amp;$B14&amp;""&amp;CHAR(10),""),IF((W15+W16+W17+W18)&lt;&gt;W14," * "&amp;$A14&amp;" , "&amp;$B15&amp;" plus "&amp;$B16&amp;" plus "&amp;$B17&amp;" plus "&amp;$B18&amp;" For age "&amp;$V$6&amp;" "&amp;$W$7&amp;" should be equal to "&amp;$B14&amp;""&amp;CHAR(10),""),IF((X15+X16+X17+X18)&lt;&gt;X14," * "&amp;$A14&amp;" , "&amp;$B15&amp;" plus "&amp;$B16&amp;" plus "&amp;$B17&amp;" plus "&amp;$B18&amp;" For age "&amp;$X$6&amp;" "&amp;$X$7&amp;" should be equal to "&amp;$B14&amp;""&amp;CHAR(10),""),IF((Y15+Y16+Y17+Y18)&lt;&gt;Y14," * "&amp;$A14&amp;" , "&amp;$B15&amp;" plus "&amp;$B16&amp;" plus "&amp;$B17&amp;" plus "&amp;$B18&amp;" For age "&amp;$X$6&amp;" "&amp;$Y$7&amp;" should be equal to "&amp;$B14&amp;""&amp;CHAR(10),""),IF((Z15+Z16+Z17+Z18)&lt;&gt;Z14," * "&amp;$A14&amp;" , "&amp;$B15&amp;" plus "&amp;$B16&amp;" plus "&amp;$B17&amp;" plus "&amp;$B18&amp;" For age "&amp;$Z$6&amp;" "&amp;$Z$7&amp;" should be equal to "&amp;$B14&amp;""&amp;CHAR(10),""),IF((AA15+AA16+AA17+AA18)&lt;&gt;AA14," * "&amp;$A14&amp;" , "&amp;$B15&amp;" plus "&amp;$B16&amp;" plus "&amp;$B17&amp;" plus "&amp;$B18&amp;" For age "&amp;$Z$6&amp;" "&amp;$AA$7&amp;" should be equal to "&amp;$B14&amp;""&amp;CHAR(10),""))</f>
        <v/>
      </c>
      <c r="AL14" s="823"/>
      <c r="AM14" s="113"/>
      <c r="AN14" s="817"/>
      <c r="AO14" s="133">
        <v>26</v>
      </c>
      <c r="AQ14" s="134"/>
      <c r="AR14" s="134"/>
      <c r="AS14" s="134"/>
    </row>
    <row r="15" spans="1:45" s="7" customFormat="1">
      <c r="A15" s="895"/>
      <c r="B15" s="26" t="s">
        <v>37</v>
      </c>
      <c r="C15" s="27" t="s">
        <v>38</v>
      </c>
      <c r="D15" s="28"/>
      <c r="E15" s="67"/>
      <c r="F15" s="786"/>
      <c r="G15" s="712"/>
      <c r="H15" s="712"/>
      <c r="I15" s="712"/>
      <c r="J15" s="712"/>
      <c r="K15" s="712"/>
      <c r="L15" s="712"/>
      <c r="M15" s="712"/>
      <c r="N15" s="712"/>
      <c r="O15" s="712"/>
      <c r="P15" s="712"/>
      <c r="Q15" s="712"/>
      <c r="R15" s="712"/>
      <c r="S15" s="712"/>
      <c r="T15" s="712"/>
      <c r="U15" s="712"/>
      <c r="V15" s="712"/>
      <c r="W15" s="712"/>
      <c r="X15" s="712"/>
      <c r="Y15" s="782"/>
      <c r="Z15" s="88">
        <f t="shared" si="3"/>
        <v>0</v>
      </c>
      <c r="AA15" s="89">
        <f t="shared" si="4"/>
        <v>0</v>
      </c>
      <c r="AB15" s="712"/>
      <c r="AC15" s="712"/>
      <c r="AD15" s="712"/>
      <c r="AE15" s="712"/>
      <c r="AF15" s="712"/>
      <c r="AG15" s="712"/>
      <c r="AH15" s="712"/>
      <c r="AI15" s="712"/>
      <c r="AJ15" s="111">
        <f t="shared" si="2"/>
        <v>0</v>
      </c>
      <c r="AK15" s="112"/>
      <c r="AL15" s="823"/>
      <c r="AM15" s="113"/>
      <c r="AN15" s="817"/>
      <c r="AO15" s="133"/>
      <c r="AQ15" s="134"/>
      <c r="AR15" s="134"/>
      <c r="AS15" s="134"/>
    </row>
    <row r="16" spans="1:45" s="7" customFormat="1">
      <c r="A16" s="895"/>
      <c r="B16" s="26" t="s">
        <v>41</v>
      </c>
      <c r="C16" s="27" t="s">
        <v>42</v>
      </c>
      <c r="D16" s="28"/>
      <c r="E16" s="67"/>
      <c r="F16" s="786"/>
      <c r="G16" s="712"/>
      <c r="H16" s="712"/>
      <c r="I16" s="712"/>
      <c r="J16" s="712"/>
      <c r="K16" s="712"/>
      <c r="L16" s="712"/>
      <c r="M16" s="712"/>
      <c r="N16" s="712"/>
      <c r="O16" s="712"/>
      <c r="P16" s="712"/>
      <c r="Q16" s="712"/>
      <c r="R16" s="712"/>
      <c r="S16" s="712"/>
      <c r="T16" s="712"/>
      <c r="U16" s="712"/>
      <c r="V16" s="712"/>
      <c r="W16" s="712"/>
      <c r="X16" s="712"/>
      <c r="Y16" s="782"/>
      <c r="Z16" s="88">
        <f t="shared" si="3"/>
        <v>0</v>
      </c>
      <c r="AA16" s="89">
        <f t="shared" si="4"/>
        <v>0</v>
      </c>
      <c r="AB16" s="712"/>
      <c r="AC16" s="712"/>
      <c r="AD16" s="712"/>
      <c r="AE16" s="712"/>
      <c r="AF16" s="712"/>
      <c r="AG16" s="712"/>
      <c r="AH16" s="712"/>
      <c r="AI16" s="712"/>
      <c r="AJ16" s="111">
        <f t="shared" si="2"/>
        <v>0</v>
      </c>
      <c r="AK16" s="112"/>
      <c r="AL16" s="823"/>
      <c r="AM16" s="113"/>
      <c r="AN16" s="817"/>
      <c r="AO16" s="133"/>
      <c r="AQ16" s="134"/>
      <c r="AR16" s="134"/>
      <c r="AS16" s="134"/>
    </row>
    <row r="17" spans="1:45" s="7" customFormat="1">
      <c r="A17" s="895"/>
      <c r="B17" s="26" t="s">
        <v>44</v>
      </c>
      <c r="C17" s="27" t="s">
        <v>45</v>
      </c>
      <c r="D17" s="28"/>
      <c r="E17" s="67"/>
      <c r="F17" s="786"/>
      <c r="G17" s="712"/>
      <c r="H17" s="712"/>
      <c r="I17" s="712"/>
      <c r="J17" s="712"/>
      <c r="K17" s="712"/>
      <c r="L17" s="712"/>
      <c r="M17" s="712"/>
      <c r="N17" s="712"/>
      <c r="O17" s="712"/>
      <c r="P17" s="712"/>
      <c r="Q17" s="712"/>
      <c r="R17" s="712"/>
      <c r="S17" s="712"/>
      <c r="T17" s="712"/>
      <c r="U17" s="712"/>
      <c r="V17" s="712"/>
      <c r="W17" s="712"/>
      <c r="X17" s="712"/>
      <c r="Y17" s="782"/>
      <c r="Z17" s="88">
        <f t="shared" si="3"/>
        <v>0</v>
      </c>
      <c r="AA17" s="89">
        <f t="shared" si="4"/>
        <v>0</v>
      </c>
      <c r="AB17" s="712"/>
      <c r="AC17" s="712"/>
      <c r="AD17" s="712"/>
      <c r="AE17" s="712"/>
      <c r="AF17" s="712"/>
      <c r="AG17" s="712"/>
      <c r="AH17" s="712"/>
      <c r="AI17" s="712"/>
      <c r="AJ17" s="111">
        <f t="shared" ref="AJ17:AJ21" si="5">SUM(D17:AA17)</f>
        <v>0</v>
      </c>
      <c r="AK17" s="112"/>
      <c r="AL17" s="823"/>
      <c r="AM17" s="113"/>
      <c r="AN17" s="817"/>
      <c r="AO17" s="133"/>
      <c r="AQ17" s="134"/>
      <c r="AR17" s="134"/>
      <c r="AS17" s="134"/>
    </row>
    <row r="18" spans="1:45" s="7" customFormat="1">
      <c r="A18" s="895"/>
      <c r="B18" s="26" t="s">
        <v>47</v>
      </c>
      <c r="C18" s="27" t="s">
        <v>48</v>
      </c>
      <c r="D18" s="28"/>
      <c r="E18" s="67"/>
      <c r="F18" s="802"/>
      <c r="G18" s="713"/>
      <c r="H18" s="713"/>
      <c r="I18" s="713"/>
      <c r="J18" s="713"/>
      <c r="K18" s="713"/>
      <c r="L18" s="713"/>
      <c r="M18" s="713"/>
      <c r="N18" s="713"/>
      <c r="O18" s="713"/>
      <c r="P18" s="713"/>
      <c r="Q18" s="713"/>
      <c r="R18" s="713"/>
      <c r="S18" s="713"/>
      <c r="T18" s="713"/>
      <c r="U18" s="713"/>
      <c r="V18" s="713"/>
      <c r="W18" s="713"/>
      <c r="X18" s="713"/>
      <c r="Y18" s="803"/>
      <c r="Z18" s="88">
        <f t="shared" si="3"/>
        <v>0</v>
      </c>
      <c r="AA18" s="89">
        <f t="shared" si="4"/>
        <v>0</v>
      </c>
      <c r="AB18" s="713"/>
      <c r="AC18" s="713"/>
      <c r="AD18" s="713"/>
      <c r="AE18" s="713"/>
      <c r="AF18" s="713"/>
      <c r="AG18" s="713"/>
      <c r="AH18" s="713"/>
      <c r="AI18" s="713"/>
      <c r="AJ18" s="111">
        <f t="shared" si="5"/>
        <v>0</v>
      </c>
      <c r="AK18" s="112"/>
      <c r="AL18" s="823"/>
      <c r="AM18" s="113"/>
      <c r="AN18" s="817"/>
      <c r="AO18" s="133"/>
      <c r="AQ18" s="134"/>
      <c r="AR18" s="134"/>
      <c r="AS18" s="134"/>
    </row>
    <row r="19" spans="1:45" s="7" customFormat="1">
      <c r="A19" s="895"/>
      <c r="B19" s="26" t="s">
        <v>50</v>
      </c>
      <c r="C19" s="27" t="s">
        <v>51</v>
      </c>
      <c r="D19" s="28"/>
      <c r="E19" s="67"/>
      <c r="F19" s="804">
        <f t="shared" ref="F19" si="6">F13-F14</f>
        <v>0</v>
      </c>
      <c r="G19" s="231">
        <f t="shared" ref="G19" si="7">G13-G14</f>
        <v>0</v>
      </c>
      <c r="H19" s="231">
        <f t="shared" ref="H19" si="8">H13-H14</f>
        <v>0</v>
      </c>
      <c r="I19" s="231">
        <f t="shared" ref="I19" si="9">I13-I14</f>
        <v>0</v>
      </c>
      <c r="J19" s="231">
        <f t="shared" ref="J19" si="10">J13-J14</f>
        <v>0</v>
      </c>
      <c r="K19" s="231">
        <f t="shared" ref="K19" si="11">K13-K14</f>
        <v>0</v>
      </c>
      <c r="L19" s="231">
        <f t="shared" ref="L19" si="12">L13-L14</f>
        <v>0</v>
      </c>
      <c r="M19" s="231">
        <f t="shared" ref="M19" si="13">M13-M14</f>
        <v>0</v>
      </c>
      <c r="N19" s="231">
        <f t="shared" ref="N19" si="14">N13-N14</f>
        <v>0</v>
      </c>
      <c r="O19" s="231">
        <f t="shared" ref="O19" si="15">O13-O14</f>
        <v>0</v>
      </c>
      <c r="P19" s="231">
        <f t="shared" ref="P19" si="16">P13-P14</f>
        <v>0</v>
      </c>
      <c r="Q19" s="231">
        <f t="shared" ref="Q19" si="17">Q13-Q14</f>
        <v>0</v>
      </c>
      <c r="R19" s="231">
        <f t="shared" ref="R19" si="18">R13-R14</f>
        <v>0</v>
      </c>
      <c r="S19" s="231">
        <f t="shared" ref="S19" si="19">S13-S14</f>
        <v>0</v>
      </c>
      <c r="T19" s="231">
        <f t="shared" ref="T19" si="20">T13-T14</f>
        <v>0</v>
      </c>
      <c r="U19" s="231">
        <f t="shared" ref="U19" si="21">U13-U14</f>
        <v>0</v>
      </c>
      <c r="V19" s="231">
        <f t="shared" ref="V19" si="22">V13-V14</f>
        <v>0</v>
      </c>
      <c r="W19" s="231">
        <f t="shared" ref="W19" si="23">W13-W14</f>
        <v>0</v>
      </c>
      <c r="X19" s="231">
        <f t="shared" ref="X19" si="24">X13-X14</f>
        <v>0</v>
      </c>
      <c r="Y19" s="805">
        <f t="shared" ref="Y19" si="25">Y13-Y14</f>
        <v>0</v>
      </c>
      <c r="Z19" s="94">
        <f t="shared" ref="Z19" si="26">Z13-Z14</f>
        <v>0</v>
      </c>
      <c r="AA19" s="95">
        <f t="shared" ref="AA19:AB19" si="27">AA13-AA14</f>
        <v>0</v>
      </c>
      <c r="AB19" s="38">
        <f t="shared" si="27"/>
        <v>0</v>
      </c>
      <c r="AC19" s="38">
        <f t="shared" ref="AC19" si="28">AC13-AC14</f>
        <v>0</v>
      </c>
      <c r="AD19" s="38">
        <f t="shared" ref="AD19" si="29">AD13-AD14</f>
        <v>0</v>
      </c>
      <c r="AE19" s="38">
        <f t="shared" ref="AE19" si="30">AE13-AE14</f>
        <v>0</v>
      </c>
      <c r="AF19" s="38">
        <f t="shared" ref="AF19" si="31">AF13-AF14</f>
        <v>0</v>
      </c>
      <c r="AG19" s="38">
        <f t="shared" ref="AG19" si="32">AG13-AG14</f>
        <v>0</v>
      </c>
      <c r="AH19" s="38">
        <f t="shared" ref="AH19" si="33">AH13-AH14</f>
        <v>0</v>
      </c>
      <c r="AI19" s="93">
        <f t="shared" ref="AI19" si="34">AI13-AI14</f>
        <v>0</v>
      </c>
      <c r="AJ19" s="111">
        <f t="shared" si="5"/>
        <v>0</v>
      </c>
      <c r="AK19" s="112"/>
      <c r="AL19" s="823"/>
      <c r="AM19" s="113"/>
      <c r="AN19" s="817"/>
      <c r="AO19" s="133"/>
      <c r="AQ19" s="134"/>
      <c r="AR19" s="134"/>
      <c r="AS19" s="134"/>
    </row>
    <row r="20" spans="1:45" s="7" customFormat="1" ht="31.5" thickBot="1">
      <c r="A20" s="895"/>
      <c r="B20" s="39" t="s">
        <v>53</v>
      </c>
      <c r="C20" s="40" t="s">
        <v>54</v>
      </c>
      <c r="D20" s="41"/>
      <c r="E20" s="794"/>
      <c r="F20" s="806"/>
      <c r="G20" s="807"/>
      <c r="H20" s="807"/>
      <c r="I20" s="807"/>
      <c r="J20" s="807"/>
      <c r="K20" s="807"/>
      <c r="L20" s="337"/>
      <c r="M20" s="337"/>
      <c r="N20" s="337"/>
      <c r="O20" s="337"/>
      <c r="P20" s="337"/>
      <c r="Q20" s="337"/>
      <c r="R20" s="337"/>
      <c r="S20" s="337"/>
      <c r="T20" s="337"/>
      <c r="U20" s="337"/>
      <c r="V20" s="337"/>
      <c r="W20" s="337"/>
      <c r="X20" s="337"/>
      <c r="Y20" s="361"/>
      <c r="Z20" s="97"/>
      <c r="AA20" s="98"/>
      <c r="AB20" s="99"/>
      <c r="AC20" s="79"/>
      <c r="AD20" s="79"/>
      <c r="AE20" s="79"/>
      <c r="AF20" s="79"/>
      <c r="AG20" s="79"/>
      <c r="AH20" s="79"/>
      <c r="AI20" s="96"/>
      <c r="AJ20" s="117">
        <f t="shared" si="5"/>
        <v>0</v>
      </c>
      <c r="AK20" s="112" t="str">
        <f>CONCATENATE(IF(D20&gt;D19," * HTS Index Negative for Age "&amp;D6&amp;" "&amp;D7&amp;" should be more than or equal to Newly Initiated on Prep"&amp;CHAR(10),""),IF(E20&gt;E19," * HTS Index Negative for Age "&amp;D6&amp;" "&amp;E7&amp;" should be more than or equal to Newly Initiated on Prep"&amp;CHAR(10),""),IF(F20&gt;F19," * HTS Index Negative for Age "&amp;F6&amp;" "&amp;F7&amp;" should be more than or equal to Newly Initiated on Prep"&amp;CHAR(10),""),IF(G20&gt;G19," * HTS Index Negative for Age "&amp;F6&amp;" "&amp;G7&amp;" should be more than or equal to Newly Initiated on Prep"&amp;CHAR(10),""),IF(H20&gt;H19," * HTS Index Negative for Age "&amp;H6&amp;" "&amp;H7&amp;" should be more than or equal to Newly Initiated on Prep"&amp;CHAR(10),""),IF(I20&gt;I19," * HTS Index Negative for Age "&amp;H6&amp;" "&amp;I7&amp;" should be more than or equal to Newly Initiated on Prep"&amp;CHAR(10),""),IF(J20&gt;J19," * HTS Index Negative for Age "&amp;J6&amp;" "&amp;J7&amp;" should be more than or equal to Newly Initiated on Prep"&amp;CHAR(10),""),IF(K20&gt;K19," * HTS Index Negative for Age "&amp;J6&amp;" "&amp;K7&amp;" should be more than or equal to Newly Initiated on Prep"&amp;CHAR(10),""),IF(L20&gt;L19," * HTS Index Negative for Age "&amp;L6&amp;" "&amp;L7&amp;" should be more than or equal to Newly Initiated on Prep"&amp;CHAR(10),""),IF(M20&gt;M19," * HTS Index Negative for Age "&amp;L6&amp;" "&amp;M7&amp;" should be more than or equal to Newly Initiated on Prep"&amp;CHAR(10),""),IF(N20&gt;N19," * HTS Index Negative for Age "&amp;N6&amp;" "&amp;N7&amp;" should be more than or equal to Newly Initiated on Prep"&amp;CHAR(10),""),IF(O20&gt;O19," * HTS Index Negative for Age "&amp;N6&amp;" "&amp;O7&amp;" should be more than or equal to Newly Initiated on Prep"&amp;CHAR(10),""),IF(P20&gt;P19," * HTS Index Negative for Age "&amp;P6&amp;" "&amp;P7&amp;" should be more than or equal to Newly Initiated on Prep"&amp;CHAR(10),""),IF(Q20&gt;Q19," * HTS Index Negative for Age "&amp;P6&amp;" "&amp;Q7&amp;" should be more than or equal to Newly Initiated on Prep"&amp;CHAR(10),""),IF(R20&gt;R19," * HTS Index Negative for Age "&amp;R6&amp;" "&amp;R7&amp;" should be more than or equal to Newly Initiated on Prep"&amp;CHAR(10),""),IF(S20&gt;S19," * HTS Index Negative for Age "&amp;R6&amp;" "&amp;S7&amp;" should be more than or equal to Newly Initiated on Prep"&amp;CHAR(10),""),IF(T20&gt;T19," * HTS Index Negative for Age "&amp;T6&amp;" "&amp;T7&amp;" should be more than or equal to Newly Initiated on Prep"&amp;CHAR(10),""),IF(U20&gt;U19," * HTS Index Negative for Age "&amp;T6&amp;" "&amp;U7&amp;" should be more than or equal to Newly Initiated on Prep"&amp;CHAR(10),""),IF(V20&gt;V19," * HTS Index Negative for Age "&amp;V6&amp;" "&amp;V7&amp;" should be more than or equal to Newly Initiated on Prep"&amp;CHAR(10),""),IF(W20&gt;W19," * HTS Index Negative for Age "&amp;V6&amp;" "&amp;W7&amp;" should be more than or equal to Newly Initiated on Prep"&amp;CHAR(10),""),IF(X20&gt;X19," * HTS Index Negative for Age "&amp;X6&amp;" "&amp;X7&amp;" should be more than or equal to Newly Initiated on Prep"&amp;CHAR(10),""),IF(Y20&gt;Y19," * HTS Index Negative for Age "&amp;X6&amp;" "&amp;Y7&amp;" should be more than or equal to Newly Initiated on Prep"&amp;CHAR(10),""),IF(Z20&gt;Z19," * HTS Index Negative for Age "&amp;Z6&amp;" "&amp;Z7&amp;" should be more than or equal to Newly Initiated on Prep"&amp;CHAR(10),""),IF(AA20&gt;AA19," * HTS Index Negative for Age "&amp;Z6&amp;" "&amp;AA7&amp;" should be more than or equal to Newly Initiated on Prep"&amp;CHAR(10),""))</f>
        <v/>
      </c>
      <c r="AL20" s="823"/>
      <c r="AM20" s="113"/>
      <c r="AN20" s="817"/>
      <c r="AO20" s="133"/>
      <c r="AQ20" s="134"/>
      <c r="AR20" s="134"/>
      <c r="AS20" s="134"/>
    </row>
    <row r="21" spans="1:45" s="7" customFormat="1">
      <c r="A21" s="894" t="s">
        <v>911</v>
      </c>
      <c r="B21" s="42" t="s">
        <v>29</v>
      </c>
      <c r="C21" s="43" t="s">
        <v>58</v>
      </c>
      <c r="D21" s="23"/>
      <c r="E21" s="24"/>
      <c r="F21" s="44"/>
      <c r="G21" s="44"/>
      <c r="H21" s="44"/>
      <c r="I21" s="44"/>
      <c r="J21" s="44"/>
      <c r="K21" s="44"/>
      <c r="L21" s="44"/>
      <c r="M21" s="44"/>
      <c r="N21" s="44"/>
      <c r="O21" s="44"/>
      <c r="P21" s="44"/>
      <c r="Q21" s="44"/>
      <c r="R21" s="44"/>
      <c r="S21" s="44"/>
      <c r="T21" s="44"/>
      <c r="U21" s="44"/>
      <c r="V21" s="44"/>
      <c r="W21" s="44"/>
      <c r="X21" s="44"/>
      <c r="Y21" s="100"/>
      <c r="Z21" s="714">
        <f t="shared" si="3"/>
        <v>0</v>
      </c>
      <c r="AA21" s="715">
        <f t="shared" si="4"/>
        <v>0</v>
      </c>
      <c r="AB21" s="101"/>
      <c r="AC21" s="44"/>
      <c r="AD21" s="44"/>
      <c r="AE21" s="44"/>
      <c r="AF21" s="44"/>
      <c r="AG21" s="44"/>
      <c r="AH21" s="44"/>
      <c r="AI21" s="100"/>
      <c r="AJ21" s="118">
        <f t="shared" si="5"/>
        <v>0</v>
      </c>
      <c r="AK21" s="119" t="str">
        <f>CONCATENATE(IF(D22&gt;D21," * Positive F01-11 for Age "&amp;D6&amp;" "&amp;D7&amp;" is more than Tested  F01-10"&amp;CHAR(10),""),IF(E22&gt;E21," * Positive F01-11 for Age "&amp;D6&amp;" "&amp;E7&amp;" is more than Tested  F01-10"&amp;CHAR(10),""),IF(F22&gt;F21," * Positive F01-11 for Age "&amp;F6&amp;" "&amp;F7&amp;" is more than Tested  F01-10"&amp;CHAR(10),""),IF(G22&gt;G21," * Positive F01-11 for Age "&amp;F6&amp;" "&amp;G7&amp;" is more than Tested  F01-10"&amp;CHAR(10),""),IF(H22&gt;H21," * Positive F01-11 for Age "&amp;H6&amp;" "&amp;H7&amp;" is more than Tested  F01-10"&amp;CHAR(10),""),IF(I22&gt;I21," * Positive F01-11 for Age "&amp;H6&amp;" "&amp;I7&amp;" is more than Tested  F01-10"&amp;CHAR(10),""),IF(J22&gt;J21," * Positive F01-11 for Age "&amp;J6&amp;" "&amp;J7&amp;" is more than Tested  F01-10"&amp;CHAR(10),""),IF(K22&gt;K21," * Positive F01-11 for Age "&amp;J6&amp;" "&amp;K7&amp;" is more than Tested  F01-10"&amp;CHAR(10),""),IF(L22&gt;L21," * Positive F01-11 for Age "&amp;L6&amp;" "&amp;L7&amp;" is more than Tested  F01-10"&amp;CHAR(10),""),IF(M22&gt;M21," * Positive F01-11 for Age "&amp;L6&amp;" "&amp;M7&amp;" is more than Tested  F01-10"&amp;CHAR(10),""),IF(N22&gt;N21," * Positive F01-11 for Age "&amp;N6&amp;" "&amp;N7&amp;" is more than Tested  F01-10"&amp;CHAR(10),""),IF(O22&gt;O21," * Positive F01-11 for Age "&amp;N6&amp;" "&amp;O7&amp;" is more than Tested  F01-10"&amp;CHAR(10),""),IF(P22&gt;P21," * Positive F01-11 for Age "&amp;P6&amp;" "&amp;P7&amp;" is more than Tested  F01-10"&amp;CHAR(10),""),IF(Q22&gt;Q21," * Positive F01-11 for Age "&amp;P6&amp;" "&amp;Q7&amp;" is more than Tested  F01-10"&amp;CHAR(10),""),IF(R22&gt;R21," * Positive F01-11 for Age "&amp;R6&amp;" "&amp;R7&amp;" is more than Tested  F01-10"&amp;CHAR(10),""),IF(S22&gt;S21," * Positive F01-11 for Age "&amp;R6&amp;" "&amp;S7&amp;" is more than Tested  F01-10"&amp;CHAR(10),""),IF(T22&gt;T21," * Positive F01-11 for Age "&amp;T6&amp;" "&amp;T7&amp;" is more than Tested  F01-10"&amp;CHAR(10),""),IF(U22&gt;U21," * Positive F01-11 for Age "&amp;T6&amp;" "&amp;U7&amp;" is more than Tested  F01-10"&amp;CHAR(10),""),IF(V22&gt;V21," * Positive F01-11 for Age "&amp;V6&amp;" "&amp;V7&amp;" is more than Tested  F01-10"&amp;CHAR(10),""),IF(W22&gt;W21," * Positive F01-11 for Age "&amp;V6&amp;" "&amp;W7&amp;" is more than Tested  F01-10"&amp;CHAR(10),""),IF(X22&gt;X21," * Positive F01-11 for Age "&amp;X6&amp;" "&amp;X7&amp;" is more than Tested  F01-10"&amp;CHAR(10),""),IF(Y22&gt;Y21," * Positive F01-11 for Age "&amp;X6&amp;" "&amp;Y7&amp;" is more than Tested  F01-10"&amp;CHAR(10),""),IF(Z22&gt;Z21," * Positive F01-11 for Age "&amp;Z6&amp;" "&amp;Z7&amp;" is more than Tested  F01-10"&amp;CHAR(10),""),IF(AA22&gt;AA21," * Positive F01-11 for Age "&amp;Z6&amp;" "&amp;AA7&amp;" is more than Tested  F01-10"&amp;CHAR(10),""),IF(AJ22&gt;AJ21," * Total Positive F01-11 is more than Total Tested  F01-10"&amp;CHAR(10),""))</f>
        <v/>
      </c>
      <c r="AL21" s="823"/>
      <c r="AM21" s="113" t="str">
        <f>CONCATENATE(IF(AND(IFERROR((AJ22*100)/AJ21,0)&gt;10,AJ22&gt;5)," * This facility has a high positivity rate for Index Testing. Kindly confirm if this is the true reflection"&amp;CHAR(10),""),"")</f>
        <v/>
      </c>
      <c r="AN21" s="817"/>
      <c r="AO21" s="133">
        <v>30</v>
      </c>
      <c r="AQ21" s="134"/>
      <c r="AR21" s="134"/>
      <c r="AS21" s="134"/>
    </row>
    <row r="22" spans="1:45" s="7" customFormat="1">
      <c r="A22" s="895"/>
      <c r="B22" s="45" t="s">
        <v>33</v>
      </c>
      <c r="C22" s="46" t="s">
        <v>61</v>
      </c>
      <c r="D22" s="28"/>
      <c r="E22" s="29"/>
      <c r="F22" s="711"/>
      <c r="G22" s="711"/>
      <c r="H22" s="711"/>
      <c r="I22" s="711"/>
      <c r="J22" s="711"/>
      <c r="K22" s="711"/>
      <c r="L22" s="711"/>
      <c r="M22" s="711"/>
      <c r="N22" s="711"/>
      <c r="O22" s="711"/>
      <c r="P22" s="711"/>
      <c r="Q22" s="711"/>
      <c r="R22" s="711"/>
      <c r="S22" s="711"/>
      <c r="T22" s="711"/>
      <c r="U22" s="711"/>
      <c r="V22" s="711"/>
      <c r="W22" s="711"/>
      <c r="X22" s="711"/>
      <c r="Y22" s="711"/>
      <c r="Z22" s="88">
        <f t="shared" si="3"/>
        <v>0</v>
      </c>
      <c r="AA22" s="89">
        <f t="shared" si="4"/>
        <v>0</v>
      </c>
      <c r="AB22" s="711"/>
      <c r="AC22" s="711"/>
      <c r="AD22" s="711"/>
      <c r="AE22" s="711"/>
      <c r="AF22" s="711"/>
      <c r="AG22" s="711"/>
      <c r="AH22" s="711"/>
      <c r="AI22" s="711"/>
      <c r="AJ22" s="111">
        <f t="shared" ref="AJ22:AJ26" si="35">SUM(D22:AA22)</f>
        <v>0</v>
      </c>
      <c r="AK22" s="120" t="str">
        <f>CONCATENATE(IF((D23+D24+D25+D26)&lt;&gt;D22," * "&amp;$A22&amp;" , "&amp;$B23&amp;" plus "&amp;$B24&amp;" plus "&amp;$B25&amp;" plus "&amp;$B26&amp;" For age "&amp;$D$6&amp;" "&amp;$D$7&amp;" should be equal to "&amp;$B22&amp;""&amp;CHAR(10),""),IF((E23+E24+E25+E26)&lt;&gt;E22," * "&amp;$A22&amp;" , "&amp;$B23&amp;" plus "&amp;$B24&amp;" plus "&amp;$B25&amp;" plus "&amp;$B26&amp;" For age "&amp;$D$6&amp;" "&amp;$E$7&amp;" should be equal to "&amp;$B22&amp;""&amp;CHAR(10),""),IF((F23+F24+F25+F26)&lt;&gt;F22," * "&amp;$A22&amp;" , "&amp;$B23&amp;" plus "&amp;$B24&amp;" plus "&amp;$B25&amp;" plus "&amp;$B26&amp;" For age "&amp;$F$6&amp;" "&amp;$F$7&amp;" should be equal to "&amp;$B22&amp;""&amp;CHAR(10),""),IF((G23+G24+G25+G26)&lt;&gt;G22," * "&amp;$A22&amp;" , "&amp;$B23&amp;" plus "&amp;$B24&amp;" plus "&amp;$B25&amp;" plus "&amp;$B26&amp;" For age "&amp;$F$6&amp;" "&amp;$G$7&amp;" should be equal to "&amp;$B22&amp;""&amp;CHAR(10),""),IF((H23+H24+H25+H26)&lt;&gt;H22," * "&amp;$A22&amp;" , "&amp;$B23&amp;" plus "&amp;$B24&amp;" plus "&amp;$B25&amp;" plus "&amp;$B26&amp;" For age "&amp;$H$6&amp;" "&amp;$H$7&amp;" should be equal to "&amp;$B22&amp;""&amp;CHAR(10),""),IF((I23+I24+I25+I26)&lt;&gt;I22," * "&amp;$A22&amp;" , "&amp;$B23&amp;" plus "&amp;$B24&amp;" plus "&amp;$B25&amp;" plus "&amp;$B26&amp;" For age "&amp;$H$6&amp;" "&amp;$I$7&amp;" should be equal to "&amp;$B22&amp;""&amp;CHAR(10),""),IF((J23+J24+J25+J26)&lt;&gt;J22," * "&amp;$A22&amp;" , "&amp;$B23&amp;" plus "&amp;$B24&amp;" plus "&amp;$B25&amp;" plus "&amp;$B26&amp;" For age "&amp;$J$6&amp;" "&amp;$J$7&amp;" should be equal to "&amp;$B22&amp;""&amp;CHAR(10),""),IF((K23+K24+K25+K26)&lt;&gt;K22," * "&amp;$A22&amp;" , "&amp;$B23&amp;" plus "&amp;$B24&amp;" plus "&amp;$B25&amp;" plus "&amp;$B26&amp;" For age "&amp;$J$6&amp;" "&amp;$K$7&amp;" should be equal to "&amp;$B22&amp;""&amp;CHAR(10),""),IF((L23+L24+L25+L26)&lt;&gt;L22," * "&amp;$A22&amp;" , "&amp;$B23&amp;" plus "&amp;$B24&amp;" plus "&amp;$B25&amp;" plus "&amp;$B26&amp;" For age "&amp;$L$6&amp;" "&amp;$L$7&amp;" should be equal to "&amp;$B22&amp;""&amp;CHAR(10),""),IF((M23+M24+M25+M26)&lt;&gt;M22," * "&amp;$A22&amp;" , "&amp;$B23&amp;" plus "&amp;$B24&amp;" plus "&amp;$B25&amp;" plus "&amp;$B26&amp;" For age "&amp;$L$6&amp;" "&amp;$M$7&amp;" should be equal to "&amp;$B22&amp;""&amp;CHAR(10),""),IF((N23+N24+N25+N26)&lt;&gt;N22," * "&amp;$A22&amp;" , "&amp;$B23&amp;" plus "&amp;$B24&amp;" plus "&amp;$B25&amp;" plus "&amp;$B26&amp;" For age "&amp;$N$6&amp;" "&amp;$N$7&amp;" should be equal to "&amp;$B22&amp;""&amp;CHAR(10),""),IF((O23+O24+O25+O26)&lt;&gt;O22," * "&amp;$A22&amp;" , "&amp;$B23&amp;" plus "&amp;$B24&amp;" plus "&amp;$B25&amp;" plus "&amp;$B26&amp;" For age "&amp;$N$6&amp;" "&amp;$O$7&amp;" should be equal to "&amp;$B22&amp;""&amp;CHAR(10),""),IF((P23+P24+P25+P26)&lt;&gt;P22," * "&amp;$A22&amp;" , "&amp;$B23&amp;" plus "&amp;$B24&amp;" plus "&amp;$B25&amp;" plus "&amp;$B26&amp;" For age "&amp;$P$6&amp;" "&amp;$P$7&amp;" should be equal to "&amp;$B22&amp;""&amp;CHAR(10),""),IF((Q23+Q24+Q25+Q26)&lt;&gt;Q22," * "&amp;$A22&amp;" , "&amp;$B23&amp;" plus "&amp;$B24&amp;" plus "&amp;$B25&amp;" plus "&amp;$B26&amp;" For age "&amp;$P$6&amp;" "&amp;$Q$7&amp;" should be equal to "&amp;$B22&amp;""&amp;CHAR(10),""),IF((R23+R24+R25+R26)&lt;&gt;R22," * "&amp;$A22&amp;" , "&amp;$B23&amp;" plus "&amp;$B24&amp;" plus "&amp;$B25&amp;" plus "&amp;$B26&amp;" For age "&amp;$R$6&amp;" "&amp;$R$7&amp;" should be equal to "&amp;$B22&amp;""&amp;CHAR(10),""),IF((S23+S24+S25+S26)&lt;&gt;S22," * "&amp;$A22&amp;" , "&amp;$B23&amp;" plus "&amp;$B24&amp;" plus "&amp;$B25&amp;" plus "&amp;$B26&amp;" For age "&amp;$R$6&amp;" "&amp;$S$7&amp;" should be equal to "&amp;$B22&amp;""&amp;CHAR(10),""),IF((T23+T24+T25+T26)&lt;&gt;T22," * "&amp;$A22&amp;" , "&amp;$B23&amp;" plus "&amp;$B24&amp;" plus "&amp;$B25&amp;" plus "&amp;$B26&amp;" For age "&amp;$T$6&amp;" "&amp;$T$7&amp;" should be equal to "&amp;$B22&amp;""&amp;CHAR(10),""),IF((U23+U24+U25+U26)&lt;&gt;U22," * "&amp;$A22&amp;" , "&amp;$B23&amp;" plus "&amp;$B24&amp;" plus "&amp;$B25&amp;" plus "&amp;$B26&amp;" For age "&amp;$T$6&amp;" "&amp;$U$7&amp;" should be equal to "&amp;$B22&amp;""&amp;CHAR(10),""),IF((V23+V24+V25+V26)&lt;&gt;V22," * "&amp;$A22&amp;" , "&amp;$B23&amp;" plus "&amp;$B24&amp;" plus "&amp;$B25&amp;" plus "&amp;$B26&amp;" For age "&amp;$V$6&amp;" "&amp;$V$7&amp;" should be equal to "&amp;$B22&amp;""&amp;CHAR(10),""),IF((W23+W24+W25+W26)&lt;&gt;W22," * "&amp;$A22&amp;" , "&amp;$B23&amp;" plus "&amp;$B24&amp;" plus "&amp;$B25&amp;" plus "&amp;$B26&amp;" For age "&amp;$V$6&amp;" "&amp;$W$7&amp;" should be equal to "&amp;$B22&amp;""&amp;CHAR(10),""),IF((X23+X24+X25+X26)&lt;&gt;X22," * "&amp;$A22&amp;" , "&amp;$B23&amp;" plus "&amp;$B24&amp;" plus "&amp;$B25&amp;" plus "&amp;$B26&amp;" For age "&amp;$X$6&amp;" "&amp;$X$7&amp;" should be equal to "&amp;$B22&amp;""&amp;CHAR(10),""),IF((Y23+Y24+Y25+Y26)&lt;&gt;Y22," * "&amp;$A22&amp;" , "&amp;$B23&amp;" plus "&amp;$B24&amp;" plus "&amp;$B25&amp;" plus "&amp;$B26&amp;" For age "&amp;$X$6&amp;" "&amp;$Y$7&amp;" should be equal to "&amp;$B22&amp;""&amp;CHAR(10),""),IF((Z23+Z24+Z25+Z26)&lt;&gt;Z22," * "&amp;$A22&amp;" , "&amp;$B23&amp;" plus "&amp;$B24&amp;" plus "&amp;$B25&amp;" plus "&amp;$B26&amp;" For age "&amp;$Z$6&amp;" "&amp;$Z$7&amp;" should be equal to "&amp;$B22&amp;""&amp;CHAR(10),""),IF((AA23+AA24+AA25+AA26)&lt;&gt;AA22," * "&amp;$A22&amp;" , "&amp;$B23&amp;" plus "&amp;$B24&amp;" plus "&amp;$B25&amp;" plus "&amp;$B26&amp;" For age "&amp;$Z$6&amp;" "&amp;$AA$7&amp;" should be equal to "&amp;$B22&amp;""&amp;CHAR(10),""))</f>
        <v/>
      </c>
      <c r="AL22" s="823"/>
      <c r="AM22" s="113"/>
      <c r="AN22" s="817"/>
      <c r="AO22" s="133">
        <v>31</v>
      </c>
      <c r="AQ22" s="134"/>
      <c r="AR22" s="134"/>
      <c r="AS22" s="134"/>
    </row>
    <row r="23" spans="1:45" s="7" customFormat="1">
      <c r="A23" s="895"/>
      <c r="B23" s="47" t="s">
        <v>37</v>
      </c>
      <c r="C23" s="46" t="s">
        <v>63</v>
      </c>
      <c r="D23" s="28"/>
      <c r="E23" s="29"/>
      <c r="F23" s="712"/>
      <c r="G23" s="712"/>
      <c r="H23" s="712"/>
      <c r="I23" s="712"/>
      <c r="J23" s="712"/>
      <c r="K23" s="712"/>
      <c r="L23" s="712"/>
      <c r="M23" s="712"/>
      <c r="N23" s="712"/>
      <c r="O23" s="712"/>
      <c r="P23" s="712"/>
      <c r="Q23" s="712"/>
      <c r="R23" s="712"/>
      <c r="S23" s="712"/>
      <c r="T23" s="712"/>
      <c r="U23" s="712"/>
      <c r="V23" s="712"/>
      <c r="W23" s="712"/>
      <c r="X23" s="712"/>
      <c r="Y23" s="712"/>
      <c r="Z23" s="88">
        <f t="shared" si="3"/>
        <v>0</v>
      </c>
      <c r="AA23" s="89">
        <f t="shared" si="4"/>
        <v>0</v>
      </c>
      <c r="AB23" s="712"/>
      <c r="AC23" s="712"/>
      <c r="AD23" s="712"/>
      <c r="AE23" s="712"/>
      <c r="AF23" s="712"/>
      <c r="AG23" s="712"/>
      <c r="AH23" s="712"/>
      <c r="AI23" s="712"/>
      <c r="AJ23" s="111">
        <f t="shared" si="35"/>
        <v>0</v>
      </c>
      <c r="AK23" s="848"/>
      <c r="AL23" s="823"/>
      <c r="AM23" s="113"/>
      <c r="AN23" s="817"/>
      <c r="AO23" s="133"/>
      <c r="AQ23" s="134"/>
      <c r="AR23" s="134"/>
      <c r="AS23" s="134"/>
    </row>
    <row r="24" spans="1:45" s="7" customFormat="1">
      <c r="A24" s="895"/>
      <c r="B24" s="47" t="s">
        <v>41</v>
      </c>
      <c r="C24" s="46" t="s">
        <v>65</v>
      </c>
      <c r="D24" s="28"/>
      <c r="E24" s="29"/>
      <c r="F24" s="712"/>
      <c r="G24" s="712"/>
      <c r="H24" s="712"/>
      <c r="I24" s="712"/>
      <c r="J24" s="712"/>
      <c r="K24" s="712"/>
      <c r="L24" s="712"/>
      <c r="M24" s="712"/>
      <c r="N24" s="712"/>
      <c r="O24" s="712"/>
      <c r="P24" s="712"/>
      <c r="Q24" s="712"/>
      <c r="R24" s="712"/>
      <c r="S24" s="712"/>
      <c r="T24" s="712"/>
      <c r="U24" s="712"/>
      <c r="V24" s="712"/>
      <c r="W24" s="712"/>
      <c r="X24" s="712"/>
      <c r="Y24" s="712"/>
      <c r="Z24" s="88">
        <f t="shared" si="3"/>
        <v>0</v>
      </c>
      <c r="AA24" s="89">
        <f t="shared" si="4"/>
        <v>0</v>
      </c>
      <c r="AB24" s="712"/>
      <c r="AC24" s="712"/>
      <c r="AD24" s="712"/>
      <c r="AE24" s="712"/>
      <c r="AF24" s="712"/>
      <c r="AG24" s="712"/>
      <c r="AH24" s="712"/>
      <c r="AI24" s="712"/>
      <c r="AJ24" s="111">
        <f t="shared" si="35"/>
        <v>0</v>
      </c>
      <c r="AK24" s="848"/>
      <c r="AL24" s="823"/>
      <c r="AM24" s="113"/>
      <c r="AN24" s="817"/>
      <c r="AO24" s="133"/>
      <c r="AQ24" s="134"/>
      <c r="AR24" s="134"/>
      <c r="AS24" s="134"/>
    </row>
    <row r="25" spans="1:45" s="7" customFormat="1">
      <c r="A25" s="895"/>
      <c r="B25" s="47" t="s">
        <v>44</v>
      </c>
      <c r="C25" s="46" t="s">
        <v>66</v>
      </c>
      <c r="D25" s="28"/>
      <c r="E25" s="29"/>
      <c r="F25" s="712"/>
      <c r="G25" s="712"/>
      <c r="H25" s="712"/>
      <c r="I25" s="712"/>
      <c r="J25" s="712"/>
      <c r="K25" s="712"/>
      <c r="L25" s="712"/>
      <c r="M25" s="712"/>
      <c r="N25" s="712"/>
      <c r="O25" s="712"/>
      <c r="P25" s="712"/>
      <c r="Q25" s="712"/>
      <c r="R25" s="712"/>
      <c r="S25" s="712"/>
      <c r="T25" s="712"/>
      <c r="U25" s="712"/>
      <c r="V25" s="712"/>
      <c r="W25" s="712"/>
      <c r="X25" s="712"/>
      <c r="Y25" s="712"/>
      <c r="Z25" s="88">
        <f t="shared" si="3"/>
        <v>0</v>
      </c>
      <c r="AA25" s="89">
        <f t="shared" si="4"/>
        <v>0</v>
      </c>
      <c r="AB25" s="712"/>
      <c r="AC25" s="712"/>
      <c r="AD25" s="712"/>
      <c r="AE25" s="712"/>
      <c r="AF25" s="712"/>
      <c r="AG25" s="712"/>
      <c r="AH25" s="712"/>
      <c r="AI25" s="712"/>
      <c r="AJ25" s="111">
        <f t="shared" si="35"/>
        <v>0</v>
      </c>
      <c r="AK25" s="121"/>
      <c r="AL25" s="823"/>
      <c r="AM25" s="113"/>
      <c r="AN25" s="817"/>
      <c r="AO25" s="133"/>
      <c r="AQ25" s="134"/>
      <c r="AR25" s="134"/>
      <c r="AS25" s="134"/>
    </row>
    <row r="26" spans="1:45" s="7" customFormat="1" ht="31.5" thickBot="1">
      <c r="A26" s="896"/>
      <c r="B26" s="48" t="s">
        <v>47</v>
      </c>
      <c r="C26" s="49" t="s">
        <v>67</v>
      </c>
      <c r="D26" s="50"/>
      <c r="E26" s="51"/>
      <c r="F26" s="713"/>
      <c r="G26" s="713"/>
      <c r="H26" s="713"/>
      <c r="I26" s="713"/>
      <c r="J26" s="713"/>
      <c r="K26" s="713"/>
      <c r="L26" s="713"/>
      <c r="M26" s="713"/>
      <c r="N26" s="713"/>
      <c r="O26" s="713"/>
      <c r="P26" s="713"/>
      <c r="Q26" s="713"/>
      <c r="R26" s="713"/>
      <c r="S26" s="713"/>
      <c r="T26" s="713"/>
      <c r="U26" s="713"/>
      <c r="V26" s="713"/>
      <c r="W26" s="713"/>
      <c r="X26" s="713"/>
      <c r="Y26" s="713"/>
      <c r="Z26" s="102">
        <f t="shared" si="3"/>
        <v>0</v>
      </c>
      <c r="AA26" s="103">
        <f t="shared" si="4"/>
        <v>0</v>
      </c>
      <c r="AB26" s="713"/>
      <c r="AC26" s="713"/>
      <c r="AD26" s="713"/>
      <c r="AE26" s="713"/>
      <c r="AF26" s="713"/>
      <c r="AG26" s="713"/>
      <c r="AH26" s="713"/>
      <c r="AI26" s="713"/>
      <c r="AJ26" s="117">
        <f t="shared" si="35"/>
        <v>0</v>
      </c>
      <c r="AK26" s="121"/>
      <c r="AL26" s="823"/>
      <c r="AM26" s="113"/>
      <c r="AN26" s="817"/>
      <c r="AO26" s="133"/>
      <c r="AQ26" s="134"/>
      <c r="AR26" s="134"/>
      <c r="AS26" s="134"/>
    </row>
    <row r="27" spans="1:45" s="7" customFormat="1">
      <c r="A27" s="894" t="s">
        <v>912</v>
      </c>
      <c r="B27" s="42" t="s">
        <v>29</v>
      </c>
      <c r="C27" s="43" t="s">
        <v>70</v>
      </c>
      <c r="D27" s="23"/>
      <c r="E27" s="24"/>
      <c r="F27" s="44"/>
      <c r="G27" s="44"/>
      <c r="H27" s="44"/>
      <c r="I27" s="44"/>
      <c r="J27" s="44"/>
      <c r="K27" s="44"/>
      <c r="L27" s="44"/>
      <c r="M27" s="44"/>
      <c r="N27" s="44"/>
      <c r="O27" s="44"/>
      <c r="P27" s="44"/>
      <c r="Q27" s="44"/>
      <c r="R27" s="44"/>
      <c r="S27" s="44"/>
      <c r="T27" s="44"/>
      <c r="U27" s="44"/>
      <c r="V27" s="44"/>
      <c r="W27" s="44"/>
      <c r="X27" s="44"/>
      <c r="Y27" s="44"/>
      <c r="Z27" s="88">
        <f t="shared" si="3"/>
        <v>0</v>
      </c>
      <c r="AA27" s="89">
        <f t="shared" si="4"/>
        <v>0</v>
      </c>
      <c r="AB27" s="44"/>
      <c r="AC27" s="44"/>
      <c r="AD27" s="44"/>
      <c r="AE27" s="44"/>
      <c r="AF27" s="44"/>
      <c r="AG27" s="44"/>
      <c r="AH27" s="44"/>
      <c r="AI27" s="100"/>
      <c r="AJ27" s="118">
        <f t="shared" ref="AJ27:AJ31" si="36">SUM(D27:AA27)</f>
        <v>0</v>
      </c>
      <c r="AK27" s="119" t="str">
        <f>CONCATENATE(IF(D28&gt;D27," * Positive F01-13 for Age "&amp;D6&amp;" "&amp;D7&amp;" is more than Tested F01-12"&amp;CHAR(10),""),IF(E28&gt;E27," * Positive F01-13 for Age "&amp;D6&amp;" "&amp;E7&amp;" is more than Tested F01-12"&amp;CHAR(10),""),IF(F28&gt;F27," * Positive F01-13 for Age "&amp;F6&amp;" "&amp;F7&amp;" is more than Tested F01-12"&amp;CHAR(10),""),IF(G28&gt;G27," * Positive F01-13 for Age "&amp;F6&amp;" "&amp;G7&amp;" is more than Tested F01-12"&amp;CHAR(10),""),IF(H28&gt;H27," * Positive F01-13 for Age "&amp;H6&amp;" "&amp;H7&amp;" is more than Tested F01-12"&amp;CHAR(10),""),IF(I28&gt;I27," * Positive F01-13 for Age "&amp;H6&amp;" "&amp;I7&amp;" is more than Tested F01-12"&amp;CHAR(10),""),IF(J28&gt;J27," * Positive F01-13 for Age "&amp;J6&amp;" "&amp;J7&amp;" is more than Tested F01-12"&amp;CHAR(10),""),IF(K28&gt;K27," * Positive F01-13 for Age "&amp;J6&amp;" "&amp;K7&amp;" is more than Tested F01-12"&amp;CHAR(10),""),IF(L28&gt;L27," * Positive F01-13 for Age "&amp;L6&amp;" "&amp;L7&amp;" is more than Tested F01-12"&amp;CHAR(10),""),IF(M28&gt;M27," * Positive F01-13 for Age "&amp;L6&amp;" "&amp;M7&amp;" is more than Tested F01-12"&amp;CHAR(10),""),IF(N28&gt;N27," * Positive F01-13 for Age "&amp;N6&amp;" "&amp;N7&amp;" is more than Tested F01-12"&amp;CHAR(10),""),IF(O28&gt;O27," * Positive F01-13 for Age "&amp;N6&amp;" "&amp;O7&amp;" is more than Tested F01-12"&amp;CHAR(10),""),IF(P28&gt;P27," * Positive F01-13 for Age "&amp;P6&amp;" "&amp;P7&amp;" is more than Tested F01-12"&amp;CHAR(10),""),IF(Q28&gt;Q27," * Positive F01-13 for Age "&amp;P6&amp;" "&amp;Q7&amp;" is more than Tested F01-12"&amp;CHAR(10),""),IF(R28&gt;R27," * Positive F01-13 for Age "&amp;R6&amp;" "&amp;R7&amp;" is more than Tested F01-12"&amp;CHAR(10),""),IF(S28&gt;S27," * Positive F01-13 for Age "&amp;R6&amp;" "&amp;S7&amp;" is more than Tested F01-12"&amp;CHAR(10),""),IF(T28&gt;T27," * Positive F01-13 for Age "&amp;T6&amp;" "&amp;T7&amp;" is more than Tested F01-12"&amp;CHAR(10),""),IF(U28&gt;U27," * Positive F01-13 for Age "&amp;T6&amp;" "&amp;U7&amp;" is more than Tested F01-12"&amp;CHAR(10),""),IF(V28&gt;V27," * Positive F01-13 for Age "&amp;V6&amp;" "&amp;V7&amp;" is more than Tested F01-12"&amp;CHAR(10),""),IF(W28&gt;W27," * Positive F01-13 for Age "&amp;V6&amp;" "&amp;W7&amp;" is more than Tested F01-12"&amp;CHAR(10),""),IF(X28&gt;X27," * Positive F01-13 for Age "&amp;X6&amp;" "&amp;X7&amp;" is more than Tested F01-12"&amp;CHAR(10),""),IF(Y28&gt;Y27," * Positive F01-13 for Age "&amp;X6&amp;" "&amp;Y7&amp;" is more than Tested F01-12"&amp;CHAR(10),""),IF(Z28&gt;Z27," * Positive F01-13 for Age "&amp;Z6&amp;" "&amp;Z7&amp;" is more than Tested F01-12"&amp;CHAR(10),""),IF(AA28&gt;AA27," * Positive F01-13 for Age "&amp;Z6&amp;" "&amp;AA7&amp;" is more than Tested F01-12"&amp;CHAR(10),""))</f>
        <v/>
      </c>
      <c r="AL27" s="823"/>
      <c r="AM27" s="113" t="str">
        <f>CONCATENATE(IF(AND(IFERROR((AJ28*100)/AJ27,0)&gt;10,AJ28&gt;5)," * This facility has a high positivity rate for Index Testing. Kindly confirm if this is the true reflection"&amp;CHAR(10),""),"")</f>
        <v/>
      </c>
      <c r="AN27" s="817"/>
      <c r="AO27" s="133">
        <v>32</v>
      </c>
      <c r="AQ27" s="134"/>
      <c r="AR27" s="134"/>
      <c r="AS27" s="134"/>
    </row>
    <row r="28" spans="1:45" s="7" customFormat="1">
      <c r="A28" s="895"/>
      <c r="B28" s="45" t="s">
        <v>33</v>
      </c>
      <c r="C28" s="46" t="s">
        <v>72</v>
      </c>
      <c r="D28" s="28"/>
      <c r="E28" s="29"/>
      <c r="F28" s="711"/>
      <c r="G28" s="711"/>
      <c r="H28" s="711"/>
      <c r="I28" s="711"/>
      <c r="J28" s="711"/>
      <c r="K28" s="711"/>
      <c r="L28" s="711"/>
      <c r="M28" s="711"/>
      <c r="N28" s="711"/>
      <c r="O28" s="711"/>
      <c r="P28" s="711"/>
      <c r="Q28" s="711"/>
      <c r="R28" s="711"/>
      <c r="S28" s="711"/>
      <c r="T28" s="711"/>
      <c r="U28" s="711"/>
      <c r="V28" s="711"/>
      <c r="W28" s="711"/>
      <c r="X28" s="711"/>
      <c r="Y28" s="711"/>
      <c r="Z28" s="88">
        <f t="shared" si="3"/>
        <v>0</v>
      </c>
      <c r="AA28" s="89">
        <f t="shared" si="4"/>
        <v>0</v>
      </c>
      <c r="AB28" s="711"/>
      <c r="AC28" s="711"/>
      <c r="AD28" s="711"/>
      <c r="AE28" s="711"/>
      <c r="AF28" s="711"/>
      <c r="AG28" s="711"/>
      <c r="AH28" s="711"/>
      <c r="AI28" s="711"/>
      <c r="AJ28" s="111">
        <f t="shared" si="36"/>
        <v>0</v>
      </c>
      <c r="AK28" s="120" t="str">
        <f>CONCATENATE(IF((D29+D30+D31+D32)&lt;&gt;D28," * "&amp;$A28&amp;" , "&amp;$B29&amp;" plus "&amp;$B30&amp;" plus "&amp;$B31&amp;" plus "&amp;$B32&amp;" For age "&amp;$D$6&amp;" "&amp;$D$7&amp;" should be equal to "&amp;$B28&amp;""&amp;CHAR(10),""),IF((E29+E30+E31+E32)&lt;&gt;E28," * "&amp;$A28&amp;" , "&amp;$B29&amp;" plus "&amp;$B30&amp;" plus "&amp;$B31&amp;" plus "&amp;$B32&amp;" For age "&amp;$D$6&amp;" "&amp;$E$7&amp;" should be equal to "&amp;$B28&amp;""&amp;CHAR(10),""),IF((F29+F30+F31+F32)&lt;&gt;F28," * "&amp;$A28&amp;" , "&amp;$B29&amp;" plus "&amp;$B30&amp;" plus "&amp;$B31&amp;" plus "&amp;$B32&amp;" For age "&amp;$F$6&amp;" "&amp;$F$7&amp;" should be equal to "&amp;$B28&amp;""&amp;CHAR(10),""),IF((G29+G30+G31+G32)&lt;&gt;G28," * "&amp;$A28&amp;" , "&amp;$B29&amp;" plus "&amp;$B30&amp;" plus "&amp;$B31&amp;" plus "&amp;$B32&amp;" For age "&amp;$F$6&amp;" "&amp;$G$7&amp;" should be equal to "&amp;$B28&amp;""&amp;CHAR(10),""),IF((H29+H30+H31+H32)&lt;&gt;H28," * "&amp;$A28&amp;" , "&amp;$B29&amp;" plus "&amp;$B30&amp;" plus "&amp;$B31&amp;" plus "&amp;$B32&amp;" For age "&amp;$H$6&amp;" "&amp;$H$7&amp;" should be equal to "&amp;$B28&amp;""&amp;CHAR(10),""),IF((I29+I30+I31+I32)&lt;&gt;I28," * "&amp;$A28&amp;" , "&amp;$B29&amp;" plus "&amp;$B30&amp;" plus "&amp;$B31&amp;" plus "&amp;$B32&amp;" For age "&amp;$H$6&amp;" "&amp;$I$7&amp;" should be equal to "&amp;$B28&amp;""&amp;CHAR(10),""),IF((J29+J30+J31+J32)&lt;&gt;J28," * "&amp;$A28&amp;" , "&amp;$B29&amp;" plus "&amp;$B30&amp;" plus "&amp;$B31&amp;" plus "&amp;$B32&amp;" For age "&amp;$J$6&amp;" "&amp;$J$7&amp;" should be equal to "&amp;$B28&amp;""&amp;CHAR(10),""),IF((K29+K30+K31+K32)&lt;&gt;K28," * "&amp;$A28&amp;" , "&amp;$B29&amp;" plus "&amp;$B30&amp;" plus "&amp;$B31&amp;" plus "&amp;$B32&amp;" For age "&amp;$J$6&amp;" "&amp;$K$7&amp;" should be equal to "&amp;$B28&amp;""&amp;CHAR(10),""),IF((L29+L30+L31+L32)&lt;&gt;L28," * "&amp;$A28&amp;" , "&amp;$B29&amp;" plus "&amp;$B30&amp;" plus "&amp;$B31&amp;" plus "&amp;$B32&amp;" For age "&amp;$L$6&amp;" "&amp;$L$7&amp;" should be equal to "&amp;$B28&amp;""&amp;CHAR(10),""),IF((M29+M30+M31+M32)&lt;&gt;M28," * "&amp;$A28&amp;" , "&amp;$B29&amp;" plus "&amp;$B30&amp;" plus "&amp;$B31&amp;" plus "&amp;$B32&amp;" For age "&amp;$L$6&amp;" "&amp;$M$7&amp;" should be equal to "&amp;$B28&amp;""&amp;CHAR(10),""),IF((N29+N30+N31+N32)&lt;&gt;N28," * "&amp;$A28&amp;" , "&amp;$B29&amp;" plus "&amp;$B30&amp;" plus "&amp;$B31&amp;" plus "&amp;$B32&amp;" For age "&amp;$N$6&amp;" "&amp;$N$7&amp;" should be equal to "&amp;$B28&amp;""&amp;CHAR(10),""),IF((O29+O30+O31+O32)&lt;&gt;O28," * "&amp;$A28&amp;" , "&amp;$B29&amp;" plus "&amp;$B30&amp;" plus "&amp;$B31&amp;" plus "&amp;$B32&amp;" For age "&amp;$N$6&amp;" "&amp;$O$7&amp;" should be equal to "&amp;$B28&amp;""&amp;CHAR(10),""),IF((P29+P30+P31+P32)&lt;&gt;P28," * "&amp;$A28&amp;" , "&amp;$B29&amp;" plus "&amp;$B30&amp;" plus "&amp;$B31&amp;" plus "&amp;$B32&amp;" For age "&amp;$P$6&amp;" "&amp;$P$7&amp;" should be equal to "&amp;$B28&amp;""&amp;CHAR(10),""),IF((Q29+Q30+Q31+Q32)&lt;&gt;Q28," * "&amp;$A28&amp;" , "&amp;$B29&amp;" plus "&amp;$B30&amp;" plus "&amp;$B31&amp;" plus "&amp;$B32&amp;" For age "&amp;$P$6&amp;" "&amp;$Q$7&amp;" should be equal to "&amp;$B28&amp;""&amp;CHAR(10),""),IF((R29+R30+R31+R32)&lt;&gt;R28," * "&amp;$A28&amp;" , "&amp;$B29&amp;" plus "&amp;$B30&amp;" plus "&amp;$B31&amp;" plus "&amp;$B32&amp;" For age "&amp;$R$6&amp;" "&amp;$R$7&amp;" should be equal to "&amp;$B28&amp;""&amp;CHAR(10),""),IF((S29+S30+S31+S32)&lt;&gt;S28," * "&amp;$A28&amp;" , "&amp;$B29&amp;" plus "&amp;$B30&amp;" plus "&amp;$B31&amp;" plus "&amp;$B32&amp;" For age "&amp;$R$6&amp;" "&amp;$S$7&amp;" should be equal to "&amp;$B28&amp;""&amp;CHAR(10),""),IF((T29+T30+T31+T32)&lt;&gt;T28," * "&amp;$A28&amp;" , "&amp;$B29&amp;" plus "&amp;$B30&amp;" plus "&amp;$B31&amp;" plus "&amp;$B32&amp;" For age "&amp;$T$6&amp;" "&amp;$T$7&amp;" should be equal to "&amp;$B28&amp;""&amp;CHAR(10),""),IF((U29+U30+U31+U32)&lt;&gt;U28," * "&amp;$A28&amp;" , "&amp;$B29&amp;" plus "&amp;$B30&amp;" plus "&amp;$B31&amp;" plus "&amp;$B32&amp;" For age "&amp;$T$6&amp;" "&amp;$U$7&amp;" should be equal to "&amp;$B28&amp;""&amp;CHAR(10),""),IF((V29+V30+V31+V32)&lt;&gt;V28," * "&amp;$A28&amp;" , "&amp;$B29&amp;" plus "&amp;$B30&amp;" plus "&amp;$B31&amp;" plus "&amp;$B32&amp;" For age "&amp;$V$6&amp;" "&amp;$V$7&amp;" should be equal to "&amp;$B28&amp;""&amp;CHAR(10),""),IF((W29+W30+W31+W32)&lt;&gt;W28," * "&amp;$A28&amp;" , "&amp;$B29&amp;" plus "&amp;$B30&amp;" plus "&amp;$B31&amp;" plus "&amp;$B32&amp;" For age "&amp;$V$6&amp;" "&amp;$W$7&amp;" should be equal to "&amp;$B28&amp;""&amp;CHAR(10),""),IF((X29+X30+X31+X32)&lt;&gt;X28," * "&amp;$A28&amp;" , "&amp;$B29&amp;" plus "&amp;$B30&amp;" plus "&amp;$B31&amp;" plus "&amp;$B32&amp;" For age "&amp;$X$6&amp;" "&amp;$X$7&amp;" should be equal to "&amp;$B28&amp;""&amp;CHAR(10),""),IF((Y29+Y30+Y31+Y32)&lt;&gt;Y28," * "&amp;$A28&amp;" , "&amp;$B29&amp;" plus "&amp;$B30&amp;" plus "&amp;$B31&amp;" plus "&amp;$B32&amp;" For age "&amp;$X$6&amp;" "&amp;$Y$7&amp;" should be equal to "&amp;$B28&amp;""&amp;CHAR(10),""),IF((Z29+Z30+Z31+Z32)&lt;&gt;Z28," * "&amp;$A28&amp;" , "&amp;$B29&amp;" plus "&amp;$B30&amp;" plus "&amp;$B31&amp;" plus "&amp;$B32&amp;" For age "&amp;$Z$6&amp;" "&amp;$Z$7&amp;" should be equal to "&amp;$B28&amp;""&amp;CHAR(10),""),IF((AA29+AA30+AA31+AA32)&lt;&gt;AA28," * "&amp;$A28&amp;" , "&amp;$B29&amp;" plus "&amp;$B30&amp;" plus "&amp;$B31&amp;" plus "&amp;$B32&amp;" For age "&amp;$Z$6&amp;" "&amp;$AA$7&amp;" should be equal to "&amp;$B28&amp;""&amp;CHAR(10),""))</f>
        <v/>
      </c>
      <c r="AL28" s="823"/>
      <c r="AM28" s="113" t="str">
        <f>CONCATENATE(IF(D27&gt;0," * F01-12 for Age "&amp;D6&amp;" "&amp;D7&amp;" has a value greater than 0"&amp;CHAR(10),""),IF(E27&gt;0," * F01-12 for Age "&amp;D6&amp;" "&amp;E7&amp;" has a value greater than 0"&amp;CHAR(10),""),IF(D28&gt;0," * F01-13 for Age "&amp;D6&amp;" "&amp;D7&amp;" has a value greater than 0"&amp;CHAR(10),""),IF(E28&gt;0," * F01-13 for Age "&amp;D6&amp;" "&amp;E7&amp;" has a value greater than 0"&amp;CHAR(10),""),IF(D33&gt;0," * F01-14 for Age "&amp;D6&amp;" "&amp;D7&amp;" has a value greater than 0"&amp;CHAR(10),""),IF(E33&gt;0," * F01-14 for Age "&amp;D6&amp;" "&amp;E7&amp;" has a value greater than 0"&amp;CHAR(10),""),IF(D34&gt;0," * F01-15 for Age "&amp;D6&amp;" "&amp;D7&amp;" has a value greater than 0"&amp;CHAR(10),""),IF(E34&gt;0," * F01-15 for Age "&amp;D6&amp;" "&amp;E7&amp;" has a value greater than 0"&amp;CHAR(10),""),IF(D51&gt;0," * F01-20 for Age "&amp;D6&amp;" "&amp;D7&amp;" has a value greater than 0"&amp;CHAR(10),""),IF(E51&gt;0," * F01-20 for Age "&amp;D6&amp;" "&amp;E7&amp;" has a value greater than 0"&amp;CHAR(10),""),IF(D52&gt;0," * F01-21 for Age "&amp;D6&amp;" "&amp;D7&amp;" has a value greater than 0"&amp;CHAR(10),""),IF(E52&gt;0," * F01-21 for Age "&amp;D6&amp;" "&amp;E7&amp;" has a value greater than 0"&amp;CHAR(10),""),IF(D87&gt;0," * F01-22 for Age "&amp;D6&amp;" "&amp;D7&amp;" has a value greater than 0"&amp;CHAR(10),""),IF(E87&gt;0," * F01-22 for Age "&amp;D6&amp;" "&amp;E7&amp;" has a value greater than 0"&amp;CHAR(10),""),IF(D88&gt;0," * F01-23 for Age "&amp;D6&amp;" "&amp;D7&amp;" has a value greater than 0"&amp;CHAR(10),""),IF(E88&gt;0," * F01-23 for Age "&amp;D6&amp;" "&amp;E7&amp;" has a value greater than 0"&amp;CHAR(10),""),"")</f>
        <v/>
      </c>
      <c r="AN28" s="817"/>
      <c r="AO28" s="133">
        <v>33</v>
      </c>
      <c r="AQ28" s="134"/>
      <c r="AR28" s="134"/>
      <c r="AS28" s="134"/>
    </row>
    <row r="29" spans="1:45" s="7" customFormat="1">
      <c r="A29" s="895"/>
      <c r="B29" s="47" t="s">
        <v>37</v>
      </c>
      <c r="C29" s="46" t="s">
        <v>74</v>
      </c>
      <c r="D29" s="28"/>
      <c r="E29" s="29"/>
      <c r="F29" s="712"/>
      <c r="G29" s="712"/>
      <c r="H29" s="712"/>
      <c r="I29" s="712"/>
      <c r="J29" s="712"/>
      <c r="K29" s="712"/>
      <c r="L29" s="712"/>
      <c r="M29" s="712"/>
      <c r="N29" s="712"/>
      <c r="O29" s="712"/>
      <c r="P29" s="712"/>
      <c r="Q29" s="712"/>
      <c r="R29" s="712"/>
      <c r="S29" s="712"/>
      <c r="T29" s="712"/>
      <c r="U29" s="712"/>
      <c r="V29" s="712"/>
      <c r="W29" s="712"/>
      <c r="X29" s="712"/>
      <c r="Y29" s="712"/>
      <c r="Z29" s="88">
        <f t="shared" si="3"/>
        <v>0</v>
      </c>
      <c r="AA29" s="89">
        <f t="shared" si="4"/>
        <v>0</v>
      </c>
      <c r="AB29" s="712"/>
      <c r="AC29" s="712"/>
      <c r="AD29" s="712"/>
      <c r="AE29" s="712"/>
      <c r="AF29" s="712"/>
      <c r="AG29" s="712"/>
      <c r="AH29" s="712"/>
      <c r="AI29" s="712"/>
      <c r="AJ29" s="111">
        <f t="shared" si="36"/>
        <v>0</v>
      </c>
      <c r="AK29" s="112"/>
      <c r="AL29" s="823"/>
      <c r="AM29" s="113"/>
      <c r="AN29" s="817"/>
      <c r="AO29" s="133"/>
      <c r="AQ29" s="134"/>
      <c r="AR29" s="134"/>
      <c r="AS29" s="134"/>
    </row>
    <row r="30" spans="1:45" s="7" customFormat="1">
      <c r="A30" s="895"/>
      <c r="B30" s="47" t="s">
        <v>41</v>
      </c>
      <c r="C30" s="46" t="s">
        <v>75</v>
      </c>
      <c r="D30" s="28"/>
      <c r="E30" s="29"/>
      <c r="F30" s="712"/>
      <c r="G30" s="712"/>
      <c r="H30" s="712"/>
      <c r="I30" s="712"/>
      <c r="J30" s="712"/>
      <c r="K30" s="712"/>
      <c r="L30" s="712"/>
      <c r="M30" s="712"/>
      <c r="N30" s="712"/>
      <c r="O30" s="712"/>
      <c r="P30" s="712"/>
      <c r="Q30" s="712"/>
      <c r="R30" s="712"/>
      <c r="S30" s="712"/>
      <c r="T30" s="712"/>
      <c r="U30" s="712"/>
      <c r="V30" s="712"/>
      <c r="W30" s="712"/>
      <c r="X30" s="712"/>
      <c r="Y30" s="712"/>
      <c r="Z30" s="88">
        <f t="shared" si="3"/>
        <v>0</v>
      </c>
      <c r="AA30" s="89">
        <f t="shared" si="4"/>
        <v>0</v>
      </c>
      <c r="AB30" s="712"/>
      <c r="AC30" s="712"/>
      <c r="AD30" s="712"/>
      <c r="AE30" s="712"/>
      <c r="AF30" s="712"/>
      <c r="AG30" s="712"/>
      <c r="AH30" s="712"/>
      <c r="AI30" s="712"/>
      <c r="AJ30" s="111">
        <f t="shared" si="36"/>
        <v>0</v>
      </c>
      <c r="AK30" s="112"/>
      <c r="AL30" s="823"/>
      <c r="AM30" s="113"/>
      <c r="AN30" s="817"/>
      <c r="AO30" s="133"/>
      <c r="AQ30" s="134"/>
      <c r="AR30" s="134"/>
      <c r="AS30" s="134"/>
    </row>
    <row r="31" spans="1:45" s="7" customFormat="1">
      <c r="A31" s="895"/>
      <c r="B31" s="47" t="s">
        <v>44</v>
      </c>
      <c r="C31" s="46" t="s">
        <v>76</v>
      </c>
      <c r="D31" s="28"/>
      <c r="E31" s="29"/>
      <c r="F31" s="712"/>
      <c r="G31" s="712"/>
      <c r="H31" s="712"/>
      <c r="I31" s="712"/>
      <c r="J31" s="712"/>
      <c r="K31" s="712"/>
      <c r="L31" s="712"/>
      <c r="M31" s="712"/>
      <c r="N31" s="712"/>
      <c r="O31" s="712"/>
      <c r="P31" s="712"/>
      <c r="Q31" s="712"/>
      <c r="R31" s="712"/>
      <c r="S31" s="712"/>
      <c r="T31" s="712"/>
      <c r="U31" s="712"/>
      <c r="V31" s="712"/>
      <c r="W31" s="712"/>
      <c r="X31" s="712"/>
      <c r="Y31" s="712"/>
      <c r="Z31" s="88">
        <f t="shared" si="3"/>
        <v>0</v>
      </c>
      <c r="AA31" s="89">
        <f t="shared" si="4"/>
        <v>0</v>
      </c>
      <c r="AB31" s="712"/>
      <c r="AC31" s="712"/>
      <c r="AD31" s="712"/>
      <c r="AE31" s="712"/>
      <c r="AF31" s="712"/>
      <c r="AG31" s="712"/>
      <c r="AH31" s="712"/>
      <c r="AI31" s="712"/>
      <c r="AJ31" s="111">
        <f t="shared" si="36"/>
        <v>0</v>
      </c>
      <c r="AK31" s="112"/>
      <c r="AL31" s="823"/>
      <c r="AM31" s="113"/>
      <c r="AN31" s="817"/>
      <c r="AO31" s="133"/>
      <c r="AQ31" s="134"/>
      <c r="AR31" s="134"/>
      <c r="AS31" s="134"/>
    </row>
    <row r="32" spans="1:45" s="7" customFormat="1" ht="31.5" thickBot="1">
      <c r="A32" s="896"/>
      <c r="B32" s="48" t="s">
        <v>47</v>
      </c>
      <c r="C32" s="49" t="s">
        <v>77</v>
      </c>
      <c r="D32" s="50"/>
      <c r="E32" s="51"/>
      <c r="F32" s="713"/>
      <c r="G32" s="713"/>
      <c r="H32" s="713"/>
      <c r="I32" s="713"/>
      <c r="J32" s="713"/>
      <c r="K32" s="713"/>
      <c r="L32" s="713"/>
      <c r="M32" s="713"/>
      <c r="N32" s="713"/>
      <c r="O32" s="713"/>
      <c r="P32" s="713"/>
      <c r="Q32" s="713"/>
      <c r="R32" s="713"/>
      <c r="S32" s="713"/>
      <c r="T32" s="713"/>
      <c r="U32" s="713"/>
      <c r="V32" s="713"/>
      <c r="W32" s="713"/>
      <c r="X32" s="713"/>
      <c r="Y32" s="713"/>
      <c r="Z32" s="88">
        <f t="shared" si="3"/>
        <v>0</v>
      </c>
      <c r="AA32" s="89">
        <f t="shared" si="4"/>
        <v>0</v>
      </c>
      <c r="AB32" s="713"/>
      <c r="AC32" s="713"/>
      <c r="AD32" s="713"/>
      <c r="AE32" s="713"/>
      <c r="AF32" s="713"/>
      <c r="AG32" s="713"/>
      <c r="AH32" s="713"/>
      <c r="AI32" s="713"/>
      <c r="AJ32" s="117">
        <f t="shared" ref="AJ32:AJ36" si="37">SUM(D32:AA32)</f>
        <v>0</v>
      </c>
      <c r="AK32" s="112"/>
      <c r="AL32" s="823"/>
      <c r="AM32" s="113"/>
      <c r="AN32" s="817"/>
      <c r="AO32" s="133"/>
      <c r="AQ32" s="134"/>
      <c r="AR32" s="134"/>
      <c r="AS32" s="134"/>
    </row>
    <row r="33" spans="1:41">
      <c r="A33" s="894" t="s">
        <v>913</v>
      </c>
      <c r="B33" s="42" t="s">
        <v>29</v>
      </c>
      <c r="C33" s="43" t="s">
        <v>80</v>
      </c>
      <c r="D33" s="23"/>
      <c r="E33" s="24"/>
      <c r="F33" s="44"/>
      <c r="G33" s="44"/>
      <c r="H33" s="52"/>
      <c r="I33" s="52"/>
      <c r="J33" s="52"/>
      <c r="K33" s="52"/>
      <c r="L33" s="52"/>
      <c r="M33" s="52"/>
      <c r="N33" s="52"/>
      <c r="O33" s="52"/>
      <c r="P33" s="52"/>
      <c r="Q33" s="52"/>
      <c r="R33" s="52"/>
      <c r="S33" s="52"/>
      <c r="T33" s="52"/>
      <c r="U33" s="52"/>
      <c r="V33" s="52"/>
      <c r="W33" s="52"/>
      <c r="X33" s="52"/>
      <c r="Y33" s="52"/>
      <c r="Z33" s="88"/>
      <c r="AA33" s="89"/>
      <c r="AB33" s="52"/>
      <c r="AC33" s="52"/>
      <c r="AD33" s="52"/>
      <c r="AE33" s="52"/>
      <c r="AF33" s="52"/>
      <c r="AG33" s="52"/>
      <c r="AH33" s="52"/>
      <c r="AI33" s="122"/>
      <c r="AJ33" s="118">
        <f t="shared" si="37"/>
        <v>0</v>
      </c>
      <c r="AK33" s="119" t="str">
        <f>CONCATENATE(IF(D34&gt;D33," * Positive F01-15 for Age "&amp;D6&amp;" "&amp;D7&amp;" is more than Tested F01-14"&amp;CHAR(10),""),IF(E34&gt;E33," * Positive F01-15 for Age "&amp;D6&amp;" "&amp;E7&amp;" is more than Tested F01-14"&amp;CHAR(10),""),IF(F34&gt;F33," * Positive F01-15 for Age "&amp;F6&amp;" "&amp;F7&amp;" is more than Tested F01-14"&amp;CHAR(10),""),IF(G34&gt;G33," * Positive F01-15 for Age "&amp;F6&amp;" "&amp;G7&amp;" is more than Tested F01-14"&amp;CHAR(10),""),IF(H34&gt;H33," * Positive F01-15 for Age "&amp;H6&amp;" "&amp;H7&amp;" is more than Tested F01-14"&amp;CHAR(10),""),IF(I34&gt;I33," * Positive F01-15 for Age "&amp;H6&amp;" "&amp;I7&amp;" is more than Tested F01-14"&amp;CHAR(10),""),IF(J34&gt;J33," * Positive F01-15 for Age "&amp;J6&amp;" "&amp;J7&amp;" is more than Tested F01-14"&amp;CHAR(10),""),IF(K34&gt;K33," * Positive F01-15 for Age "&amp;J6&amp;" "&amp;K7&amp;" is more than Tested F01-14"&amp;CHAR(10),""),IF(L34&gt;L33," * Positive F01-15 for Age "&amp;L6&amp;" "&amp;L7&amp;" is more than Tested F01-14"&amp;CHAR(10),""),IF(M34&gt;M33," * Positive F01-15 for Age "&amp;L6&amp;" "&amp;M7&amp;" is more than Tested F01-14"&amp;CHAR(10),""),IF(N34&gt;N33," * Positive F01-15 for Age "&amp;N6&amp;" "&amp;N7&amp;" is more than Tested F01-14"&amp;CHAR(10),""),IF(O34&gt;O33," * Positive F01-15 for Age "&amp;N6&amp;" "&amp;O7&amp;" is more than Tested F01-14"&amp;CHAR(10),""),IF(P34&gt;P33," * Positive F01-15 for Age "&amp;P6&amp;" "&amp;P7&amp;" is more than Tested F01-14"&amp;CHAR(10),""),IF(Q34&gt;Q33," * Positive F01-15 for Age "&amp;P6&amp;" "&amp;Q7&amp;" is more than Tested F01-14"&amp;CHAR(10),""),IF(R34&gt;R33," * Positive F01-15 for Age "&amp;R6&amp;" "&amp;R7&amp;" is more than Tested F01-14"&amp;CHAR(10),""),IF(S34&gt;S33," * Positive F01-15 for Age "&amp;R6&amp;" "&amp;S7&amp;" is more than Tested F01-14"&amp;CHAR(10),""),IF(T34&gt;T33," * Positive F01-15 for Age "&amp;T6&amp;" "&amp;T7&amp;" is more than Tested F01-14"&amp;CHAR(10),""),IF(U34&gt;U33," * Positive F01-15 for Age "&amp;T6&amp;" "&amp;U7&amp;" is more than Tested F01-14"&amp;CHAR(10),""),IF(V34&gt;V33," * Positive F01-15 for Age "&amp;V6&amp;" "&amp;V7&amp;" is more than Tested F01-14"&amp;CHAR(10),""),IF(W34&gt;W33," * Positive F01-15 for Age "&amp;V6&amp;" "&amp;W7&amp;" is more than Tested F01-14"&amp;CHAR(10),""),IF(X34&gt;X33," * Positive F01-15 for Age "&amp;X6&amp;" "&amp;X7&amp;" is more than Tested F01-14"&amp;CHAR(10),""),IF(Y34&gt;Y33," * Positive F01-15 for Age "&amp;X6&amp;" "&amp;Y7&amp;" is more than Tested F01-14"&amp;CHAR(10),""),IF(Z34&gt;Z33," * Positive F01-15 for Age "&amp;Z6&amp;" "&amp;Z7&amp;" is more than Tested F01-14"&amp;CHAR(10),""),IF(AA34&gt;AA33," * Positive F01-15 for Age "&amp;Z6&amp;" "&amp;AA7&amp;" is more than Tested F01-14"&amp;CHAR(10),""))</f>
        <v/>
      </c>
      <c r="AL33" s="823"/>
      <c r="AM33" s="113" t="str">
        <f>CONCATENATE(IF(AND(IFERROR((AJ34*100)/AJ33,0)&gt;10,AJ34&gt;5)," * This facility has a high positivity rate for Index Testing. Kindly confirm if this is the true reflection"&amp;CHAR(10),""),"")</f>
        <v/>
      </c>
      <c r="AN33" s="817"/>
      <c r="AO33" s="133">
        <v>34</v>
      </c>
    </row>
    <row r="34" spans="1:41">
      <c r="A34" s="895"/>
      <c r="B34" s="45" t="s">
        <v>33</v>
      </c>
      <c r="C34" s="46" t="s">
        <v>82</v>
      </c>
      <c r="D34" s="28"/>
      <c r="E34" s="29"/>
      <c r="F34" s="711"/>
      <c r="G34" s="711"/>
      <c r="H34" s="53"/>
      <c r="I34" s="53"/>
      <c r="J34" s="53"/>
      <c r="K34" s="53"/>
      <c r="L34" s="53"/>
      <c r="M34" s="53"/>
      <c r="N34" s="53"/>
      <c r="O34" s="53"/>
      <c r="P34" s="53"/>
      <c r="Q34" s="53"/>
      <c r="R34" s="53"/>
      <c r="S34" s="53"/>
      <c r="T34" s="53"/>
      <c r="U34" s="53"/>
      <c r="V34" s="53"/>
      <c r="W34" s="53"/>
      <c r="X34" s="53"/>
      <c r="Y34" s="53"/>
      <c r="Z34" s="88"/>
      <c r="AA34" s="89"/>
      <c r="AB34" s="53"/>
      <c r="AC34" s="53"/>
      <c r="AD34" s="53"/>
      <c r="AE34" s="53"/>
      <c r="AF34" s="53"/>
      <c r="AG34" s="53"/>
      <c r="AH34" s="53"/>
      <c r="AI34" s="123"/>
      <c r="AJ34" s="111">
        <f t="shared" si="37"/>
        <v>0</v>
      </c>
      <c r="AK34" s="120" t="str">
        <f>CONCATENATE(IF((D35+D36+D37+D38)&lt;&gt;D34," * "&amp;$A34&amp;" , "&amp;$B35&amp;" plus "&amp;$B36&amp;" plus "&amp;$B37&amp;" plus "&amp;$B38&amp;" For age "&amp;$D$6&amp;" "&amp;$D$7&amp;" should be equal to "&amp;$B34&amp;""&amp;CHAR(10),""),IF((E35+E36+E37+E38)&lt;&gt;E34," * "&amp;$A34&amp;" , "&amp;$B35&amp;" plus "&amp;$B36&amp;" plus "&amp;$B37&amp;" plus "&amp;$B38&amp;" For age "&amp;$D$6&amp;" "&amp;$E$7&amp;" should be equal to "&amp;$B34&amp;""&amp;CHAR(10),""),IF((F35+F36+F37+F38)&lt;&gt;F34," * "&amp;$A34&amp;" , "&amp;$B35&amp;" plus "&amp;$B36&amp;" plus "&amp;$B37&amp;" plus "&amp;$B38&amp;" For age "&amp;$F$6&amp;" "&amp;$F$7&amp;" should be equal to "&amp;$B34&amp;""&amp;CHAR(10),""),IF((G35+G36+G37+G38)&lt;&gt;G34," * "&amp;$A34&amp;" , "&amp;$B35&amp;" plus "&amp;$B36&amp;" plus "&amp;$B37&amp;" plus "&amp;$B38&amp;" For age "&amp;$F$6&amp;" "&amp;$G$7&amp;" should be equal to "&amp;$B34&amp;""&amp;CHAR(10),""),IF((H35+H36+H37+H38)&lt;&gt;H34," * "&amp;$A34&amp;" , "&amp;$B35&amp;" plus "&amp;$B36&amp;" plus "&amp;$B37&amp;" plus "&amp;$B38&amp;" For age "&amp;$H$6&amp;" "&amp;$H$7&amp;" should be equal to "&amp;$B34&amp;""&amp;CHAR(10),""),IF((I35+I36+I37+I38)&lt;&gt;I34," * "&amp;$A34&amp;" , "&amp;$B35&amp;" plus "&amp;$B36&amp;" plus "&amp;$B37&amp;" plus "&amp;$B38&amp;" For age "&amp;$H$6&amp;" "&amp;$I$7&amp;" should be equal to "&amp;$B34&amp;""&amp;CHAR(10),""),IF((J35+J36+J37+J38)&lt;&gt;J34," * "&amp;$A34&amp;" , "&amp;$B35&amp;" plus "&amp;$B36&amp;" plus "&amp;$B37&amp;" plus "&amp;$B38&amp;" For age "&amp;$J$6&amp;" "&amp;$J$7&amp;" should be equal to "&amp;$B34&amp;""&amp;CHAR(10),""),IF((K35+K36+K37+K38)&lt;&gt;K34," * "&amp;$A34&amp;" , "&amp;$B35&amp;" plus "&amp;$B36&amp;" plus "&amp;$B37&amp;" plus "&amp;$B38&amp;" For age "&amp;$J$6&amp;" "&amp;$K$7&amp;" should be equal to "&amp;$B34&amp;""&amp;CHAR(10),""),IF((L35+L36+L37+L38)&lt;&gt;L34," * "&amp;$A34&amp;" , "&amp;$B35&amp;" plus "&amp;$B36&amp;" plus "&amp;$B37&amp;" plus "&amp;$B38&amp;" For age "&amp;$L$6&amp;" "&amp;$L$7&amp;" should be equal to "&amp;$B34&amp;""&amp;CHAR(10),""),IF((M35+M36+M37+M38)&lt;&gt;M34," * "&amp;$A34&amp;" , "&amp;$B35&amp;" plus "&amp;$B36&amp;" plus "&amp;$B37&amp;" plus "&amp;$B38&amp;" For age "&amp;$L$6&amp;" "&amp;$M$7&amp;" should be equal to "&amp;$B34&amp;""&amp;CHAR(10),""),IF((N35+N36+N37+N38)&lt;&gt;N34," * "&amp;$A34&amp;" , "&amp;$B35&amp;" plus "&amp;$B36&amp;" plus "&amp;$B37&amp;" plus "&amp;$B38&amp;" For age "&amp;$N$6&amp;" "&amp;$N$7&amp;" should be equal to "&amp;$B34&amp;""&amp;CHAR(10),""),IF((O35+O36+O37+O38)&lt;&gt;O34," * "&amp;$A34&amp;" , "&amp;$B35&amp;" plus "&amp;$B36&amp;" plus "&amp;$B37&amp;" plus "&amp;$B38&amp;" For age "&amp;$N$6&amp;" "&amp;$O$7&amp;" should be equal to "&amp;$B34&amp;""&amp;CHAR(10),""),IF((P35+P36+P37+P38)&lt;&gt;P34," * "&amp;$A34&amp;" , "&amp;$B35&amp;" plus "&amp;$B36&amp;" plus "&amp;$B37&amp;" plus "&amp;$B38&amp;" For age "&amp;$P$6&amp;" "&amp;$P$7&amp;" should be equal to "&amp;$B34&amp;""&amp;CHAR(10),""),IF((Q35+Q36+Q37+Q38)&lt;&gt;Q34," * "&amp;$A34&amp;" , "&amp;$B35&amp;" plus "&amp;$B36&amp;" plus "&amp;$B37&amp;" plus "&amp;$B38&amp;" For age "&amp;$P$6&amp;" "&amp;$Q$7&amp;" should be equal to "&amp;$B34&amp;""&amp;CHAR(10),""),IF((R35+R36+R37+R38)&lt;&gt;R34," * "&amp;$A34&amp;" , "&amp;$B35&amp;" plus "&amp;$B36&amp;" plus "&amp;$B37&amp;" plus "&amp;$B38&amp;" For age "&amp;$R$6&amp;" "&amp;$R$7&amp;" should be equal to "&amp;$B34&amp;""&amp;CHAR(10),""),IF((S35+S36+S37+S38)&lt;&gt;S34," * "&amp;$A34&amp;" , "&amp;$B35&amp;" plus "&amp;$B36&amp;" plus "&amp;$B37&amp;" plus "&amp;$B38&amp;" For age "&amp;$R$6&amp;" "&amp;$S$7&amp;" should be equal to "&amp;$B34&amp;""&amp;CHAR(10),""),IF((T35+T36+T37+T38)&lt;&gt;T34," * "&amp;$A34&amp;" , "&amp;$B35&amp;" plus "&amp;$B36&amp;" plus "&amp;$B37&amp;" plus "&amp;$B38&amp;" For age "&amp;$T$6&amp;" "&amp;$T$7&amp;" should be equal to "&amp;$B34&amp;""&amp;CHAR(10),""),IF((U35+U36+U37+U38)&lt;&gt;U34," * "&amp;$A34&amp;" , "&amp;$B35&amp;" plus "&amp;$B36&amp;" plus "&amp;$B37&amp;" plus "&amp;$B38&amp;" For age "&amp;$T$6&amp;" "&amp;$U$7&amp;" should be equal to "&amp;$B34&amp;""&amp;CHAR(10),""),IF((V35+V36+V37+V38)&lt;&gt;V34," * "&amp;$A34&amp;" , "&amp;$B35&amp;" plus "&amp;$B36&amp;" plus "&amp;$B37&amp;" plus "&amp;$B38&amp;" For age "&amp;$V$6&amp;" "&amp;$V$7&amp;" should be equal to "&amp;$B34&amp;""&amp;CHAR(10),""),IF((W35+W36+W37+W38)&lt;&gt;W34," * "&amp;$A34&amp;" , "&amp;$B35&amp;" plus "&amp;$B36&amp;" plus "&amp;$B37&amp;" plus "&amp;$B38&amp;" For age "&amp;$V$6&amp;" "&amp;$W$7&amp;" should be equal to "&amp;$B34&amp;""&amp;CHAR(10),""),IF((X35+X36+X37+X38)&lt;&gt;X34," * "&amp;$A34&amp;" , "&amp;$B35&amp;" plus "&amp;$B36&amp;" plus "&amp;$B37&amp;" plus "&amp;$B38&amp;" For age "&amp;$X$6&amp;" "&amp;$X$7&amp;" should be equal to "&amp;$B34&amp;""&amp;CHAR(10),""),IF((Y35+Y36+Y37+Y38)&lt;&gt;Y34," * "&amp;$A34&amp;" , "&amp;$B35&amp;" plus "&amp;$B36&amp;" plus "&amp;$B37&amp;" plus "&amp;$B38&amp;" For age "&amp;$X$6&amp;" "&amp;$Y$7&amp;" should be equal to "&amp;$B34&amp;""&amp;CHAR(10),""),IF((Z35+Z36+Z37+Z38)&lt;&gt;Z34," * "&amp;$A34&amp;" , "&amp;$B35&amp;" plus "&amp;$B36&amp;" plus "&amp;$B37&amp;" plus "&amp;$B38&amp;" For age "&amp;$Z$6&amp;" "&amp;$Z$7&amp;" should be equal to "&amp;$B34&amp;""&amp;CHAR(10),""),IF((AA35+AA36+AA37+AA38)&lt;&gt;AA34," * "&amp;$A34&amp;" , "&amp;$B35&amp;" plus "&amp;$B36&amp;" plus "&amp;$B37&amp;" plus "&amp;$B38&amp;" For age "&amp;$Z$6&amp;" "&amp;$AA$7&amp;" should be equal to "&amp;$B34&amp;""&amp;CHAR(10),""))</f>
        <v/>
      </c>
      <c r="AL34" s="823"/>
      <c r="AM34" s="113"/>
      <c r="AN34" s="817"/>
      <c r="AO34" s="133">
        <v>35</v>
      </c>
    </row>
    <row r="35" spans="1:41">
      <c r="A35" s="895"/>
      <c r="B35" s="47" t="s">
        <v>37</v>
      </c>
      <c r="C35" s="46" t="s">
        <v>84</v>
      </c>
      <c r="D35" s="28"/>
      <c r="E35" s="29"/>
      <c r="F35" s="712"/>
      <c r="G35" s="712"/>
      <c r="H35" s="53"/>
      <c r="I35" s="53"/>
      <c r="J35" s="53"/>
      <c r="K35" s="53"/>
      <c r="L35" s="53"/>
      <c r="M35" s="53"/>
      <c r="N35" s="53"/>
      <c r="O35" s="53"/>
      <c r="P35" s="53"/>
      <c r="Q35" s="53"/>
      <c r="R35" s="53"/>
      <c r="S35" s="53"/>
      <c r="T35" s="53"/>
      <c r="U35" s="53"/>
      <c r="V35" s="53"/>
      <c r="W35" s="53"/>
      <c r="X35" s="53"/>
      <c r="Y35" s="53"/>
      <c r="Z35" s="88">
        <f t="shared" ref="Z35:Z38" si="38">SUM(AB35,AD35,AF35,AH35)</f>
        <v>0</v>
      </c>
      <c r="AA35" s="89">
        <f t="shared" ref="AA35:AA38" si="39">SUM(AC35,AE35,AG35,AI35)</f>
        <v>0</v>
      </c>
      <c r="AB35" s="53"/>
      <c r="AC35" s="53"/>
      <c r="AD35" s="53"/>
      <c r="AE35" s="53"/>
      <c r="AF35" s="53"/>
      <c r="AG35" s="53"/>
      <c r="AH35" s="53"/>
      <c r="AI35" s="53"/>
      <c r="AJ35" s="111">
        <f t="shared" si="37"/>
        <v>0</v>
      </c>
      <c r="AK35" s="112"/>
      <c r="AL35" s="823"/>
      <c r="AM35" s="113"/>
      <c r="AN35" s="817"/>
      <c r="AO35" s="133"/>
    </row>
    <row r="36" spans="1:41">
      <c r="A36" s="895"/>
      <c r="B36" s="47" t="s">
        <v>41</v>
      </c>
      <c r="C36" s="46" t="s">
        <v>85</v>
      </c>
      <c r="D36" s="28"/>
      <c r="E36" s="29"/>
      <c r="F36" s="712"/>
      <c r="G36" s="712"/>
      <c r="H36" s="53"/>
      <c r="I36" s="53"/>
      <c r="J36" s="53"/>
      <c r="K36" s="53"/>
      <c r="L36" s="53"/>
      <c r="M36" s="53"/>
      <c r="N36" s="53"/>
      <c r="O36" s="53"/>
      <c r="P36" s="53"/>
      <c r="Q36" s="53"/>
      <c r="R36" s="53"/>
      <c r="S36" s="53"/>
      <c r="T36" s="53"/>
      <c r="U36" s="53"/>
      <c r="V36" s="53"/>
      <c r="W36" s="53"/>
      <c r="X36" s="53"/>
      <c r="Y36" s="53"/>
      <c r="Z36" s="88">
        <f t="shared" si="38"/>
        <v>0</v>
      </c>
      <c r="AA36" s="89">
        <f t="shared" si="39"/>
        <v>0</v>
      </c>
      <c r="AB36" s="53"/>
      <c r="AC36" s="53"/>
      <c r="AD36" s="53"/>
      <c r="AE36" s="53"/>
      <c r="AF36" s="53"/>
      <c r="AG36" s="53"/>
      <c r="AH36" s="53"/>
      <c r="AI36" s="53"/>
      <c r="AJ36" s="111">
        <f t="shared" si="37"/>
        <v>0</v>
      </c>
      <c r="AK36" s="112"/>
      <c r="AL36" s="823"/>
      <c r="AM36" s="113"/>
      <c r="AN36" s="817"/>
      <c r="AO36" s="133"/>
    </row>
    <row r="37" spans="1:41">
      <c r="A37" s="895"/>
      <c r="B37" s="47" t="s">
        <v>44</v>
      </c>
      <c r="C37" s="46" t="s">
        <v>86</v>
      </c>
      <c r="D37" s="28"/>
      <c r="E37" s="29"/>
      <c r="F37" s="712"/>
      <c r="G37" s="712"/>
      <c r="H37" s="53"/>
      <c r="I37" s="53"/>
      <c r="J37" s="53"/>
      <c r="K37" s="53"/>
      <c r="L37" s="53"/>
      <c r="M37" s="53"/>
      <c r="N37" s="53"/>
      <c r="O37" s="53"/>
      <c r="P37" s="53"/>
      <c r="Q37" s="53"/>
      <c r="R37" s="53"/>
      <c r="S37" s="53"/>
      <c r="T37" s="53"/>
      <c r="U37" s="53"/>
      <c r="V37" s="53"/>
      <c r="W37" s="53"/>
      <c r="X37" s="53"/>
      <c r="Y37" s="53"/>
      <c r="Z37" s="88">
        <f t="shared" si="38"/>
        <v>0</v>
      </c>
      <c r="AA37" s="89">
        <f t="shared" si="39"/>
        <v>0</v>
      </c>
      <c r="AB37" s="53"/>
      <c r="AC37" s="53"/>
      <c r="AD37" s="53"/>
      <c r="AE37" s="53"/>
      <c r="AF37" s="53"/>
      <c r="AG37" s="53"/>
      <c r="AH37" s="53"/>
      <c r="AI37" s="53"/>
      <c r="AJ37" s="111">
        <f t="shared" ref="AJ37:AJ42" si="40">SUM(D37:AA37)</f>
        <v>0</v>
      </c>
      <c r="AK37" s="112"/>
      <c r="AL37" s="823"/>
      <c r="AM37" s="113"/>
      <c r="AN37" s="817"/>
      <c r="AO37" s="133"/>
    </row>
    <row r="38" spans="1:41" ht="31.5" thickBot="1">
      <c r="A38" s="896"/>
      <c r="B38" s="48" t="s">
        <v>47</v>
      </c>
      <c r="C38" s="49" t="s">
        <v>87</v>
      </c>
      <c r="D38" s="50"/>
      <c r="E38" s="51"/>
      <c r="F38" s="713"/>
      <c r="G38" s="713"/>
      <c r="H38" s="53"/>
      <c r="I38" s="53"/>
      <c r="J38" s="53"/>
      <c r="K38" s="53"/>
      <c r="L38" s="53"/>
      <c r="M38" s="53"/>
      <c r="N38" s="53"/>
      <c r="O38" s="53"/>
      <c r="P38" s="53"/>
      <c r="Q38" s="53"/>
      <c r="R38" s="53"/>
      <c r="S38" s="53"/>
      <c r="T38" s="53"/>
      <c r="U38" s="53"/>
      <c r="V38" s="53"/>
      <c r="W38" s="53"/>
      <c r="X38" s="53"/>
      <c r="Y38" s="53"/>
      <c r="Z38" s="88">
        <f t="shared" si="38"/>
        <v>0</v>
      </c>
      <c r="AA38" s="89">
        <f t="shared" si="39"/>
        <v>0</v>
      </c>
      <c r="AB38" s="53"/>
      <c r="AC38" s="53"/>
      <c r="AD38" s="53"/>
      <c r="AE38" s="53"/>
      <c r="AF38" s="53"/>
      <c r="AG38" s="53"/>
      <c r="AH38" s="53"/>
      <c r="AI38" s="53"/>
      <c r="AJ38" s="117">
        <f t="shared" si="40"/>
        <v>0</v>
      </c>
      <c r="AK38" s="112"/>
      <c r="AL38" s="823"/>
      <c r="AM38" s="113"/>
      <c r="AN38" s="817"/>
      <c r="AO38" s="133"/>
    </row>
    <row r="39" spans="1:41" ht="26.25" customHeight="1">
      <c r="A39" s="894" t="s">
        <v>914</v>
      </c>
      <c r="B39" s="42" t="s">
        <v>29</v>
      </c>
      <c r="C39" s="43" t="s">
        <v>90</v>
      </c>
      <c r="D39" s="23"/>
      <c r="E39" s="24"/>
      <c r="F39" s="44"/>
      <c r="G39" s="44"/>
      <c r="H39" s="52"/>
      <c r="I39" s="52"/>
      <c r="J39" s="52"/>
      <c r="K39" s="52"/>
      <c r="L39" s="52"/>
      <c r="M39" s="52"/>
      <c r="N39" s="52"/>
      <c r="O39" s="52"/>
      <c r="P39" s="52"/>
      <c r="Q39" s="52"/>
      <c r="R39" s="52"/>
      <c r="S39" s="52"/>
      <c r="T39" s="52"/>
      <c r="U39" s="52"/>
      <c r="V39" s="52"/>
      <c r="W39" s="52"/>
      <c r="X39" s="52"/>
      <c r="Y39" s="52"/>
      <c r="Z39" s="88"/>
      <c r="AA39" s="89"/>
      <c r="AB39" s="52"/>
      <c r="AC39" s="52"/>
      <c r="AD39" s="52"/>
      <c r="AE39" s="52"/>
      <c r="AF39" s="52"/>
      <c r="AG39" s="52"/>
      <c r="AH39" s="52"/>
      <c r="AI39" s="124"/>
      <c r="AJ39" s="118">
        <f t="shared" si="40"/>
        <v>0</v>
      </c>
      <c r="AK39" s="119" t="str">
        <f>CONCATENATE(IF(D40&gt;D39," * Positive F01-17 for Age "&amp;D6&amp;" "&amp;D7&amp;" is more than Tested F01-16"&amp;CHAR(10),""),IF(E40&gt;E39," * Positive F01-17 for Age "&amp;D6&amp;" "&amp;E7&amp;" is more than Tested F01-16"&amp;CHAR(10),""),IF(F40&gt;F39," * Positive F01-17 for Age "&amp;F6&amp;" "&amp;F7&amp;" is more than Tested F01-16"&amp;CHAR(10),""),IF(G40&gt;G39," * Positive F01-17 for Age "&amp;F6&amp;" "&amp;G7&amp;" is more than Tested F01-16"&amp;CHAR(10),""),IF(H40&gt;H39," * Positive F01-17 for Age "&amp;H6&amp;" "&amp;H7&amp;" is more than Tested F01-16"&amp;CHAR(10),""),IF(I40&gt;I39," * Positive F01-17 for Age "&amp;H6&amp;" "&amp;I7&amp;" is more than Tested F01-16"&amp;CHAR(10),""),IF(J40&gt;J39," * Positive F01-17 for Age "&amp;J6&amp;" "&amp;J7&amp;" is more than Tested F01-16"&amp;CHAR(10),""),IF(K40&gt;K39," * Positive F01-17 for Age "&amp;J6&amp;" "&amp;K7&amp;" is more than Tested F01-16"&amp;CHAR(10),""),IF(L40&gt;L39," * Positive F01-17 for Age "&amp;L6&amp;" "&amp;L7&amp;" is more than Tested F01-16"&amp;CHAR(10),""),IF(M40&gt;M39," * Positive F01-17 for Age "&amp;L6&amp;" "&amp;M7&amp;" is more than Tested F01-16"&amp;CHAR(10),""),IF(N40&gt;N39," * Positive F01-17 for Age "&amp;N6&amp;" "&amp;N7&amp;" is more than Tested F01-16"&amp;CHAR(10),""),IF(O40&gt;O39," * Positive F01-17 for Age "&amp;N6&amp;" "&amp;O7&amp;" is more than Tested F01-16"&amp;CHAR(10),""),IF(P40&gt;P39," * Positive F01-17 for Age "&amp;P6&amp;" "&amp;P7&amp;" is more than Tested F01-16"&amp;CHAR(10),""),IF(Q40&gt;Q39," * Positive F01-17 for Age "&amp;P6&amp;" "&amp;Q7&amp;" is more than Tested F01-16"&amp;CHAR(10),""),IF(R40&gt;R39," * Positive F01-17 for Age "&amp;R6&amp;" "&amp;R7&amp;" is more than Tested F01-16"&amp;CHAR(10),""),IF(S40&gt;S39," * Positive F01-17 for Age "&amp;R6&amp;" "&amp;S7&amp;" is more than Tested F01-16"&amp;CHAR(10),""),IF(T40&gt;T39," * Positive F01-17 for Age "&amp;T6&amp;" "&amp;T7&amp;" is more than Tested F01-16"&amp;CHAR(10),""),IF(U40&gt;U39," * Positive F01-17 for Age "&amp;T6&amp;" "&amp;U7&amp;" is more than Tested F01-16"&amp;CHAR(10),""),IF(V40&gt;V39," * Positive F01-17 for Age "&amp;V6&amp;" "&amp;V7&amp;" is more than Tested F01-16"&amp;CHAR(10),""),IF(W40&gt;W39," * Positive F01-17 for Age "&amp;V6&amp;" "&amp;W7&amp;" is more than Tested F01-16"&amp;CHAR(10),""),IF(X40&gt;X39," * Positive F01-17 for Age "&amp;X6&amp;" "&amp;X7&amp;" is more than Tested F01-16"&amp;CHAR(10),""),IF(Y40&gt;Y39," * Positive F01-17 for Age "&amp;X6&amp;" "&amp;Y7&amp;" is more than Tested F01-16"&amp;CHAR(10),""),IF(Z40&gt;Z39," * Positive F01-17 for Age "&amp;Z6&amp;" "&amp;Z7&amp;" is more than Tested F01-16"&amp;CHAR(10),""),IF(AA40&gt;AA39," * Positive F01-17 for Age "&amp;Z6&amp;" "&amp;AA7&amp;" is more than Tested F01-16"&amp;CHAR(10),""))</f>
        <v/>
      </c>
      <c r="AL39" s="823"/>
      <c r="AM39" s="113" t="str">
        <f>CONCATENATE(IF(AND(IFERROR((AJ40*100)/AJ39,0)&gt;10,AJ40&gt;5)," * This facility has a high positivity rate for Index Testing. Kindly confirm if this is the true reflection"&amp;CHAR(10),""),"")</f>
        <v/>
      </c>
      <c r="AN39" s="817"/>
      <c r="AO39" s="133">
        <v>36</v>
      </c>
    </row>
    <row r="40" spans="1:41">
      <c r="A40" s="895"/>
      <c r="B40" s="45" t="s">
        <v>33</v>
      </c>
      <c r="C40" s="46" t="s">
        <v>92</v>
      </c>
      <c r="D40" s="28"/>
      <c r="E40" s="29"/>
      <c r="F40" s="711"/>
      <c r="G40" s="711"/>
      <c r="H40" s="53"/>
      <c r="I40" s="53"/>
      <c r="J40" s="53"/>
      <c r="K40" s="53"/>
      <c r="L40" s="53"/>
      <c r="M40" s="53"/>
      <c r="N40" s="53"/>
      <c r="O40" s="53"/>
      <c r="P40" s="53"/>
      <c r="Q40" s="53"/>
      <c r="R40" s="53"/>
      <c r="S40" s="53"/>
      <c r="T40" s="53"/>
      <c r="U40" s="53"/>
      <c r="V40" s="53"/>
      <c r="W40" s="53"/>
      <c r="X40" s="53"/>
      <c r="Y40" s="53"/>
      <c r="Z40" s="88"/>
      <c r="AA40" s="89"/>
      <c r="AB40" s="53"/>
      <c r="AC40" s="53"/>
      <c r="AD40" s="53"/>
      <c r="AE40" s="53"/>
      <c r="AF40" s="53"/>
      <c r="AG40" s="53"/>
      <c r="AH40" s="53"/>
      <c r="AI40" s="125"/>
      <c r="AJ40" s="111">
        <f t="shared" si="40"/>
        <v>0</v>
      </c>
      <c r="AK40" s="120" t="str">
        <f>CONCATENATE(IF((D41+D42+D43+D44)&lt;&gt;D40," * "&amp;$A40&amp;" , "&amp;$B41&amp;" plus "&amp;$B42&amp;" plus "&amp;$B43&amp;" plus "&amp;$B44&amp;" For age "&amp;$D$6&amp;" "&amp;$D$7&amp;" should be equal to "&amp;$B40&amp;""&amp;CHAR(10),""),IF((E41+E42+E43+E44)&lt;&gt;E40," * "&amp;$A40&amp;" , "&amp;$B41&amp;" plus "&amp;$B42&amp;" plus "&amp;$B43&amp;" plus "&amp;$B44&amp;" For age "&amp;$D$6&amp;" "&amp;$E$7&amp;" should be equal to "&amp;$B40&amp;""&amp;CHAR(10),""),IF((F41+F42+F43+F44)&lt;&gt;F40," * "&amp;$A40&amp;" , "&amp;$B41&amp;" plus "&amp;$B42&amp;" plus "&amp;$B43&amp;" plus "&amp;$B44&amp;" For age "&amp;$F$6&amp;" "&amp;$F$7&amp;" should be equal to "&amp;$B40&amp;""&amp;CHAR(10),""),IF((G41+G42+G43+G44)&lt;&gt;G40," * "&amp;$A40&amp;" , "&amp;$B41&amp;" plus "&amp;$B42&amp;" plus "&amp;$B43&amp;" plus "&amp;$B44&amp;" For age "&amp;$F$6&amp;" "&amp;$G$7&amp;" should be equal to "&amp;$B40&amp;""&amp;CHAR(10),""),IF((H41+H42+H43+H44)&lt;&gt;H40," * "&amp;$A40&amp;" , "&amp;$B41&amp;" plus "&amp;$B42&amp;" plus "&amp;$B43&amp;" plus "&amp;$B44&amp;" For age "&amp;$H$6&amp;" "&amp;$H$7&amp;" should be equal to "&amp;$B40&amp;""&amp;CHAR(10),""),IF((I41+I42+I43+I44)&lt;&gt;I40," * "&amp;$A40&amp;" , "&amp;$B41&amp;" plus "&amp;$B42&amp;" plus "&amp;$B43&amp;" plus "&amp;$B44&amp;" For age "&amp;$H$6&amp;" "&amp;$I$7&amp;" should be equal to "&amp;$B40&amp;""&amp;CHAR(10),""),IF((J41+J42+J43+J44)&lt;&gt;J40," * "&amp;$A40&amp;" , "&amp;$B41&amp;" plus "&amp;$B42&amp;" plus "&amp;$B43&amp;" plus "&amp;$B44&amp;" For age "&amp;$J$6&amp;" "&amp;$J$7&amp;" should be equal to "&amp;$B40&amp;""&amp;CHAR(10),""),IF((K41+K42+K43+K44)&lt;&gt;K40," * "&amp;$A40&amp;" , "&amp;$B41&amp;" plus "&amp;$B42&amp;" plus "&amp;$B43&amp;" plus "&amp;$B44&amp;" For age "&amp;$J$6&amp;" "&amp;$K$7&amp;" should be equal to "&amp;$B40&amp;""&amp;CHAR(10),""),IF((L41+L42+L43+L44)&lt;&gt;L40," * "&amp;$A40&amp;" , "&amp;$B41&amp;" plus "&amp;$B42&amp;" plus "&amp;$B43&amp;" plus "&amp;$B44&amp;" For age "&amp;$L$6&amp;" "&amp;$L$7&amp;" should be equal to "&amp;$B40&amp;""&amp;CHAR(10),""),IF((M41+M42+M43+M44)&lt;&gt;M40," * "&amp;$A40&amp;" , "&amp;$B41&amp;" plus "&amp;$B42&amp;" plus "&amp;$B43&amp;" plus "&amp;$B44&amp;" For age "&amp;$L$6&amp;" "&amp;$M$7&amp;" should be equal to "&amp;$B40&amp;""&amp;CHAR(10),""),IF((N41+N42+N43+N44)&lt;&gt;N40," * "&amp;$A40&amp;" , "&amp;$B41&amp;" plus "&amp;$B42&amp;" plus "&amp;$B43&amp;" plus "&amp;$B44&amp;" For age "&amp;$N$6&amp;" "&amp;$N$7&amp;" should be equal to "&amp;$B40&amp;""&amp;CHAR(10),""),IF((O41+O42+O43+O44)&lt;&gt;O40," * "&amp;$A40&amp;" , "&amp;$B41&amp;" plus "&amp;$B42&amp;" plus "&amp;$B43&amp;" plus "&amp;$B44&amp;" For age "&amp;$N$6&amp;" "&amp;$O$7&amp;" should be equal to "&amp;$B40&amp;""&amp;CHAR(10),""),IF((P41+P42+P43+P44)&lt;&gt;P40," * "&amp;$A40&amp;" , "&amp;$B41&amp;" plus "&amp;$B42&amp;" plus "&amp;$B43&amp;" plus "&amp;$B44&amp;" For age "&amp;$P$6&amp;" "&amp;$P$7&amp;" should be equal to "&amp;$B40&amp;""&amp;CHAR(10),""),IF((Q41+Q42+Q43+Q44)&lt;&gt;Q40," * "&amp;$A40&amp;" , "&amp;$B41&amp;" plus "&amp;$B42&amp;" plus "&amp;$B43&amp;" plus "&amp;$B44&amp;" For age "&amp;$P$6&amp;" "&amp;$Q$7&amp;" should be equal to "&amp;$B40&amp;""&amp;CHAR(10),""),IF((R41+R42+R43+R44)&lt;&gt;R40," * "&amp;$A40&amp;" , "&amp;$B41&amp;" plus "&amp;$B42&amp;" plus "&amp;$B43&amp;" plus "&amp;$B44&amp;" For age "&amp;$R$6&amp;" "&amp;$R$7&amp;" should be equal to "&amp;$B40&amp;""&amp;CHAR(10),""),IF((S41+S42+S43+S44)&lt;&gt;S40," * "&amp;$A40&amp;" , "&amp;$B41&amp;" plus "&amp;$B42&amp;" plus "&amp;$B43&amp;" plus "&amp;$B44&amp;" For age "&amp;$R$6&amp;" "&amp;$S$7&amp;" should be equal to "&amp;$B40&amp;""&amp;CHAR(10),""),IF((T41+T42+T43+T44)&lt;&gt;T40," * "&amp;$A40&amp;" , "&amp;$B41&amp;" plus "&amp;$B42&amp;" plus "&amp;$B43&amp;" plus "&amp;$B44&amp;" For age "&amp;$T$6&amp;" "&amp;$T$7&amp;" should be equal to "&amp;$B40&amp;""&amp;CHAR(10),""),IF((U41+U42+U43+U44)&lt;&gt;U40," * "&amp;$A40&amp;" , "&amp;$B41&amp;" plus "&amp;$B42&amp;" plus "&amp;$B43&amp;" plus "&amp;$B44&amp;" For age "&amp;$T$6&amp;" "&amp;$U$7&amp;" should be equal to "&amp;$B40&amp;""&amp;CHAR(10),""),IF((V41+V42+V43+V44)&lt;&gt;V40," * "&amp;$A40&amp;" , "&amp;$B41&amp;" plus "&amp;$B42&amp;" plus "&amp;$B43&amp;" plus "&amp;$B44&amp;" For age "&amp;$V$6&amp;" "&amp;$V$7&amp;" should be equal to "&amp;$B40&amp;""&amp;CHAR(10),""),IF((W41+W42+W43+W44)&lt;&gt;W40," * "&amp;$A40&amp;" , "&amp;$B41&amp;" plus "&amp;$B42&amp;" plus "&amp;$B43&amp;" plus "&amp;$B44&amp;" For age "&amp;$V$6&amp;" "&amp;$W$7&amp;" should be equal to "&amp;$B40&amp;""&amp;CHAR(10),""),IF((X41+X42+X43+X44)&lt;&gt;X40," * "&amp;$A40&amp;" , "&amp;$B41&amp;" plus "&amp;$B42&amp;" plus "&amp;$B43&amp;" plus "&amp;$B44&amp;" For age "&amp;$X$6&amp;" "&amp;$X$7&amp;" should be equal to "&amp;$B40&amp;""&amp;CHAR(10),""),IF((Y41+Y42+Y43+Y44)&lt;&gt;Y40," * "&amp;$A40&amp;" , "&amp;$B41&amp;" plus "&amp;$B42&amp;" plus "&amp;$B43&amp;" plus "&amp;$B44&amp;" For age "&amp;$X$6&amp;" "&amp;$Y$7&amp;" should be equal to "&amp;$B40&amp;""&amp;CHAR(10),""),IF((Z41+Z42+Z43+Z44)&lt;&gt;Z40," * "&amp;$A40&amp;" , "&amp;$B41&amp;" plus "&amp;$B42&amp;" plus "&amp;$B43&amp;" plus "&amp;$B44&amp;" For age "&amp;$Z$6&amp;" "&amp;$Z$7&amp;" should be equal to "&amp;$B40&amp;""&amp;CHAR(10),""),IF((AA41+AA42+AA43+AA44)&lt;&gt;AA40," * "&amp;$A40&amp;" , "&amp;$B41&amp;" plus "&amp;$B42&amp;" plus "&amp;$B43&amp;" plus "&amp;$B44&amp;" For age "&amp;$Z$6&amp;" "&amp;$AA$7&amp;" should be equal to "&amp;$B40&amp;""&amp;CHAR(10),""))</f>
        <v/>
      </c>
      <c r="AL40" s="823"/>
      <c r="AM40" s="113"/>
      <c r="AN40" s="817"/>
      <c r="AO40" s="133">
        <v>37</v>
      </c>
    </row>
    <row r="41" spans="1:41">
      <c r="A41" s="895"/>
      <c r="B41" s="47" t="s">
        <v>37</v>
      </c>
      <c r="C41" s="46" t="s">
        <v>94</v>
      </c>
      <c r="D41" s="28"/>
      <c r="E41" s="29"/>
      <c r="F41" s="712"/>
      <c r="G41" s="712"/>
      <c r="H41" s="53"/>
      <c r="I41" s="53"/>
      <c r="J41" s="53"/>
      <c r="K41" s="53"/>
      <c r="L41" s="53"/>
      <c r="M41" s="53"/>
      <c r="N41" s="53"/>
      <c r="O41" s="53"/>
      <c r="P41" s="53"/>
      <c r="Q41" s="53"/>
      <c r="R41" s="53"/>
      <c r="S41" s="53"/>
      <c r="T41" s="53"/>
      <c r="U41" s="53"/>
      <c r="V41" s="53"/>
      <c r="W41" s="53"/>
      <c r="X41" s="53"/>
      <c r="Y41" s="53"/>
      <c r="Z41" s="88"/>
      <c r="AA41" s="89"/>
      <c r="AB41" s="53"/>
      <c r="AC41" s="53"/>
      <c r="AD41" s="53"/>
      <c r="AE41" s="53"/>
      <c r="AF41" s="53"/>
      <c r="AG41" s="53"/>
      <c r="AH41" s="53"/>
      <c r="AI41" s="125"/>
      <c r="AJ41" s="111">
        <f t="shared" si="40"/>
        <v>0</v>
      </c>
      <c r="AK41" s="112"/>
      <c r="AL41" s="823"/>
      <c r="AM41" s="113"/>
      <c r="AN41" s="817"/>
      <c r="AO41" s="133"/>
    </row>
    <row r="42" spans="1:41">
      <c r="A42" s="895"/>
      <c r="B42" s="47" t="s">
        <v>41</v>
      </c>
      <c r="C42" s="46" t="s">
        <v>95</v>
      </c>
      <c r="D42" s="28"/>
      <c r="E42" s="29"/>
      <c r="F42" s="712"/>
      <c r="G42" s="712"/>
      <c r="H42" s="53"/>
      <c r="I42" s="53"/>
      <c r="J42" s="53"/>
      <c r="K42" s="53"/>
      <c r="L42" s="53"/>
      <c r="M42" s="53"/>
      <c r="N42" s="53"/>
      <c r="O42" s="53"/>
      <c r="P42" s="53"/>
      <c r="Q42" s="53"/>
      <c r="R42" s="53"/>
      <c r="S42" s="53"/>
      <c r="T42" s="53"/>
      <c r="U42" s="53"/>
      <c r="V42" s="53"/>
      <c r="W42" s="53"/>
      <c r="X42" s="53"/>
      <c r="Y42" s="53"/>
      <c r="Z42" s="88"/>
      <c r="AA42" s="89"/>
      <c r="AB42" s="53"/>
      <c r="AC42" s="53"/>
      <c r="AD42" s="53"/>
      <c r="AE42" s="53"/>
      <c r="AF42" s="53"/>
      <c r="AG42" s="53"/>
      <c r="AH42" s="53"/>
      <c r="AI42" s="125"/>
      <c r="AJ42" s="111">
        <f t="shared" si="40"/>
        <v>0</v>
      </c>
      <c r="AK42" s="112"/>
      <c r="AL42" s="823"/>
      <c r="AM42" s="113"/>
      <c r="AN42" s="817"/>
      <c r="AO42" s="133"/>
    </row>
    <row r="43" spans="1:41">
      <c r="A43" s="895"/>
      <c r="B43" s="47" t="s">
        <v>44</v>
      </c>
      <c r="C43" s="46" t="s">
        <v>96</v>
      </c>
      <c r="D43" s="28"/>
      <c r="E43" s="29"/>
      <c r="F43" s="712"/>
      <c r="G43" s="712"/>
      <c r="H43" s="53"/>
      <c r="I43" s="53"/>
      <c r="J43" s="53"/>
      <c r="K43" s="53"/>
      <c r="L43" s="53"/>
      <c r="M43" s="53"/>
      <c r="N43" s="53"/>
      <c r="O43" s="53"/>
      <c r="P43" s="53"/>
      <c r="Q43" s="53"/>
      <c r="R43" s="53"/>
      <c r="S43" s="53"/>
      <c r="T43" s="53"/>
      <c r="U43" s="53"/>
      <c r="V43" s="53"/>
      <c r="W43" s="53"/>
      <c r="X43" s="53"/>
      <c r="Y43" s="53"/>
      <c r="Z43" s="88"/>
      <c r="AA43" s="89"/>
      <c r="AB43" s="53"/>
      <c r="AC43" s="53"/>
      <c r="AD43" s="53"/>
      <c r="AE43" s="53"/>
      <c r="AF43" s="53"/>
      <c r="AG43" s="53"/>
      <c r="AH43" s="53"/>
      <c r="AI43" s="125"/>
      <c r="AJ43" s="111">
        <f t="shared" ref="AJ43:AJ48" si="41">SUM(D43:AA43)</f>
        <v>0</v>
      </c>
      <c r="AK43" s="112"/>
      <c r="AL43" s="823"/>
      <c r="AM43" s="113"/>
      <c r="AN43" s="817"/>
      <c r="AO43" s="133"/>
    </row>
    <row r="44" spans="1:41" ht="31.5" thickBot="1">
      <c r="A44" s="896"/>
      <c r="B44" s="48" t="s">
        <v>47</v>
      </c>
      <c r="C44" s="49" t="s">
        <v>97</v>
      </c>
      <c r="D44" s="50"/>
      <c r="E44" s="51"/>
      <c r="F44" s="713"/>
      <c r="G44" s="713"/>
      <c r="H44" s="53"/>
      <c r="I44" s="53"/>
      <c r="J44" s="53"/>
      <c r="K44" s="53"/>
      <c r="L44" s="53"/>
      <c r="M44" s="53"/>
      <c r="N44" s="53"/>
      <c r="O44" s="53"/>
      <c r="P44" s="53"/>
      <c r="Q44" s="53"/>
      <c r="R44" s="53"/>
      <c r="S44" s="53"/>
      <c r="T44" s="53"/>
      <c r="U44" s="53"/>
      <c r="V44" s="53"/>
      <c r="W44" s="53"/>
      <c r="X44" s="53"/>
      <c r="Y44" s="53"/>
      <c r="Z44" s="88"/>
      <c r="AA44" s="89"/>
      <c r="AB44" s="53"/>
      <c r="AC44" s="53"/>
      <c r="AD44" s="53"/>
      <c r="AE44" s="53"/>
      <c r="AF44" s="53"/>
      <c r="AG44" s="53"/>
      <c r="AH44" s="53"/>
      <c r="AI44" s="125"/>
      <c r="AJ44" s="117">
        <f t="shared" si="41"/>
        <v>0</v>
      </c>
      <c r="AK44" s="112"/>
      <c r="AL44" s="823"/>
      <c r="AM44" s="113"/>
      <c r="AN44" s="817"/>
      <c r="AO44" s="133"/>
    </row>
    <row r="45" spans="1:41">
      <c r="A45" s="894" t="s">
        <v>915</v>
      </c>
      <c r="B45" s="42" t="s">
        <v>29</v>
      </c>
      <c r="C45" s="43" t="s">
        <v>100</v>
      </c>
      <c r="D45" s="23"/>
      <c r="E45" s="24"/>
      <c r="F45" s="44"/>
      <c r="G45" s="44"/>
      <c r="H45" s="44"/>
      <c r="I45" s="44"/>
      <c r="J45" s="44"/>
      <c r="K45" s="44"/>
      <c r="L45" s="44"/>
      <c r="M45" s="44"/>
      <c r="N45" s="44"/>
      <c r="O45" s="44"/>
      <c r="P45" s="44"/>
      <c r="Q45" s="44"/>
      <c r="R45" s="44"/>
      <c r="S45" s="44"/>
      <c r="T45" s="44"/>
      <c r="U45" s="44"/>
      <c r="V45" s="44"/>
      <c r="W45" s="44"/>
      <c r="X45" s="44"/>
      <c r="Y45" s="44"/>
      <c r="Z45" s="88">
        <f t="shared" ref="Z45:AA73" si="42">SUM(AB45,AD45,AF45,AH45)</f>
        <v>0</v>
      </c>
      <c r="AA45" s="89">
        <f t="shared" si="42"/>
        <v>0</v>
      </c>
      <c r="AB45" s="44"/>
      <c r="AC45" s="44"/>
      <c r="AD45" s="44"/>
      <c r="AE45" s="44"/>
      <c r="AF45" s="44"/>
      <c r="AG45" s="44"/>
      <c r="AH45" s="44"/>
      <c r="AI45" s="126"/>
      <c r="AJ45" s="118">
        <f t="shared" si="41"/>
        <v>0</v>
      </c>
      <c r="AK45" s="119" t="str">
        <f>CONCATENATE(IF(D46&gt;D45," * Positive F01-19 for Age "&amp;D6&amp;" "&amp;D7&amp;" is more than Tested F01-18"&amp;CHAR(10),""),IF(E46&gt;E45," * Positive F01-19 for Age "&amp;D6&amp;" "&amp;E7&amp;" is more than Tested F01-18"&amp;CHAR(10),""),IF(F46&gt;F45," * Positive F01-19 for Age "&amp;F6&amp;" "&amp;F7&amp;" is more than Tested F01-18"&amp;CHAR(10),""),IF(G46&gt;G45," * Positive F01-19 for Age "&amp;F6&amp;" "&amp;G7&amp;" is more than Tested F01-18"&amp;CHAR(10),""),IF(H46&gt;H45," * Positive F01-19 for Age "&amp;H6&amp;" "&amp;H7&amp;" is more than Tested F01-18"&amp;CHAR(10),""),IF(I46&gt;I45," * Positive F01-19 for Age "&amp;H6&amp;" "&amp;I7&amp;" is more than Tested F01-18"&amp;CHAR(10),""),IF(J46&gt;J45," * Positive F01-19 for Age "&amp;J6&amp;" "&amp;J7&amp;" is more than Tested F01-18"&amp;CHAR(10),""),IF(K46&gt;K45," * Positive F01-19 for Age "&amp;J6&amp;" "&amp;K7&amp;" is more than Tested F01-18"&amp;CHAR(10),""),IF(L46&gt;L45," * Positive F01-19 for Age "&amp;L6&amp;" "&amp;L7&amp;" is more than Tested F01-18"&amp;CHAR(10),""),IF(M46&gt;M45," * Positive F01-19 for Age "&amp;L6&amp;" "&amp;M7&amp;" is more than Tested F01-18"&amp;CHAR(10),""),IF(N46&gt;N45," * Positive F01-19 for Age "&amp;N6&amp;" "&amp;N7&amp;" is more than Tested F01-18"&amp;CHAR(10),""),IF(O46&gt;O45," * Positive F01-19 for Age "&amp;N6&amp;" "&amp;O7&amp;" is more than Tested F01-18"&amp;CHAR(10),""),IF(P46&gt;P45," * Positive F01-19 for Age "&amp;P6&amp;" "&amp;P7&amp;" is more than Tested F01-18"&amp;CHAR(10),""),IF(Q46&gt;Q45," * Positive F01-19 for Age "&amp;P6&amp;" "&amp;Q7&amp;" is more than Tested F01-18"&amp;CHAR(10),""),IF(R46&gt;R45," * Positive F01-19 for Age "&amp;R6&amp;" "&amp;R7&amp;" is more than Tested F01-18"&amp;CHAR(10),""),IF(S46&gt;S45," * Positive F01-19 for Age "&amp;R6&amp;" "&amp;S7&amp;" is more than Tested F01-18"&amp;CHAR(10),""),IF(T46&gt;T45," * Positive F01-19 for Age "&amp;T6&amp;" "&amp;T7&amp;" is more than Tested F01-18"&amp;CHAR(10),""),IF(U46&gt;U45," * Positive F01-19 for Age "&amp;T6&amp;" "&amp;U7&amp;" is more than Tested F01-18"&amp;CHAR(10),""),IF(V46&gt;V45," * Positive F01-19 for Age "&amp;V6&amp;" "&amp;V7&amp;" is more than Tested F01-18"&amp;CHAR(10),""),IF(W46&gt;W45," * Positive F01-19 for Age "&amp;V6&amp;" "&amp;W7&amp;" is more than Tested F01-18"&amp;CHAR(10),""),IF(X46&gt;X45," * Positive F01-19 for Age "&amp;X6&amp;" "&amp;X7&amp;" is more than Tested F01-18"&amp;CHAR(10),""),IF(Y46&gt;Y45," * Positive F01-19 for Age "&amp;X6&amp;" "&amp;Y7&amp;" is more than Tested F01-18"&amp;CHAR(10),""),IF(Z46&gt;Z45," * Positive F01-19 for Age "&amp;Z6&amp;" "&amp;Z7&amp;" is more than Tested F01-18"&amp;CHAR(10),""),IF(AA46&gt;AA45," * Positive F01-19 for Age "&amp;Z6&amp;" "&amp;AA7&amp;" is more than Tested F01-18"&amp;CHAR(10),""))</f>
        <v/>
      </c>
      <c r="AL45" s="823"/>
      <c r="AM45" s="113" t="str">
        <f>CONCATENATE(IF(AND(IFERROR((AJ46*100)/AJ45,0)&gt;10,AJ46&gt;5)," * This facility has a high positivity rate for Index Testing. Kindly confirm if this is the true reflection"&amp;CHAR(10),""),"")</f>
        <v/>
      </c>
      <c r="AN45" s="817"/>
      <c r="AO45" s="133">
        <v>38</v>
      </c>
    </row>
    <row r="46" spans="1:41">
      <c r="A46" s="895"/>
      <c r="B46" s="45" t="s">
        <v>33</v>
      </c>
      <c r="C46" s="46" t="s">
        <v>102</v>
      </c>
      <c r="D46" s="28"/>
      <c r="E46" s="29"/>
      <c r="F46" s="711"/>
      <c r="G46" s="711"/>
      <c r="H46" s="711"/>
      <c r="I46" s="711"/>
      <c r="J46" s="711"/>
      <c r="K46" s="711"/>
      <c r="L46" s="711"/>
      <c r="M46" s="711"/>
      <c r="N46" s="711"/>
      <c r="O46" s="711"/>
      <c r="P46" s="711"/>
      <c r="Q46" s="711"/>
      <c r="R46" s="711"/>
      <c r="S46" s="711"/>
      <c r="T46" s="711"/>
      <c r="U46" s="711"/>
      <c r="V46" s="711"/>
      <c r="W46" s="711"/>
      <c r="X46" s="711"/>
      <c r="Y46" s="711"/>
      <c r="Z46" s="88">
        <f t="shared" si="42"/>
        <v>0</v>
      </c>
      <c r="AA46" s="89">
        <f t="shared" si="42"/>
        <v>0</v>
      </c>
      <c r="AB46" s="711"/>
      <c r="AC46" s="711"/>
      <c r="AD46" s="711"/>
      <c r="AE46" s="711"/>
      <c r="AF46" s="711"/>
      <c r="AG46" s="711"/>
      <c r="AH46" s="711"/>
      <c r="AI46" s="711"/>
      <c r="AJ46" s="111">
        <f t="shared" si="41"/>
        <v>0</v>
      </c>
      <c r="AK46" s="120" t="str">
        <f>CONCATENATE(IF((D47+D48+D49+D50)&lt;&gt;D46," * "&amp;$A46&amp;" , "&amp;$B47&amp;" plus "&amp;$B48&amp;" plus "&amp;$B49&amp;" plus "&amp;$B50&amp;" For age "&amp;$D$6&amp;" "&amp;$D$7&amp;" should be equal to "&amp;$B46&amp;""&amp;CHAR(10),""),IF((E47+E48+E49+E50)&lt;&gt;E46," * "&amp;$A46&amp;" , "&amp;$B47&amp;" plus "&amp;$B48&amp;" plus "&amp;$B49&amp;" plus "&amp;$B50&amp;" For age "&amp;$D$6&amp;" "&amp;$E$7&amp;" should be equal to "&amp;$B46&amp;""&amp;CHAR(10),""),IF((F47+F48+F49+F50)&lt;&gt;F46," * "&amp;$A46&amp;" , "&amp;$B47&amp;" plus "&amp;$B48&amp;" plus "&amp;$B49&amp;" plus "&amp;$B50&amp;" For age "&amp;$F$6&amp;" "&amp;$F$7&amp;" should be equal to "&amp;$B46&amp;""&amp;CHAR(10),""),IF((G47+G48+G49+G50)&lt;&gt;G46," * "&amp;$A46&amp;" , "&amp;$B47&amp;" plus "&amp;$B48&amp;" plus "&amp;$B49&amp;" plus "&amp;$B50&amp;" For age "&amp;$F$6&amp;" "&amp;$G$7&amp;" should be equal to "&amp;$B46&amp;""&amp;CHAR(10),""),IF((H47+H48+H49+H50)&lt;&gt;H46," * "&amp;$A46&amp;" , "&amp;$B47&amp;" plus "&amp;$B48&amp;" plus "&amp;$B49&amp;" plus "&amp;$B50&amp;" For age "&amp;$H$6&amp;" "&amp;$H$7&amp;" should be equal to "&amp;$B46&amp;""&amp;CHAR(10),""),IF((I47+I48+I49+I50)&lt;&gt;I46," * "&amp;$A46&amp;" , "&amp;$B47&amp;" plus "&amp;$B48&amp;" plus "&amp;$B49&amp;" plus "&amp;$B50&amp;" For age "&amp;$H$6&amp;" "&amp;$I$7&amp;" should be equal to "&amp;$B46&amp;""&amp;CHAR(10),""),IF((J47+J48+J49+J50)&lt;&gt;J46," * "&amp;$A46&amp;" , "&amp;$B47&amp;" plus "&amp;$B48&amp;" plus "&amp;$B49&amp;" plus "&amp;$B50&amp;" For age "&amp;$J$6&amp;" "&amp;$J$7&amp;" should be equal to "&amp;$B46&amp;""&amp;CHAR(10),""),IF((K47+K48+K49+K50)&lt;&gt;K46," * "&amp;$A46&amp;" , "&amp;$B47&amp;" plus "&amp;$B48&amp;" plus "&amp;$B49&amp;" plus "&amp;$B50&amp;" For age "&amp;$J$6&amp;" "&amp;$K$7&amp;" should be equal to "&amp;$B46&amp;""&amp;CHAR(10),""),IF((L47+L48+L49+L50)&lt;&gt;L46," * "&amp;$A46&amp;" , "&amp;$B47&amp;" plus "&amp;$B48&amp;" plus "&amp;$B49&amp;" plus "&amp;$B50&amp;" For age "&amp;$L$6&amp;" "&amp;$L$7&amp;" should be equal to "&amp;$B46&amp;""&amp;CHAR(10),""),IF((M47+M48+M49+M50)&lt;&gt;M46," * "&amp;$A46&amp;" , "&amp;$B47&amp;" plus "&amp;$B48&amp;" plus "&amp;$B49&amp;" plus "&amp;$B50&amp;" For age "&amp;$L$6&amp;" "&amp;$M$7&amp;" should be equal to "&amp;$B46&amp;""&amp;CHAR(10),""),IF((N47+N48+N49+N50)&lt;&gt;N46," * "&amp;$A46&amp;" , "&amp;$B47&amp;" plus "&amp;$B48&amp;" plus "&amp;$B49&amp;" plus "&amp;$B50&amp;" For age "&amp;$N$6&amp;" "&amp;$N$7&amp;" should be equal to "&amp;$B46&amp;""&amp;CHAR(10),""),IF((O47+O48+O49+O50)&lt;&gt;O46," * "&amp;$A46&amp;" , "&amp;$B47&amp;" plus "&amp;$B48&amp;" plus "&amp;$B49&amp;" plus "&amp;$B50&amp;" For age "&amp;$N$6&amp;" "&amp;$O$7&amp;" should be equal to "&amp;$B46&amp;""&amp;CHAR(10),""),IF((P47+P48+P49+P50)&lt;&gt;P46," * "&amp;$A46&amp;" , "&amp;$B47&amp;" plus "&amp;$B48&amp;" plus "&amp;$B49&amp;" plus "&amp;$B50&amp;" For age "&amp;$P$6&amp;" "&amp;$P$7&amp;" should be equal to "&amp;$B46&amp;""&amp;CHAR(10),""),IF((Q47+Q48+Q49+Q50)&lt;&gt;Q46," * "&amp;$A46&amp;" , "&amp;$B47&amp;" plus "&amp;$B48&amp;" plus "&amp;$B49&amp;" plus "&amp;$B50&amp;" For age "&amp;$P$6&amp;" "&amp;$Q$7&amp;" should be equal to "&amp;$B46&amp;""&amp;CHAR(10),""),IF((R47+R48+R49+R50)&lt;&gt;R46," * "&amp;$A46&amp;" , "&amp;$B47&amp;" plus "&amp;$B48&amp;" plus "&amp;$B49&amp;" plus "&amp;$B50&amp;" For age "&amp;$R$6&amp;" "&amp;$R$7&amp;" should be equal to "&amp;$B46&amp;""&amp;CHAR(10),""),IF((S47+S48+S49+S50)&lt;&gt;S46," * "&amp;$A46&amp;" , "&amp;$B47&amp;" plus "&amp;$B48&amp;" plus "&amp;$B49&amp;" plus "&amp;$B50&amp;" For age "&amp;$R$6&amp;" "&amp;$S$7&amp;" should be equal to "&amp;$B46&amp;""&amp;CHAR(10),""),IF((T47+T48+T49+T50)&lt;&gt;T46," * "&amp;$A46&amp;" , "&amp;$B47&amp;" plus "&amp;$B48&amp;" plus "&amp;$B49&amp;" plus "&amp;$B50&amp;" For age "&amp;$T$6&amp;" "&amp;$T$7&amp;" should be equal to "&amp;$B46&amp;""&amp;CHAR(10),""),IF((U47+U48+U49+U50)&lt;&gt;U46," * "&amp;$A46&amp;" , "&amp;$B47&amp;" plus "&amp;$B48&amp;" plus "&amp;$B49&amp;" plus "&amp;$B50&amp;" For age "&amp;$T$6&amp;" "&amp;$U$7&amp;" should be equal to "&amp;$B46&amp;""&amp;CHAR(10),""),IF((V47+V48+V49+V50)&lt;&gt;V46," * "&amp;$A46&amp;" , "&amp;$B47&amp;" plus "&amp;$B48&amp;" plus "&amp;$B49&amp;" plus "&amp;$B50&amp;" For age "&amp;$V$6&amp;" "&amp;$V$7&amp;" should be equal to "&amp;$B46&amp;""&amp;CHAR(10),""),IF((W47+W48+W49+W50)&lt;&gt;W46," * "&amp;$A46&amp;" , "&amp;$B47&amp;" plus "&amp;$B48&amp;" plus "&amp;$B49&amp;" plus "&amp;$B50&amp;" For age "&amp;$V$6&amp;" "&amp;$W$7&amp;" should be equal to "&amp;$B46&amp;""&amp;CHAR(10),""),IF((X47+X48+X49+X50)&lt;&gt;X46," * "&amp;$A46&amp;" , "&amp;$B47&amp;" plus "&amp;$B48&amp;" plus "&amp;$B49&amp;" plus "&amp;$B50&amp;" For age "&amp;$X$6&amp;" "&amp;$X$7&amp;" should be equal to "&amp;$B46&amp;""&amp;CHAR(10),""),IF((Y47+Y48+Y49+Y50)&lt;&gt;Y46," * "&amp;$A46&amp;" , "&amp;$B47&amp;" plus "&amp;$B48&amp;" plus "&amp;$B49&amp;" plus "&amp;$B50&amp;" For age "&amp;$X$6&amp;" "&amp;$Y$7&amp;" should be equal to "&amp;$B46&amp;""&amp;CHAR(10),""),IF((Z47+Z48+Z49+Z50)&lt;&gt;Z46," * "&amp;$A46&amp;" , "&amp;$B47&amp;" plus "&amp;$B48&amp;" plus "&amp;$B49&amp;" plus "&amp;$B50&amp;" For age "&amp;$Z$6&amp;" "&amp;$Z$7&amp;" should be equal to "&amp;$B46&amp;""&amp;CHAR(10),""),IF((AA47+AA48+AA49+AA50)&lt;&gt;AA46," * "&amp;$A46&amp;" , "&amp;$B47&amp;" plus "&amp;$B48&amp;" plus "&amp;$B49&amp;" plus "&amp;$B50&amp;" For age "&amp;$Z$6&amp;" "&amp;$AA$7&amp;" should be equal to "&amp;$B46&amp;""&amp;CHAR(10),""))</f>
        <v/>
      </c>
      <c r="AL46" s="823"/>
      <c r="AM46" s="113"/>
      <c r="AN46" s="817"/>
      <c r="AO46" s="133">
        <v>39</v>
      </c>
    </row>
    <row r="47" spans="1:41">
      <c r="A47" s="895"/>
      <c r="B47" s="47" t="s">
        <v>37</v>
      </c>
      <c r="C47" s="46" t="s">
        <v>104</v>
      </c>
      <c r="D47" s="28"/>
      <c r="E47" s="29"/>
      <c r="F47" s="712"/>
      <c r="G47" s="712"/>
      <c r="H47" s="712"/>
      <c r="I47" s="712"/>
      <c r="J47" s="712"/>
      <c r="K47" s="712"/>
      <c r="L47" s="712"/>
      <c r="M47" s="712"/>
      <c r="N47" s="712"/>
      <c r="O47" s="712"/>
      <c r="P47" s="712"/>
      <c r="Q47" s="712"/>
      <c r="R47" s="712"/>
      <c r="S47" s="712"/>
      <c r="T47" s="712"/>
      <c r="U47" s="712"/>
      <c r="V47" s="712"/>
      <c r="W47" s="712"/>
      <c r="X47" s="712"/>
      <c r="Y47" s="712"/>
      <c r="Z47" s="88">
        <f t="shared" si="42"/>
        <v>0</v>
      </c>
      <c r="AA47" s="89">
        <f t="shared" si="42"/>
        <v>0</v>
      </c>
      <c r="AB47" s="712"/>
      <c r="AC47" s="712"/>
      <c r="AD47" s="712"/>
      <c r="AE47" s="712"/>
      <c r="AF47" s="712"/>
      <c r="AG47" s="712"/>
      <c r="AH47" s="712"/>
      <c r="AI47" s="712"/>
      <c r="AJ47" s="111">
        <f t="shared" si="41"/>
        <v>0</v>
      </c>
      <c r="AK47" s="112"/>
      <c r="AL47" s="823"/>
      <c r="AM47" s="113"/>
      <c r="AN47" s="817"/>
      <c r="AO47" s="133"/>
    </row>
    <row r="48" spans="1:41">
      <c r="A48" s="895"/>
      <c r="B48" s="47" t="s">
        <v>41</v>
      </c>
      <c r="C48" s="46" t="s">
        <v>105</v>
      </c>
      <c r="D48" s="28"/>
      <c r="E48" s="29"/>
      <c r="F48" s="712"/>
      <c r="G48" s="712"/>
      <c r="H48" s="712"/>
      <c r="I48" s="712"/>
      <c r="J48" s="712"/>
      <c r="K48" s="712"/>
      <c r="L48" s="712"/>
      <c r="M48" s="712"/>
      <c r="N48" s="712"/>
      <c r="O48" s="712"/>
      <c r="P48" s="712"/>
      <c r="Q48" s="712"/>
      <c r="R48" s="712"/>
      <c r="S48" s="712"/>
      <c r="T48" s="712"/>
      <c r="U48" s="712"/>
      <c r="V48" s="712"/>
      <c r="W48" s="712"/>
      <c r="X48" s="712"/>
      <c r="Y48" s="712"/>
      <c r="Z48" s="88">
        <f t="shared" si="42"/>
        <v>0</v>
      </c>
      <c r="AA48" s="89">
        <f t="shared" si="42"/>
        <v>0</v>
      </c>
      <c r="AB48" s="712"/>
      <c r="AC48" s="712"/>
      <c r="AD48" s="712"/>
      <c r="AE48" s="712"/>
      <c r="AF48" s="712"/>
      <c r="AG48" s="712"/>
      <c r="AH48" s="712"/>
      <c r="AI48" s="712"/>
      <c r="AJ48" s="111">
        <f t="shared" si="41"/>
        <v>0</v>
      </c>
      <c r="AK48" s="112"/>
      <c r="AL48" s="823"/>
      <c r="AM48" s="113"/>
      <c r="AN48" s="817"/>
      <c r="AO48" s="133"/>
    </row>
    <row r="49" spans="1:41">
      <c r="A49" s="895"/>
      <c r="B49" s="47" t="s">
        <v>44</v>
      </c>
      <c r="C49" s="46" t="s">
        <v>106</v>
      </c>
      <c r="D49" s="28"/>
      <c r="E49" s="29"/>
      <c r="F49" s="712"/>
      <c r="G49" s="712"/>
      <c r="H49" s="712"/>
      <c r="I49" s="712"/>
      <c r="J49" s="712"/>
      <c r="K49" s="712"/>
      <c r="L49" s="712"/>
      <c r="M49" s="712"/>
      <c r="N49" s="712"/>
      <c r="O49" s="712"/>
      <c r="P49" s="712"/>
      <c r="Q49" s="712"/>
      <c r="R49" s="712"/>
      <c r="S49" s="712"/>
      <c r="T49" s="712"/>
      <c r="U49" s="712"/>
      <c r="V49" s="712"/>
      <c r="W49" s="712"/>
      <c r="X49" s="712"/>
      <c r="Y49" s="712"/>
      <c r="Z49" s="88">
        <f t="shared" si="42"/>
        <v>0</v>
      </c>
      <c r="AA49" s="89">
        <f t="shared" si="42"/>
        <v>0</v>
      </c>
      <c r="AB49" s="712"/>
      <c r="AC49" s="712"/>
      <c r="AD49" s="712"/>
      <c r="AE49" s="712"/>
      <c r="AF49" s="712"/>
      <c r="AG49" s="712"/>
      <c r="AH49" s="712"/>
      <c r="AI49" s="712"/>
      <c r="AJ49" s="111">
        <f t="shared" ref="AJ49:AJ61" si="43">SUM(D49:AA49)</f>
        <v>0</v>
      </c>
      <c r="AK49" s="112"/>
      <c r="AL49" s="823"/>
      <c r="AM49" s="113"/>
      <c r="AN49" s="817"/>
      <c r="AO49" s="133"/>
    </row>
    <row r="50" spans="1:41" ht="31.5" thickBot="1">
      <c r="A50" s="896"/>
      <c r="B50" s="48" t="s">
        <v>47</v>
      </c>
      <c r="C50" s="49" t="s">
        <v>107</v>
      </c>
      <c r="D50" s="50"/>
      <c r="E50" s="51"/>
      <c r="F50" s="713"/>
      <c r="G50" s="713"/>
      <c r="H50" s="713"/>
      <c r="I50" s="713"/>
      <c r="J50" s="713"/>
      <c r="K50" s="713"/>
      <c r="L50" s="713"/>
      <c r="M50" s="713"/>
      <c r="N50" s="713"/>
      <c r="O50" s="713"/>
      <c r="P50" s="713"/>
      <c r="Q50" s="713"/>
      <c r="R50" s="713"/>
      <c r="S50" s="713"/>
      <c r="T50" s="713"/>
      <c r="U50" s="713"/>
      <c r="V50" s="713"/>
      <c r="W50" s="713"/>
      <c r="X50" s="713"/>
      <c r="Y50" s="713"/>
      <c r="Z50" s="88">
        <f t="shared" si="42"/>
        <v>0</v>
      </c>
      <c r="AA50" s="89">
        <f t="shared" si="42"/>
        <v>0</v>
      </c>
      <c r="AB50" s="713"/>
      <c r="AC50" s="713"/>
      <c r="AD50" s="713"/>
      <c r="AE50" s="713"/>
      <c r="AF50" s="713"/>
      <c r="AG50" s="713"/>
      <c r="AH50" s="713"/>
      <c r="AI50" s="713"/>
      <c r="AJ50" s="117">
        <f t="shared" si="43"/>
        <v>0</v>
      </c>
      <c r="AK50" s="112"/>
      <c r="AL50" s="823"/>
      <c r="AM50" s="113"/>
      <c r="AN50" s="817"/>
      <c r="AO50" s="133"/>
    </row>
    <row r="51" spans="1:41">
      <c r="A51" s="989" t="s">
        <v>963</v>
      </c>
      <c r="B51" s="42" t="s">
        <v>29</v>
      </c>
      <c r="C51" s="43" t="s">
        <v>110</v>
      </c>
      <c r="D51" s="23"/>
      <c r="E51" s="24"/>
      <c r="F51" s="54">
        <f t="shared" ref="F51:Y51" si="44">F208</f>
        <v>0</v>
      </c>
      <c r="G51" s="54">
        <f t="shared" si="44"/>
        <v>0</v>
      </c>
      <c r="H51" s="54">
        <f t="shared" si="44"/>
        <v>0</v>
      </c>
      <c r="I51" s="54">
        <f t="shared" si="44"/>
        <v>0</v>
      </c>
      <c r="J51" s="54">
        <f t="shared" si="44"/>
        <v>0</v>
      </c>
      <c r="K51" s="54">
        <f t="shared" si="44"/>
        <v>0</v>
      </c>
      <c r="L51" s="54">
        <f t="shared" si="44"/>
        <v>0</v>
      </c>
      <c r="M51" s="54">
        <f t="shared" si="44"/>
        <v>0</v>
      </c>
      <c r="N51" s="54">
        <f t="shared" si="44"/>
        <v>0</v>
      </c>
      <c r="O51" s="54">
        <f t="shared" si="44"/>
        <v>0</v>
      </c>
      <c r="P51" s="54">
        <f t="shared" si="44"/>
        <v>0</v>
      </c>
      <c r="Q51" s="54">
        <f t="shared" si="44"/>
        <v>0</v>
      </c>
      <c r="R51" s="54">
        <f t="shared" si="44"/>
        <v>0</v>
      </c>
      <c r="S51" s="54">
        <f t="shared" si="44"/>
        <v>0</v>
      </c>
      <c r="T51" s="54">
        <f t="shared" si="44"/>
        <v>0</v>
      </c>
      <c r="U51" s="54">
        <f t="shared" si="44"/>
        <v>0</v>
      </c>
      <c r="V51" s="54">
        <f t="shared" si="44"/>
        <v>0</v>
      </c>
      <c r="W51" s="54">
        <f t="shared" si="44"/>
        <v>0</v>
      </c>
      <c r="X51" s="54">
        <f t="shared" si="44"/>
        <v>0</v>
      </c>
      <c r="Y51" s="54">
        <f t="shared" si="44"/>
        <v>0</v>
      </c>
      <c r="Z51" s="88">
        <f t="shared" si="42"/>
        <v>0</v>
      </c>
      <c r="AA51" s="89">
        <f t="shared" si="42"/>
        <v>0</v>
      </c>
      <c r="AB51" s="54">
        <f t="shared" ref="AB51:AI51" si="45">AB208</f>
        <v>0</v>
      </c>
      <c r="AC51" s="54">
        <f t="shared" si="45"/>
        <v>0</v>
      </c>
      <c r="AD51" s="54">
        <f t="shared" si="45"/>
        <v>0</v>
      </c>
      <c r="AE51" s="54">
        <f t="shared" si="45"/>
        <v>0</v>
      </c>
      <c r="AF51" s="54">
        <f t="shared" si="45"/>
        <v>0</v>
      </c>
      <c r="AG51" s="54">
        <f t="shared" si="45"/>
        <v>0</v>
      </c>
      <c r="AH51" s="54">
        <f t="shared" si="45"/>
        <v>0</v>
      </c>
      <c r="AI51" s="127">
        <f t="shared" si="45"/>
        <v>0</v>
      </c>
      <c r="AJ51" s="118">
        <f t="shared" si="43"/>
        <v>0</v>
      </c>
      <c r="AK51" s="848" t="str">
        <f>CONCATENATE(IF(D52&gt;D51," * Positive F01-21 for Age "&amp;D6&amp;" "&amp;D7&amp;" is more than Tested F01-20"&amp;CHAR(10),""),IF(E52&gt;E51," * Positive F01-21 for Age "&amp;D6&amp;" "&amp;E7&amp;" is more than Tested F01-20"&amp;CHAR(10),""),IF(F52&gt;F51," * Positive F01-21 for Age "&amp;F6&amp;" "&amp;F7&amp;" is more than Tested F01-20"&amp;CHAR(10),""),IF(G52&gt;G51," * Positive F01-21 for Age "&amp;F6&amp;" "&amp;G7&amp;" is more than Tested F01-20"&amp;CHAR(10),""),IF(H52&gt;H51," * Positive F01-21 for Age "&amp;H6&amp;" "&amp;H7&amp;" is more than Tested F01-20"&amp;CHAR(10),""),IF(I52&gt;I51," * Positive F01-21 for Age "&amp;H6&amp;" "&amp;I7&amp;" is more than Tested F01-20"&amp;CHAR(10),""),IF(J52&gt;J51," * Positive F01-21 for Age "&amp;J6&amp;" "&amp;J7&amp;" is more than Tested F01-20"&amp;CHAR(10),""),IF(K52&gt;K51," * Positive F01-21 for Age "&amp;J6&amp;" "&amp;K7&amp;" is more than Tested F01-20"&amp;CHAR(10),""),IF(L52&gt;L51," * Positive F01-21 for Age "&amp;L6&amp;" "&amp;L7&amp;" is more than Tested F01-20"&amp;CHAR(10),""),IF(M52&gt;M51," * Positive F01-21 for Age "&amp;L6&amp;" "&amp;M7&amp;" is more than Tested F01-20"&amp;CHAR(10),""),IF(N52&gt;N51," * Positive F01-21 for Age "&amp;N6&amp;" "&amp;N7&amp;" is more than Tested F01-20"&amp;CHAR(10),""),IF(O52&gt;O51," * Positive F01-21 for Age "&amp;N6&amp;" "&amp;O7&amp;" is more than Tested F01-20"&amp;CHAR(10),""),IF(P52&gt;P51," * Positive F01-21 for Age "&amp;P6&amp;" "&amp;P7&amp;" is more than Tested F01-20"&amp;CHAR(10),""),IF(Q52&gt;Q51," * Positive F01-21 for Age "&amp;P6&amp;" "&amp;Q7&amp;" is more than Tested F01-20"&amp;CHAR(10),""),IF(R52&gt;R51," * Positive F01-21 for Age "&amp;R6&amp;" "&amp;R7&amp;" is more than Tested F01-20"&amp;CHAR(10),""),IF(S52&gt;S51," * Positive F01-21 for Age "&amp;R6&amp;" "&amp;S7&amp;" is more than Tested F01-20"&amp;CHAR(10),""),IF(T52&gt;T51," * Positive F01-21 for Age "&amp;T6&amp;" "&amp;T7&amp;" is more than Tested F01-20"&amp;CHAR(10),""),IF(U52&gt;U51," * Positive F01-21 for Age "&amp;T6&amp;" "&amp;U7&amp;" is more than Tested F01-20"&amp;CHAR(10),""),IF(V52&gt;V51," * Positive F01-21 for Age "&amp;V6&amp;" "&amp;V7&amp;" is more than Tested F01-20"&amp;CHAR(10),""),IF(W52&gt;W51," * Positive F01-21 for Age "&amp;V6&amp;" "&amp;W7&amp;" is more than Tested F01-20"&amp;CHAR(10),""),IF(X52&gt;X51," * Positive F01-21 for Age "&amp;X6&amp;" "&amp;X7&amp;" is more than Tested F01-20"&amp;CHAR(10),""),IF(Y52&gt;Y51," * Positive F01-21 for Age "&amp;X6&amp;" "&amp;Y7&amp;" is more than Tested F01-20"&amp;CHAR(10),""),IF(Z52&gt;Z51," * Positive F01-21 for Age "&amp;Z6&amp;" "&amp;Z7&amp;" is more than Tested F01-20"&amp;CHAR(10),""),IF(AA52&gt;AA51," * Positive F01-21 for Age "&amp;Z6&amp;" "&amp;AA7&amp;" is more than Tested F01-20"&amp;CHAR(10),""))</f>
        <v/>
      </c>
      <c r="AL51" s="823"/>
      <c r="AM51" s="113" t="str">
        <f>CONCATENATE(IF(AND(IFERROR((AJ52*100)/AJ51,0)&gt;10,AJ52&gt;5)," * This facility has a high positivity rate for Index Testing. Kindly confirm if this is the true reflection"&amp;CHAR(10),""),"")</f>
        <v/>
      </c>
      <c r="AN51" s="817"/>
      <c r="AO51" s="133">
        <v>40</v>
      </c>
    </row>
    <row r="52" spans="1:41">
      <c r="A52" s="895"/>
      <c r="B52" s="45" t="s">
        <v>33</v>
      </c>
      <c r="C52" s="46" t="s">
        <v>112</v>
      </c>
      <c r="D52" s="28"/>
      <c r="E52" s="29"/>
      <c r="F52" s="55">
        <f t="shared" ref="F52" si="46">F210</f>
        <v>0</v>
      </c>
      <c r="G52" s="55">
        <f t="shared" ref="G52:Y52" si="47">G210</f>
        <v>0</v>
      </c>
      <c r="H52" s="55">
        <f t="shared" si="47"/>
        <v>0</v>
      </c>
      <c r="I52" s="55">
        <f t="shared" si="47"/>
        <v>0</v>
      </c>
      <c r="J52" s="55">
        <f t="shared" si="47"/>
        <v>0</v>
      </c>
      <c r="K52" s="55">
        <f t="shared" si="47"/>
        <v>0</v>
      </c>
      <c r="L52" s="55">
        <f t="shared" si="47"/>
        <v>0</v>
      </c>
      <c r="M52" s="55">
        <f t="shared" si="47"/>
        <v>0</v>
      </c>
      <c r="N52" s="55">
        <f t="shared" si="47"/>
        <v>0</v>
      </c>
      <c r="O52" s="55">
        <f t="shared" si="47"/>
        <v>0</v>
      </c>
      <c r="P52" s="55">
        <f t="shared" si="47"/>
        <v>0</v>
      </c>
      <c r="Q52" s="55">
        <f t="shared" si="47"/>
        <v>0</v>
      </c>
      <c r="R52" s="55">
        <f t="shared" si="47"/>
        <v>0</v>
      </c>
      <c r="S52" s="55">
        <f t="shared" si="47"/>
        <v>0</v>
      </c>
      <c r="T52" s="55">
        <f t="shared" si="47"/>
        <v>0</v>
      </c>
      <c r="U52" s="55">
        <f t="shared" si="47"/>
        <v>0</v>
      </c>
      <c r="V52" s="55">
        <f t="shared" si="47"/>
        <v>0</v>
      </c>
      <c r="W52" s="55">
        <f t="shared" si="47"/>
        <v>0</v>
      </c>
      <c r="X52" s="55">
        <f t="shared" si="47"/>
        <v>0</v>
      </c>
      <c r="Y52" s="55">
        <f t="shared" si="47"/>
        <v>0</v>
      </c>
      <c r="Z52" s="88">
        <f t="shared" si="42"/>
        <v>0</v>
      </c>
      <c r="AA52" s="89">
        <f t="shared" si="42"/>
        <v>0</v>
      </c>
      <c r="AB52" s="55">
        <f t="shared" ref="AB52:AC52" si="48">AB210</f>
        <v>0</v>
      </c>
      <c r="AC52" s="55">
        <f t="shared" si="48"/>
        <v>0</v>
      </c>
      <c r="AD52" s="55">
        <f t="shared" ref="AD52:AI52" si="49">AD210</f>
        <v>0</v>
      </c>
      <c r="AE52" s="55">
        <f t="shared" si="49"/>
        <v>0</v>
      </c>
      <c r="AF52" s="55">
        <f t="shared" si="49"/>
        <v>0</v>
      </c>
      <c r="AG52" s="55">
        <f t="shared" si="49"/>
        <v>0</v>
      </c>
      <c r="AH52" s="55">
        <f t="shared" si="49"/>
        <v>0</v>
      </c>
      <c r="AI52" s="55">
        <f t="shared" si="49"/>
        <v>0</v>
      </c>
      <c r="AJ52" s="111">
        <f t="shared" si="43"/>
        <v>0</v>
      </c>
      <c r="AK52" s="848"/>
      <c r="AL52" s="823"/>
      <c r="AM52" s="113"/>
      <c r="AN52" s="817"/>
      <c r="AO52" s="133">
        <v>41</v>
      </c>
    </row>
    <row r="53" spans="1:41">
      <c r="A53" s="895"/>
      <c r="B53" s="56" t="s">
        <v>37</v>
      </c>
      <c r="C53" s="57" t="s">
        <v>114</v>
      </c>
      <c r="D53" s="28"/>
      <c r="E53" s="29"/>
      <c r="F53" s="712"/>
      <c r="G53" s="712"/>
      <c r="H53" s="712"/>
      <c r="I53" s="712"/>
      <c r="J53" s="712"/>
      <c r="K53" s="712"/>
      <c r="L53" s="712"/>
      <c r="M53" s="712"/>
      <c r="N53" s="712"/>
      <c r="O53" s="712"/>
      <c r="P53" s="712"/>
      <c r="Q53" s="712"/>
      <c r="R53" s="712"/>
      <c r="S53" s="712"/>
      <c r="T53" s="712"/>
      <c r="U53" s="712"/>
      <c r="V53" s="712"/>
      <c r="W53" s="712"/>
      <c r="X53" s="712"/>
      <c r="Y53" s="712"/>
      <c r="Z53" s="88">
        <f t="shared" si="42"/>
        <v>0</v>
      </c>
      <c r="AA53" s="89">
        <f t="shared" si="42"/>
        <v>0</v>
      </c>
      <c r="AB53" s="712"/>
      <c r="AC53" s="712"/>
      <c r="AD53" s="712"/>
      <c r="AE53" s="712"/>
      <c r="AF53" s="712"/>
      <c r="AG53" s="712"/>
      <c r="AH53" s="712"/>
      <c r="AI53" s="712"/>
      <c r="AJ53" s="111">
        <f t="shared" si="43"/>
        <v>0</v>
      </c>
      <c r="AK53" s="112"/>
      <c r="AL53" s="823"/>
      <c r="AM53" s="113"/>
      <c r="AN53" s="817"/>
      <c r="AO53" s="133"/>
    </row>
    <row r="54" spans="1:41">
      <c r="A54" s="895"/>
      <c r="B54" s="56" t="s">
        <v>41</v>
      </c>
      <c r="C54" s="57" t="s">
        <v>115</v>
      </c>
      <c r="D54" s="28"/>
      <c r="E54" s="29"/>
      <c r="F54" s="712"/>
      <c r="G54" s="712"/>
      <c r="H54" s="712"/>
      <c r="I54" s="712"/>
      <c r="J54" s="712"/>
      <c r="K54" s="712"/>
      <c r="L54" s="712"/>
      <c r="M54" s="712"/>
      <c r="N54" s="712"/>
      <c r="O54" s="712"/>
      <c r="P54" s="712"/>
      <c r="Q54" s="712"/>
      <c r="R54" s="712"/>
      <c r="S54" s="712"/>
      <c r="T54" s="712"/>
      <c r="U54" s="712"/>
      <c r="V54" s="712"/>
      <c r="W54" s="712"/>
      <c r="X54" s="712"/>
      <c r="Y54" s="712"/>
      <c r="Z54" s="88">
        <f t="shared" si="42"/>
        <v>0</v>
      </c>
      <c r="AA54" s="89">
        <f t="shared" si="42"/>
        <v>0</v>
      </c>
      <c r="AB54" s="712"/>
      <c r="AC54" s="712"/>
      <c r="AD54" s="712"/>
      <c r="AE54" s="712"/>
      <c r="AF54" s="712"/>
      <c r="AG54" s="712"/>
      <c r="AH54" s="712"/>
      <c r="AI54" s="712"/>
      <c r="AJ54" s="111">
        <f t="shared" si="43"/>
        <v>0</v>
      </c>
      <c r="AK54" s="112"/>
      <c r="AL54" s="823"/>
      <c r="AM54" s="113"/>
      <c r="AN54" s="817"/>
      <c r="AO54" s="133"/>
    </row>
    <row r="55" spans="1:41">
      <c r="A55" s="895"/>
      <c r="B55" s="56" t="s">
        <v>44</v>
      </c>
      <c r="C55" s="57" t="s">
        <v>116</v>
      </c>
      <c r="D55" s="28"/>
      <c r="E55" s="29"/>
      <c r="F55" s="712"/>
      <c r="G55" s="712"/>
      <c r="H55" s="712"/>
      <c r="I55" s="712"/>
      <c r="J55" s="712"/>
      <c r="K55" s="712"/>
      <c r="L55" s="712"/>
      <c r="M55" s="712"/>
      <c r="N55" s="712"/>
      <c r="O55" s="712"/>
      <c r="P55" s="712"/>
      <c r="Q55" s="712"/>
      <c r="R55" s="712"/>
      <c r="S55" s="712"/>
      <c r="T55" s="712"/>
      <c r="U55" s="712"/>
      <c r="V55" s="712"/>
      <c r="W55" s="712"/>
      <c r="X55" s="712"/>
      <c r="Y55" s="712"/>
      <c r="Z55" s="88">
        <f t="shared" si="42"/>
        <v>0</v>
      </c>
      <c r="AA55" s="89">
        <f t="shared" si="42"/>
        <v>0</v>
      </c>
      <c r="AB55" s="712"/>
      <c r="AC55" s="712"/>
      <c r="AD55" s="712"/>
      <c r="AE55" s="712"/>
      <c r="AF55" s="712"/>
      <c r="AG55" s="712"/>
      <c r="AH55" s="712"/>
      <c r="AI55" s="712"/>
      <c r="AJ55" s="111">
        <f t="shared" si="43"/>
        <v>0</v>
      </c>
      <c r="AK55" s="112"/>
      <c r="AL55" s="823"/>
      <c r="AM55" s="113"/>
      <c r="AN55" s="817"/>
      <c r="AO55" s="133"/>
    </row>
    <row r="56" spans="1:41" ht="31.5" thickBot="1">
      <c r="A56" s="896"/>
      <c r="B56" s="58" t="s">
        <v>47</v>
      </c>
      <c r="C56" s="59" t="s">
        <v>117</v>
      </c>
      <c r="D56" s="60"/>
      <c r="E56" s="61"/>
      <c r="F56" s="713"/>
      <c r="G56" s="713"/>
      <c r="H56" s="713"/>
      <c r="I56" s="713"/>
      <c r="J56" s="713"/>
      <c r="K56" s="713"/>
      <c r="L56" s="713"/>
      <c r="M56" s="713"/>
      <c r="N56" s="713"/>
      <c r="O56" s="713"/>
      <c r="P56" s="713"/>
      <c r="Q56" s="713"/>
      <c r="R56" s="713"/>
      <c r="S56" s="713"/>
      <c r="T56" s="713"/>
      <c r="U56" s="713"/>
      <c r="V56" s="713"/>
      <c r="W56" s="713"/>
      <c r="X56" s="713"/>
      <c r="Y56" s="713"/>
      <c r="Z56" s="88">
        <f t="shared" si="42"/>
        <v>0</v>
      </c>
      <c r="AA56" s="89">
        <f t="shared" si="42"/>
        <v>0</v>
      </c>
      <c r="AB56" s="713"/>
      <c r="AC56" s="713"/>
      <c r="AD56" s="713"/>
      <c r="AE56" s="713"/>
      <c r="AF56" s="713"/>
      <c r="AG56" s="713"/>
      <c r="AH56" s="713"/>
      <c r="AI56" s="713"/>
      <c r="AJ56" s="117">
        <f t="shared" si="43"/>
        <v>0</v>
      </c>
      <c r="AK56" s="112"/>
      <c r="AL56" s="823"/>
      <c r="AM56" s="113"/>
      <c r="AN56" s="817"/>
      <c r="AO56" s="133"/>
    </row>
    <row r="57" spans="1:41">
      <c r="A57" s="989" t="s">
        <v>964</v>
      </c>
      <c r="B57" s="62" t="s">
        <v>29</v>
      </c>
      <c r="C57" s="63" t="s">
        <v>120</v>
      </c>
      <c r="D57" s="23"/>
      <c r="E57" s="64"/>
      <c r="F57" s="65">
        <f t="shared" ref="F57:AI57" si="50">F152</f>
        <v>0</v>
      </c>
      <c r="G57" s="65">
        <f t="shared" si="50"/>
        <v>0</v>
      </c>
      <c r="H57" s="65">
        <f t="shared" si="50"/>
        <v>0</v>
      </c>
      <c r="I57" s="65">
        <f t="shared" si="50"/>
        <v>0</v>
      </c>
      <c r="J57" s="65">
        <f t="shared" si="50"/>
        <v>0</v>
      </c>
      <c r="K57" s="65">
        <f t="shared" si="50"/>
        <v>0</v>
      </c>
      <c r="L57" s="65">
        <f t="shared" si="50"/>
        <v>0</v>
      </c>
      <c r="M57" s="65">
        <f t="shared" si="50"/>
        <v>0</v>
      </c>
      <c r="N57" s="65">
        <f t="shared" si="50"/>
        <v>0</v>
      </c>
      <c r="O57" s="65">
        <f t="shared" si="50"/>
        <v>0</v>
      </c>
      <c r="P57" s="65">
        <f t="shared" si="50"/>
        <v>0</v>
      </c>
      <c r="Q57" s="65">
        <f t="shared" si="50"/>
        <v>0</v>
      </c>
      <c r="R57" s="65">
        <f t="shared" si="50"/>
        <v>0</v>
      </c>
      <c r="S57" s="65">
        <f t="shared" si="50"/>
        <v>0</v>
      </c>
      <c r="T57" s="65">
        <f t="shared" si="50"/>
        <v>0</v>
      </c>
      <c r="U57" s="65">
        <f t="shared" si="50"/>
        <v>0</v>
      </c>
      <c r="V57" s="65">
        <f t="shared" si="50"/>
        <v>0</v>
      </c>
      <c r="W57" s="65">
        <f t="shared" si="50"/>
        <v>0</v>
      </c>
      <c r="X57" s="65">
        <f t="shared" si="50"/>
        <v>0</v>
      </c>
      <c r="Y57" s="104">
        <f t="shared" si="50"/>
        <v>0</v>
      </c>
      <c r="Z57" s="105">
        <f t="shared" si="42"/>
        <v>0</v>
      </c>
      <c r="AA57" s="89">
        <f t="shared" si="42"/>
        <v>0</v>
      </c>
      <c r="AB57" s="54">
        <f t="shared" si="50"/>
        <v>0</v>
      </c>
      <c r="AC57" s="54">
        <f t="shared" si="50"/>
        <v>0</v>
      </c>
      <c r="AD57" s="54">
        <f t="shared" si="50"/>
        <v>0</v>
      </c>
      <c r="AE57" s="54">
        <f t="shared" si="50"/>
        <v>0</v>
      </c>
      <c r="AF57" s="54">
        <f t="shared" si="50"/>
        <v>0</v>
      </c>
      <c r="AG57" s="54">
        <f t="shared" si="50"/>
        <v>0</v>
      </c>
      <c r="AH57" s="54">
        <f t="shared" si="50"/>
        <v>0</v>
      </c>
      <c r="AI57" s="127">
        <f t="shared" si="50"/>
        <v>0</v>
      </c>
      <c r="AJ57" s="118">
        <f t="shared" si="43"/>
        <v>0</v>
      </c>
      <c r="AK57" s="112"/>
      <c r="AL57" s="823"/>
      <c r="AM57" s="113"/>
      <c r="AN57" s="817"/>
      <c r="AO57" s="133"/>
    </row>
    <row r="58" spans="1:41">
      <c r="A58" s="895"/>
      <c r="B58" s="66" t="s">
        <v>33</v>
      </c>
      <c r="C58" s="57" t="s">
        <v>122</v>
      </c>
      <c r="D58" s="28"/>
      <c r="E58" s="67"/>
      <c r="F58" s="779">
        <f t="shared" ref="F58:Y58" si="51">F153</f>
        <v>0</v>
      </c>
      <c r="G58" s="779">
        <f t="shared" si="51"/>
        <v>0</v>
      </c>
      <c r="H58" s="779">
        <f t="shared" si="51"/>
        <v>0</v>
      </c>
      <c r="I58" s="779">
        <f t="shared" si="51"/>
        <v>0</v>
      </c>
      <c r="J58" s="779">
        <f t="shared" si="51"/>
        <v>0</v>
      </c>
      <c r="K58" s="779">
        <f t="shared" si="51"/>
        <v>0</v>
      </c>
      <c r="L58" s="779">
        <f t="shared" si="51"/>
        <v>0</v>
      </c>
      <c r="M58" s="779">
        <f t="shared" si="51"/>
        <v>0</v>
      </c>
      <c r="N58" s="779">
        <f t="shared" si="51"/>
        <v>0</v>
      </c>
      <c r="O58" s="779">
        <f t="shared" si="51"/>
        <v>0</v>
      </c>
      <c r="P58" s="779">
        <f t="shared" si="51"/>
        <v>0</v>
      </c>
      <c r="Q58" s="779">
        <f t="shared" si="51"/>
        <v>0</v>
      </c>
      <c r="R58" s="779">
        <f t="shared" si="51"/>
        <v>0</v>
      </c>
      <c r="S58" s="779">
        <f t="shared" si="51"/>
        <v>0</v>
      </c>
      <c r="T58" s="779">
        <f t="shared" si="51"/>
        <v>0</v>
      </c>
      <c r="U58" s="779">
        <f t="shared" si="51"/>
        <v>0</v>
      </c>
      <c r="V58" s="779">
        <f t="shared" si="51"/>
        <v>0</v>
      </c>
      <c r="W58" s="779">
        <f t="shared" si="51"/>
        <v>0</v>
      </c>
      <c r="X58" s="779">
        <f t="shared" si="51"/>
        <v>0</v>
      </c>
      <c r="Y58" s="780">
        <f t="shared" si="51"/>
        <v>0</v>
      </c>
      <c r="Z58" s="105">
        <f t="shared" ref="Z58:Z62" si="52">SUM(AB58,AD58,AF58,AH58)</f>
        <v>0</v>
      </c>
      <c r="AA58" s="89">
        <f t="shared" ref="AA58:AA62" si="53">SUM(AC58,AE58,AG58,AI58)</f>
        <v>0</v>
      </c>
      <c r="AB58" s="55">
        <f t="shared" ref="AB58:AI58" si="54">AB153</f>
        <v>0</v>
      </c>
      <c r="AC58" s="55">
        <f t="shared" si="54"/>
        <v>0</v>
      </c>
      <c r="AD58" s="55">
        <f t="shared" si="54"/>
        <v>0</v>
      </c>
      <c r="AE58" s="55">
        <f t="shared" si="54"/>
        <v>0</v>
      </c>
      <c r="AF58" s="55">
        <f t="shared" si="54"/>
        <v>0</v>
      </c>
      <c r="AG58" s="55">
        <f t="shared" si="54"/>
        <v>0</v>
      </c>
      <c r="AH58" s="55">
        <f t="shared" si="54"/>
        <v>0</v>
      </c>
      <c r="AI58" s="128">
        <f t="shared" si="54"/>
        <v>0</v>
      </c>
      <c r="AJ58" s="111">
        <f t="shared" si="43"/>
        <v>0</v>
      </c>
      <c r="AK58" s="120" t="str">
        <f>CONCATENATE(IF((D59+D60+D61+D62)&lt;&gt;D58," * "&amp;$A58&amp;" , "&amp;$B59&amp;" plus "&amp;$B60&amp;" plus "&amp;$B61&amp;" plus "&amp;$B62&amp;" For age "&amp;$D$6&amp;" "&amp;$D$7&amp;" should be equal to "&amp;$B58&amp;""&amp;CHAR(10),""),IF((E59+E60+E61+E62)&lt;&gt;E58," * "&amp;$A58&amp;" , "&amp;$B59&amp;" plus "&amp;$B60&amp;" plus "&amp;$B61&amp;" plus "&amp;$B62&amp;" For age "&amp;$D$6&amp;" "&amp;$E$7&amp;" should be equal to "&amp;$B58&amp;""&amp;CHAR(10),""),IF((F59+F60+F61+F62)&lt;&gt;F58," * "&amp;$A58&amp;" , "&amp;$B59&amp;" plus "&amp;$B60&amp;" plus "&amp;$B61&amp;" plus "&amp;$B62&amp;" For age "&amp;$F$6&amp;" "&amp;$F$7&amp;" should be equal to "&amp;$B58&amp;""&amp;CHAR(10),""),IF((G59+G60+G61+G62)&lt;&gt;G58," * "&amp;$A58&amp;" , "&amp;$B59&amp;" plus "&amp;$B60&amp;" plus "&amp;$B61&amp;" plus "&amp;$B62&amp;" For age "&amp;$F$6&amp;" "&amp;$G$7&amp;" should be equal to "&amp;$B58&amp;""&amp;CHAR(10),""),IF((H59+H60+H61+H62)&lt;&gt;H58," * "&amp;$A58&amp;" , "&amp;$B59&amp;" plus "&amp;$B60&amp;" plus "&amp;$B61&amp;" plus "&amp;$B62&amp;" For age "&amp;$H$6&amp;" "&amp;$H$7&amp;" should be equal to "&amp;$B58&amp;""&amp;CHAR(10),""),IF((I59+I60+I61+I62)&lt;&gt;I58," * "&amp;$A58&amp;" , "&amp;$B59&amp;" plus "&amp;$B60&amp;" plus "&amp;$B61&amp;" plus "&amp;$B62&amp;" For age "&amp;$H$6&amp;" "&amp;$I$7&amp;" should be equal to "&amp;$B58&amp;""&amp;CHAR(10),""),IF((J59+J60+J61+J62)&lt;&gt;J58," * "&amp;$A58&amp;" , "&amp;$B59&amp;" plus "&amp;$B60&amp;" plus "&amp;$B61&amp;" plus "&amp;$B62&amp;" For age "&amp;$J$6&amp;" "&amp;$J$7&amp;" should be equal to "&amp;$B58&amp;""&amp;CHAR(10),""),IF((K59+K60+K61+K62)&lt;&gt;K58," * "&amp;$A58&amp;" , "&amp;$B59&amp;" plus "&amp;$B60&amp;" plus "&amp;$B61&amp;" plus "&amp;$B62&amp;" For age "&amp;$J$6&amp;" "&amp;$K$7&amp;" should be equal to "&amp;$B58&amp;""&amp;CHAR(10),""),IF((L59+L60+L61+L62)&lt;&gt;L58," * "&amp;$A58&amp;" , "&amp;$B59&amp;" plus "&amp;$B60&amp;" plus "&amp;$B61&amp;" plus "&amp;$B62&amp;" For age "&amp;$L$6&amp;" "&amp;$L$7&amp;" should be equal to "&amp;$B58&amp;""&amp;CHAR(10),""),IF((M59+M60+M61+M62)&lt;&gt;M58," * "&amp;$A58&amp;" , "&amp;$B59&amp;" plus "&amp;$B60&amp;" plus "&amp;$B61&amp;" plus "&amp;$B62&amp;" For age "&amp;$L$6&amp;" "&amp;$M$7&amp;" should be equal to "&amp;$B58&amp;""&amp;CHAR(10),""),IF((N59+N60+N61+N62)&lt;&gt;N58," * "&amp;$A58&amp;" , "&amp;$B59&amp;" plus "&amp;$B60&amp;" plus "&amp;$B61&amp;" plus "&amp;$B62&amp;" For age "&amp;$N$6&amp;" "&amp;$N$7&amp;" should be equal to "&amp;$B58&amp;""&amp;CHAR(10),""),IF((O59+O60+O61+O62)&lt;&gt;O58," * "&amp;$A58&amp;" , "&amp;$B59&amp;" plus "&amp;$B60&amp;" plus "&amp;$B61&amp;" plus "&amp;$B62&amp;" For age "&amp;$N$6&amp;" "&amp;$O$7&amp;" should be equal to "&amp;$B58&amp;""&amp;CHAR(10),""),IF((P59+P60+P61+P62)&lt;&gt;P58," * "&amp;$A58&amp;" , "&amp;$B59&amp;" plus "&amp;$B60&amp;" plus "&amp;$B61&amp;" plus "&amp;$B62&amp;" For age "&amp;$P$6&amp;" "&amp;$P$7&amp;" should be equal to "&amp;$B58&amp;""&amp;CHAR(10),""),IF((Q59+Q60+Q61+Q62)&lt;&gt;Q58," * "&amp;$A58&amp;" , "&amp;$B59&amp;" plus "&amp;$B60&amp;" plus "&amp;$B61&amp;" plus "&amp;$B62&amp;" For age "&amp;$P$6&amp;" "&amp;$Q$7&amp;" should be equal to "&amp;$B58&amp;""&amp;CHAR(10),""),IF((R59+R60+R61+R62)&lt;&gt;R58," * "&amp;$A58&amp;" , "&amp;$B59&amp;" plus "&amp;$B60&amp;" plus "&amp;$B61&amp;" plus "&amp;$B62&amp;" For age "&amp;$R$6&amp;" "&amp;$R$7&amp;" should be equal to "&amp;$B58&amp;""&amp;CHAR(10),""),IF((S59+S60+S61+S62)&lt;&gt;S58," * "&amp;$A58&amp;" , "&amp;$B59&amp;" plus "&amp;$B60&amp;" plus "&amp;$B61&amp;" plus "&amp;$B62&amp;" For age "&amp;$R$6&amp;" "&amp;$S$7&amp;" should be equal to "&amp;$B58&amp;""&amp;CHAR(10),""),IF((T59+T60+T61+T62)&lt;&gt;T58," * "&amp;$A58&amp;" , "&amp;$B59&amp;" plus "&amp;$B60&amp;" plus "&amp;$B61&amp;" plus "&amp;$B62&amp;" For age "&amp;$T$6&amp;" "&amp;$T$7&amp;" should be equal to "&amp;$B58&amp;""&amp;CHAR(10),""),IF((U59+U60+U61+U62)&lt;&gt;U58," * "&amp;$A58&amp;" , "&amp;$B59&amp;" plus "&amp;$B60&amp;" plus "&amp;$B61&amp;" plus "&amp;$B62&amp;" For age "&amp;$T$6&amp;" "&amp;$U$7&amp;" should be equal to "&amp;$B58&amp;""&amp;CHAR(10),""),IF((V59+V60+V61+V62)&lt;&gt;V58," * "&amp;$A58&amp;" , "&amp;$B59&amp;" plus "&amp;$B60&amp;" plus "&amp;$B61&amp;" plus "&amp;$B62&amp;" For age "&amp;$V$6&amp;" "&amp;$V$7&amp;" should be equal to "&amp;$B58&amp;""&amp;CHAR(10),""),IF((W59+W60+W61+W62)&lt;&gt;W58," * "&amp;$A58&amp;" , "&amp;$B59&amp;" plus "&amp;$B60&amp;" plus "&amp;$B61&amp;" plus "&amp;$B62&amp;" For age "&amp;$V$6&amp;" "&amp;$W$7&amp;" should be equal to "&amp;$B58&amp;""&amp;CHAR(10),""),IF((X59+X60+X61+X62)&lt;&gt;X58," * "&amp;$A58&amp;" , "&amp;$B59&amp;" plus "&amp;$B60&amp;" plus "&amp;$B61&amp;" plus "&amp;$B62&amp;" For age "&amp;$X$6&amp;" "&amp;$X$7&amp;" should be equal to "&amp;$B58&amp;""&amp;CHAR(10),""),IF((Y59+Y60+Y61+Y62)&lt;&gt;Y58," * "&amp;$A58&amp;" , "&amp;$B59&amp;" plus "&amp;$B60&amp;" plus "&amp;$B61&amp;" plus "&amp;$B62&amp;" For age "&amp;$X$6&amp;" "&amp;$Y$7&amp;" should be equal to "&amp;$B58&amp;""&amp;CHAR(10),""),IF((Z59+Z60+Z61+Z62)&lt;&gt;Z58," * "&amp;$A58&amp;" , "&amp;$B59&amp;" plus "&amp;$B60&amp;" plus "&amp;$B61&amp;" plus "&amp;$B62&amp;" For age "&amp;$Z$6&amp;" "&amp;$Z$7&amp;" should be equal to "&amp;$B58&amp;""&amp;CHAR(10),""),IF((AA59+AA60+AA61+AA62)&lt;&gt;AA58," * "&amp;$A58&amp;" , "&amp;$B59&amp;" plus "&amp;$B60&amp;" plus "&amp;$B61&amp;" plus "&amp;$B62&amp;" For age "&amp;$Z$6&amp;" "&amp;$AA$7&amp;" should be equal to "&amp;$B58&amp;""&amp;CHAR(10),""))</f>
        <v/>
      </c>
      <c r="AL58" s="823"/>
      <c r="AM58" s="113"/>
      <c r="AN58" s="817"/>
      <c r="AO58" s="133"/>
    </row>
    <row r="59" spans="1:41">
      <c r="A59" s="895"/>
      <c r="B59" s="56" t="s">
        <v>37</v>
      </c>
      <c r="C59" s="57" t="s">
        <v>124</v>
      </c>
      <c r="D59" s="28"/>
      <c r="E59" s="67"/>
      <c r="F59" s="68">
        <f>F154</f>
        <v>0</v>
      </c>
      <c r="G59" s="68">
        <f t="shared" ref="G59:Y59" si="55">G154</f>
        <v>0</v>
      </c>
      <c r="H59" s="68">
        <f t="shared" si="55"/>
        <v>0</v>
      </c>
      <c r="I59" s="68">
        <f t="shared" si="55"/>
        <v>0</v>
      </c>
      <c r="J59" s="68">
        <f t="shared" si="55"/>
        <v>0</v>
      </c>
      <c r="K59" s="68">
        <f t="shared" si="55"/>
        <v>0</v>
      </c>
      <c r="L59" s="68">
        <f t="shared" si="55"/>
        <v>0</v>
      </c>
      <c r="M59" s="68">
        <f t="shared" si="55"/>
        <v>0</v>
      </c>
      <c r="N59" s="68">
        <f t="shared" si="55"/>
        <v>0</v>
      </c>
      <c r="O59" s="68">
        <f t="shared" si="55"/>
        <v>0</v>
      </c>
      <c r="P59" s="68">
        <f t="shared" si="55"/>
        <v>0</v>
      </c>
      <c r="Q59" s="68">
        <f t="shared" si="55"/>
        <v>0</v>
      </c>
      <c r="R59" s="68">
        <f t="shared" si="55"/>
        <v>0</v>
      </c>
      <c r="S59" s="68">
        <f t="shared" si="55"/>
        <v>0</v>
      </c>
      <c r="T59" s="68">
        <f t="shared" si="55"/>
        <v>0</v>
      </c>
      <c r="U59" s="68">
        <f t="shared" si="55"/>
        <v>0</v>
      </c>
      <c r="V59" s="68">
        <f t="shared" si="55"/>
        <v>0</v>
      </c>
      <c r="W59" s="68">
        <f t="shared" si="55"/>
        <v>0</v>
      </c>
      <c r="X59" s="68">
        <f t="shared" si="55"/>
        <v>0</v>
      </c>
      <c r="Y59" s="106">
        <f t="shared" si="55"/>
        <v>0</v>
      </c>
      <c r="Z59" s="105">
        <f t="shared" si="52"/>
        <v>0</v>
      </c>
      <c r="AA59" s="89">
        <f t="shared" si="53"/>
        <v>0</v>
      </c>
      <c r="AB59" s="68">
        <f t="shared" ref="AB59:AD59" si="56">AB154</f>
        <v>0</v>
      </c>
      <c r="AC59" s="68">
        <f t="shared" si="56"/>
        <v>0</v>
      </c>
      <c r="AD59" s="68">
        <f t="shared" si="56"/>
        <v>0</v>
      </c>
      <c r="AE59" s="68">
        <f t="shared" ref="AE59:AI59" si="57">AE154</f>
        <v>0</v>
      </c>
      <c r="AF59" s="68">
        <f t="shared" si="57"/>
        <v>0</v>
      </c>
      <c r="AG59" s="68">
        <f t="shared" si="57"/>
        <v>0</v>
      </c>
      <c r="AH59" s="68">
        <f t="shared" si="57"/>
        <v>0</v>
      </c>
      <c r="AI59" s="68">
        <f t="shared" si="57"/>
        <v>0</v>
      </c>
      <c r="AJ59" s="111">
        <f t="shared" si="43"/>
        <v>0</v>
      </c>
      <c r="AK59" s="112"/>
      <c r="AL59" s="823"/>
      <c r="AM59" s="113"/>
      <c r="AN59" s="817"/>
      <c r="AO59" s="133"/>
    </row>
    <row r="60" spans="1:41">
      <c r="A60" s="895"/>
      <c r="B60" s="56" t="s">
        <v>41</v>
      </c>
      <c r="C60" s="57" t="s">
        <v>125</v>
      </c>
      <c r="D60" s="28"/>
      <c r="E60" s="67"/>
      <c r="F60" s="68">
        <f t="shared" ref="F60:Y60" si="58">F155</f>
        <v>0</v>
      </c>
      <c r="G60" s="68">
        <f t="shared" si="58"/>
        <v>0</v>
      </c>
      <c r="H60" s="68">
        <f t="shared" si="58"/>
        <v>0</v>
      </c>
      <c r="I60" s="68">
        <f t="shared" si="58"/>
        <v>0</v>
      </c>
      <c r="J60" s="68">
        <f t="shared" si="58"/>
        <v>0</v>
      </c>
      <c r="K60" s="68">
        <f t="shared" si="58"/>
        <v>0</v>
      </c>
      <c r="L60" s="68">
        <f t="shared" si="58"/>
        <v>0</v>
      </c>
      <c r="M60" s="68">
        <f t="shared" si="58"/>
        <v>0</v>
      </c>
      <c r="N60" s="68">
        <f t="shared" si="58"/>
        <v>0</v>
      </c>
      <c r="O60" s="68">
        <f t="shared" si="58"/>
        <v>0</v>
      </c>
      <c r="P60" s="68">
        <f t="shared" si="58"/>
        <v>0</v>
      </c>
      <c r="Q60" s="68">
        <f t="shared" si="58"/>
        <v>0</v>
      </c>
      <c r="R60" s="68">
        <f t="shared" si="58"/>
        <v>0</v>
      </c>
      <c r="S60" s="68">
        <f t="shared" si="58"/>
        <v>0</v>
      </c>
      <c r="T60" s="68">
        <f t="shared" si="58"/>
        <v>0</v>
      </c>
      <c r="U60" s="68">
        <f t="shared" si="58"/>
        <v>0</v>
      </c>
      <c r="V60" s="68">
        <f t="shared" si="58"/>
        <v>0</v>
      </c>
      <c r="W60" s="68">
        <f t="shared" si="58"/>
        <v>0</v>
      </c>
      <c r="X60" s="68">
        <f t="shared" si="58"/>
        <v>0</v>
      </c>
      <c r="Y60" s="106">
        <f t="shared" si="58"/>
        <v>0</v>
      </c>
      <c r="Z60" s="105">
        <f t="shared" si="52"/>
        <v>0</v>
      </c>
      <c r="AA60" s="89">
        <f t="shared" si="53"/>
        <v>0</v>
      </c>
      <c r="AB60" s="68">
        <f t="shared" ref="AB60:AD60" si="59">AB155</f>
        <v>0</v>
      </c>
      <c r="AC60" s="68">
        <f t="shared" si="59"/>
        <v>0</v>
      </c>
      <c r="AD60" s="68">
        <f t="shared" si="59"/>
        <v>0</v>
      </c>
      <c r="AE60" s="68">
        <f t="shared" ref="AE60:AI60" si="60">AE155</f>
        <v>0</v>
      </c>
      <c r="AF60" s="68">
        <f t="shared" si="60"/>
        <v>0</v>
      </c>
      <c r="AG60" s="68">
        <f t="shared" si="60"/>
        <v>0</v>
      </c>
      <c r="AH60" s="68">
        <f t="shared" si="60"/>
        <v>0</v>
      </c>
      <c r="AI60" s="68">
        <f t="shared" si="60"/>
        <v>0</v>
      </c>
      <c r="AJ60" s="111">
        <f t="shared" si="43"/>
        <v>0</v>
      </c>
      <c r="AK60" s="112"/>
      <c r="AL60" s="823"/>
      <c r="AM60" s="113"/>
      <c r="AN60" s="817"/>
      <c r="AO60" s="133"/>
    </row>
    <row r="61" spans="1:41">
      <c r="A61" s="895"/>
      <c r="B61" s="56" t="s">
        <v>44</v>
      </c>
      <c r="C61" s="57" t="s">
        <v>126</v>
      </c>
      <c r="D61" s="28"/>
      <c r="E61" s="67"/>
      <c r="F61" s="68">
        <f t="shared" ref="F61:Y61" si="61">F156</f>
        <v>0</v>
      </c>
      <c r="G61" s="68">
        <f t="shared" si="61"/>
        <v>0</v>
      </c>
      <c r="H61" s="68">
        <f t="shared" si="61"/>
        <v>0</v>
      </c>
      <c r="I61" s="68">
        <f t="shared" si="61"/>
        <v>0</v>
      </c>
      <c r="J61" s="68">
        <f t="shared" si="61"/>
        <v>0</v>
      </c>
      <c r="K61" s="68">
        <f t="shared" si="61"/>
        <v>0</v>
      </c>
      <c r="L61" s="68">
        <f t="shared" si="61"/>
        <v>0</v>
      </c>
      <c r="M61" s="68">
        <f t="shared" si="61"/>
        <v>0</v>
      </c>
      <c r="N61" s="68">
        <f t="shared" si="61"/>
        <v>0</v>
      </c>
      <c r="O61" s="68">
        <f t="shared" si="61"/>
        <v>0</v>
      </c>
      <c r="P61" s="68">
        <f t="shared" si="61"/>
        <v>0</v>
      </c>
      <c r="Q61" s="68">
        <f t="shared" si="61"/>
        <v>0</v>
      </c>
      <c r="R61" s="68">
        <f t="shared" si="61"/>
        <v>0</v>
      </c>
      <c r="S61" s="68">
        <f t="shared" si="61"/>
        <v>0</v>
      </c>
      <c r="T61" s="68">
        <f t="shared" si="61"/>
        <v>0</v>
      </c>
      <c r="U61" s="68">
        <f t="shared" si="61"/>
        <v>0</v>
      </c>
      <c r="V61" s="68">
        <f t="shared" si="61"/>
        <v>0</v>
      </c>
      <c r="W61" s="68">
        <f t="shared" si="61"/>
        <v>0</v>
      </c>
      <c r="X61" s="68">
        <f t="shared" si="61"/>
        <v>0</v>
      </c>
      <c r="Y61" s="106">
        <f t="shared" si="61"/>
        <v>0</v>
      </c>
      <c r="Z61" s="105">
        <f t="shared" si="52"/>
        <v>0</v>
      </c>
      <c r="AA61" s="89">
        <f t="shared" si="53"/>
        <v>0</v>
      </c>
      <c r="AB61" s="68">
        <f t="shared" ref="AB61:AD61" si="62">AB156</f>
        <v>0</v>
      </c>
      <c r="AC61" s="68">
        <f t="shared" si="62"/>
        <v>0</v>
      </c>
      <c r="AD61" s="68">
        <f t="shared" si="62"/>
        <v>0</v>
      </c>
      <c r="AE61" s="68">
        <f t="shared" ref="AE61:AI61" si="63">AE156</f>
        <v>0</v>
      </c>
      <c r="AF61" s="68">
        <f t="shared" si="63"/>
        <v>0</v>
      </c>
      <c r="AG61" s="68">
        <f t="shared" si="63"/>
        <v>0</v>
      </c>
      <c r="AH61" s="68">
        <f t="shared" si="63"/>
        <v>0</v>
      </c>
      <c r="AI61" s="68">
        <f t="shared" si="63"/>
        <v>0</v>
      </c>
      <c r="AJ61" s="111">
        <f t="shared" si="43"/>
        <v>0</v>
      </c>
      <c r="AK61" s="112"/>
      <c r="AL61" s="823"/>
      <c r="AM61" s="113"/>
      <c r="AN61" s="817"/>
      <c r="AO61" s="133"/>
    </row>
    <row r="62" spans="1:41">
      <c r="A62" s="896"/>
      <c r="B62" s="58" t="s">
        <v>47</v>
      </c>
      <c r="C62" s="59" t="s">
        <v>127</v>
      </c>
      <c r="D62" s="50"/>
      <c r="E62" s="69"/>
      <c r="F62" s="70">
        <f t="shared" ref="F62:Y62" si="64">F157</f>
        <v>0</v>
      </c>
      <c r="G62" s="70">
        <f t="shared" si="64"/>
        <v>0</v>
      </c>
      <c r="H62" s="70">
        <f t="shared" si="64"/>
        <v>0</v>
      </c>
      <c r="I62" s="70">
        <f t="shared" si="64"/>
        <v>0</v>
      </c>
      <c r="J62" s="70">
        <f t="shared" si="64"/>
        <v>0</v>
      </c>
      <c r="K62" s="70">
        <f t="shared" si="64"/>
        <v>0</v>
      </c>
      <c r="L62" s="70">
        <f t="shared" si="64"/>
        <v>0</v>
      </c>
      <c r="M62" s="70">
        <f t="shared" si="64"/>
        <v>0</v>
      </c>
      <c r="N62" s="70">
        <f t="shared" si="64"/>
        <v>0</v>
      </c>
      <c r="O62" s="70">
        <f t="shared" si="64"/>
        <v>0</v>
      </c>
      <c r="P62" s="70">
        <f t="shared" si="64"/>
        <v>0</v>
      </c>
      <c r="Q62" s="70">
        <f t="shared" si="64"/>
        <v>0</v>
      </c>
      <c r="R62" s="70">
        <f t="shared" si="64"/>
        <v>0</v>
      </c>
      <c r="S62" s="70">
        <f t="shared" si="64"/>
        <v>0</v>
      </c>
      <c r="T62" s="70">
        <f t="shared" si="64"/>
        <v>0</v>
      </c>
      <c r="U62" s="70">
        <f t="shared" si="64"/>
        <v>0</v>
      </c>
      <c r="V62" s="70">
        <f t="shared" si="64"/>
        <v>0</v>
      </c>
      <c r="W62" s="70">
        <f t="shared" si="64"/>
        <v>0</v>
      </c>
      <c r="X62" s="70">
        <f t="shared" si="64"/>
        <v>0</v>
      </c>
      <c r="Y62" s="107">
        <f t="shared" si="64"/>
        <v>0</v>
      </c>
      <c r="Z62" s="105">
        <f t="shared" si="52"/>
        <v>0</v>
      </c>
      <c r="AA62" s="89">
        <f t="shared" si="53"/>
        <v>0</v>
      </c>
      <c r="AB62" s="70">
        <f t="shared" ref="AB62:AD62" si="65">AB157</f>
        <v>0</v>
      </c>
      <c r="AC62" s="70">
        <f t="shared" si="65"/>
        <v>0</v>
      </c>
      <c r="AD62" s="70">
        <f t="shared" si="65"/>
        <v>0</v>
      </c>
      <c r="AE62" s="70">
        <f t="shared" ref="AE62:AI62" si="66">AE157</f>
        <v>0</v>
      </c>
      <c r="AF62" s="70">
        <f t="shared" si="66"/>
        <v>0</v>
      </c>
      <c r="AG62" s="70">
        <f t="shared" si="66"/>
        <v>0</v>
      </c>
      <c r="AH62" s="70">
        <f t="shared" si="66"/>
        <v>0</v>
      </c>
      <c r="AI62" s="70">
        <f t="shared" si="66"/>
        <v>0</v>
      </c>
      <c r="AJ62" s="117">
        <f t="shared" ref="AJ62:AJ67" si="67">SUM(D62:AA62)</f>
        <v>0</v>
      </c>
      <c r="AK62" s="112"/>
      <c r="AL62" s="823"/>
      <c r="AM62" s="113"/>
      <c r="AN62" s="817"/>
      <c r="AO62" s="133"/>
    </row>
    <row r="63" spans="1:41" ht="39.75" customHeight="1">
      <c r="A63" s="989" t="s">
        <v>965</v>
      </c>
      <c r="B63" s="62" t="s">
        <v>29</v>
      </c>
      <c r="C63" s="71" t="s">
        <v>130</v>
      </c>
      <c r="D63" s="72"/>
      <c r="E63" s="73"/>
      <c r="F63" s="74">
        <f t="shared" ref="F63:Y63" si="68">F160+F162+F164+F166</f>
        <v>0</v>
      </c>
      <c r="G63" s="74">
        <f t="shared" si="68"/>
        <v>0</v>
      </c>
      <c r="H63" s="74">
        <f t="shared" si="68"/>
        <v>0</v>
      </c>
      <c r="I63" s="74">
        <f t="shared" si="68"/>
        <v>0</v>
      </c>
      <c r="J63" s="74">
        <f t="shared" si="68"/>
        <v>0</v>
      </c>
      <c r="K63" s="74">
        <f t="shared" si="68"/>
        <v>0</v>
      </c>
      <c r="L63" s="74">
        <f t="shared" si="68"/>
        <v>0</v>
      </c>
      <c r="M63" s="74">
        <f t="shared" si="68"/>
        <v>0</v>
      </c>
      <c r="N63" s="74">
        <f t="shared" si="68"/>
        <v>0</v>
      </c>
      <c r="O63" s="74">
        <f t="shared" si="68"/>
        <v>0</v>
      </c>
      <c r="P63" s="74">
        <f t="shared" si="68"/>
        <v>0</v>
      </c>
      <c r="Q63" s="74">
        <f t="shared" si="68"/>
        <v>0</v>
      </c>
      <c r="R63" s="74">
        <f t="shared" si="68"/>
        <v>0</v>
      </c>
      <c r="S63" s="74">
        <f t="shared" si="68"/>
        <v>0</v>
      </c>
      <c r="T63" s="74">
        <f t="shared" si="68"/>
        <v>0</v>
      </c>
      <c r="U63" s="74">
        <f t="shared" si="68"/>
        <v>0</v>
      </c>
      <c r="V63" s="74">
        <f t="shared" si="68"/>
        <v>0</v>
      </c>
      <c r="W63" s="74">
        <f t="shared" si="68"/>
        <v>0</v>
      </c>
      <c r="X63" s="74">
        <f t="shared" si="68"/>
        <v>0</v>
      </c>
      <c r="Y63" s="74">
        <f t="shared" si="68"/>
        <v>0</v>
      </c>
      <c r="Z63" s="88">
        <f t="shared" ref="Z63:Z71" si="69">SUM(AB63,AD63,AF63,AH63)</f>
        <v>0</v>
      </c>
      <c r="AA63" s="89">
        <f t="shared" ref="AA63:AA71" si="70">SUM(AC63,AE63,AG63,AI63)</f>
        <v>0</v>
      </c>
      <c r="AB63" s="74">
        <f t="shared" ref="AB63:AI64" si="71">AB160+AB162+AB164+AB166</f>
        <v>0</v>
      </c>
      <c r="AC63" s="74">
        <f t="shared" si="71"/>
        <v>0</v>
      </c>
      <c r="AD63" s="74">
        <f t="shared" si="71"/>
        <v>0</v>
      </c>
      <c r="AE63" s="74">
        <f t="shared" si="71"/>
        <v>0</v>
      </c>
      <c r="AF63" s="74">
        <f t="shared" si="71"/>
        <v>0</v>
      </c>
      <c r="AG63" s="74">
        <f t="shared" si="71"/>
        <v>0</v>
      </c>
      <c r="AH63" s="74">
        <f t="shared" si="71"/>
        <v>0</v>
      </c>
      <c r="AI63" s="74">
        <f t="shared" si="71"/>
        <v>0</v>
      </c>
      <c r="AJ63" s="118">
        <f t="shared" si="67"/>
        <v>0</v>
      </c>
      <c r="AK63" s="112"/>
      <c r="AL63" s="823"/>
      <c r="AM63" s="113"/>
      <c r="AN63" s="817"/>
      <c r="AO63" s="133"/>
    </row>
    <row r="64" spans="1:41" ht="39.75" customHeight="1">
      <c r="A64" s="896"/>
      <c r="B64" s="66" t="s">
        <v>33</v>
      </c>
      <c r="C64" s="75" t="s">
        <v>132</v>
      </c>
      <c r="D64" s="76"/>
      <c r="E64" s="77"/>
      <c r="F64" s="78">
        <f t="shared" ref="F64:Y64" si="72">F161+F163+F165+F167</f>
        <v>0</v>
      </c>
      <c r="G64" s="78">
        <f t="shared" si="72"/>
        <v>0</v>
      </c>
      <c r="H64" s="78">
        <f t="shared" si="72"/>
        <v>0</v>
      </c>
      <c r="I64" s="78">
        <f t="shared" si="72"/>
        <v>0</v>
      </c>
      <c r="J64" s="78">
        <f t="shared" si="72"/>
        <v>0</v>
      </c>
      <c r="K64" s="78">
        <f t="shared" si="72"/>
        <v>0</v>
      </c>
      <c r="L64" s="78">
        <f t="shared" si="72"/>
        <v>0</v>
      </c>
      <c r="M64" s="78">
        <f t="shared" si="72"/>
        <v>0</v>
      </c>
      <c r="N64" s="78">
        <f t="shared" si="72"/>
        <v>0</v>
      </c>
      <c r="O64" s="78">
        <f t="shared" si="72"/>
        <v>0</v>
      </c>
      <c r="P64" s="78">
        <f t="shared" si="72"/>
        <v>0</v>
      </c>
      <c r="Q64" s="78">
        <f t="shared" si="72"/>
        <v>0</v>
      </c>
      <c r="R64" s="78">
        <f t="shared" si="72"/>
        <v>0</v>
      </c>
      <c r="S64" s="78">
        <f t="shared" si="72"/>
        <v>0</v>
      </c>
      <c r="T64" s="78">
        <f t="shared" si="72"/>
        <v>0</v>
      </c>
      <c r="U64" s="78">
        <f t="shared" si="72"/>
        <v>0</v>
      </c>
      <c r="V64" s="78">
        <f t="shared" si="72"/>
        <v>0</v>
      </c>
      <c r="W64" s="78">
        <f t="shared" si="72"/>
        <v>0</v>
      </c>
      <c r="X64" s="78">
        <f t="shared" si="72"/>
        <v>0</v>
      </c>
      <c r="Y64" s="78">
        <f t="shared" si="72"/>
        <v>0</v>
      </c>
      <c r="Z64" s="88">
        <f t="shared" si="69"/>
        <v>0</v>
      </c>
      <c r="AA64" s="89">
        <f t="shared" si="70"/>
        <v>0</v>
      </c>
      <c r="AB64" s="74">
        <f t="shared" si="71"/>
        <v>0</v>
      </c>
      <c r="AC64" s="74">
        <f t="shared" si="71"/>
        <v>0</v>
      </c>
      <c r="AD64" s="74">
        <f t="shared" si="71"/>
        <v>0</v>
      </c>
      <c r="AE64" s="74">
        <f t="shared" si="71"/>
        <v>0</v>
      </c>
      <c r="AF64" s="74">
        <f t="shared" si="71"/>
        <v>0</v>
      </c>
      <c r="AG64" s="74">
        <f t="shared" si="71"/>
        <v>0</v>
      </c>
      <c r="AH64" s="74">
        <f t="shared" si="71"/>
        <v>0</v>
      </c>
      <c r="AI64" s="74">
        <f t="shared" si="71"/>
        <v>0</v>
      </c>
      <c r="AJ64" s="117">
        <f t="shared" si="67"/>
        <v>0</v>
      </c>
      <c r="AK64" s="112"/>
      <c r="AL64" s="823"/>
      <c r="AM64" s="113"/>
      <c r="AN64" s="817"/>
      <c r="AO64" s="133"/>
    </row>
    <row r="65" spans="1:41" ht="39.75" customHeight="1">
      <c r="A65" s="989" t="s">
        <v>966</v>
      </c>
      <c r="B65" s="135" t="s">
        <v>29</v>
      </c>
      <c r="C65" s="63" t="s">
        <v>135</v>
      </c>
      <c r="D65" s="136"/>
      <c r="E65" s="137"/>
      <c r="F65" s="65">
        <f t="shared" ref="F65:Y65" si="73">F168+F170+F172+F174</f>
        <v>0</v>
      </c>
      <c r="G65" s="65">
        <f t="shared" si="73"/>
        <v>0</v>
      </c>
      <c r="H65" s="65">
        <f t="shared" si="73"/>
        <v>0</v>
      </c>
      <c r="I65" s="65">
        <f t="shared" si="73"/>
        <v>0</v>
      </c>
      <c r="J65" s="65">
        <f t="shared" si="73"/>
        <v>0</v>
      </c>
      <c r="K65" s="65">
        <f t="shared" si="73"/>
        <v>0</v>
      </c>
      <c r="L65" s="65">
        <f t="shared" si="73"/>
        <v>0</v>
      </c>
      <c r="M65" s="65">
        <f t="shared" si="73"/>
        <v>0</v>
      </c>
      <c r="N65" s="65">
        <f t="shared" si="73"/>
        <v>0</v>
      </c>
      <c r="O65" s="65">
        <f t="shared" si="73"/>
        <v>0</v>
      </c>
      <c r="P65" s="65">
        <f t="shared" si="73"/>
        <v>0</v>
      </c>
      <c r="Q65" s="65">
        <f t="shared" si="73"/>
        <v>0</v>
      </c>
      <c r="R65" s="65">
        <f t="shared" si="73"/>
        <v>0</v>
      </c>
      <c r="S65" s="65">
        <f t="shared" si="73"/>
        <v>0</v>
      </c>
      <c r="T65" s="65">
        <f t="shared" si="73"/>
        <v>0</v>
      </c>
      <c r="U65" s="65">
        <f t="shared" si="73"/>
        <v>0</v>
      </c>
      <c r="V65" s="65">
        <f t="shared" si="73"/>
        <v>0</v>
      </c>
      <c r="W65" s="65">
        <f t="shared" si="73"/>
        <v>0</v>
      </c>
      <c r="X65" s="65">
        <f t="shared" si="73"/>
        <v>0</v>
      </c>
      <c r="Y65" s="104">
        <f t="shared" si="73"/>
        <v>0</v>
      </c>
      <c r="Z65" s="105">
        <f t="shared" si="69"/>
        <v>0</v>
      </c>
      <c r="AA65" s="89">
        <f t="shared" si="70"/>
        <v>0</v>
      </c>
      <c r="AB65" s="65">
        <f t="shared" ref="AB65:AI66" si="74">AB168+AB170+AB172+AB174</f>
        <v>0</v>
      </c>
      <c r="AC65" s="65">
        <f t="shared" si="74"/>
        <v>0</v>
      </c>
      <c r="AD65" s="65">
        <f t="shared" si="74"/>
        <v>0</v>
      </c>
      <c r="AE65" s="65">
        <f t="shared" si="74"/>
        <v>0</v>
      </c>
      <c r="AF65" s="65">
        <f t="shared" si="74"/>
        <v>0</v>
      </c>
      <c r="AG65" s="65">
        <f t="shared" si="74"/>
        <v>0</v>
      </c>
      <c r="AH65" s="65">
        <f t="shared" si="74"/>
        <v>0</v>
      </c>
      <c r="AI65" s="65">
        <f t="shared" si="74"/>
        <v>0</v>
      </c>
      <c r="AJ65" s="118">
        <f t="shared" si="67"/>
        <v>0</v>
      </c>
      <c r="AK65" s="112"/>
      <c r="AL65" s="823"/>
      <c r="AM65" s="113"/>
      <c r="AN65" s="817"/>
      <c r="AO65" s="133"/>
    </row>
    <row r="66" spans="1:41" ht="39.75" customHeight="1" thickBot="1">
      <c r="A66" s="896"/>
      <c r="B66" s="138" t="s">
        <v>33</v>
      </c>
      <c r="C66" s="139" t="s">
        <v>137</v>
      </c>
      <c r="D66" s="140"/>
      <c r="E66" s="141"/>
      <c r="F66" s="70">
        <f t="shared" ref="F66:Y66" si="75">F169+F171+F173+F175</f>
        <v>0</v>
      </c>
      <c r="G66" s="70">
        <f t="shared" si="75"/>
        <v>0</v>
      </c>
      <c r="H66" s="70">
        <f t="shared" si="75"/>
        <v>0</v>
      </c>
      <c r="I66" s="70">
        <f t="shared" si="75"/>
        <v>0</v>
      </c>
      <c r="J66" s="70">
        <f t="shared" si="75"/>
        <v>0</v>
      </c>
      <c r="K66" s="70">
        <f t="shared" si="75"/>
        <v>0</v>
      </c>
      <c r="L66" s="70">
        <f t="shared" si="75"/>
        <v>0</v>
      </c>
      <c r="M66" s="70">
        <f t="shared" si="75"/>
        <v>0</v>
      </c>
      <c r="N66" s="70">
        <f t="shared" si="75"/>
        <v>0</v>
      </c>
      <c r="O66" s="70">
        <f t="shared" si="75"/>
        <v>0</v>
      </c>
      <c r="P66" s="70">
        <f t="shared" si="75"/>
        <v>0</v>
      </c>
      <c r="Q66" s="70">
        <f t="shared" si="75"/>
        <v>0</v>
      </c>
      <c r="R66" s="70">
        <f t="shared" si="75"/>
        <v>0</v>
      </c>
      <c r="S66" s="70">
        <f t="shared" si="75"/>
        <v>0</v>
      </c>
      <c r="T66" s="70">
        <f t="shared" si="75"/>
        <v>0</v>
      </c>
      <c r="U66" s="70">
        <f t="shared" si="75"/>
        <v>0</v>
      </c>
      <c r="V66" s="70">
        <f t="shared" si="75"/>
        <v>0</v>
      </c>
      <c r="W66" s="70">
        <f t="shared" si="75"/>
        <v>0</v>
      </c>
      <c r="X66" s="70">
        <f t="shared" si="75"/>
        <v>0</v>
      </c>
      <c r="Y66" s="107">
        <f t="shared" si="75"/>
        <v>0</v>
      </c>
      <c r="Z66" s="105">
        <f t="shared" si="69"/>
        <v>0</v>
      </c>
      <c r="AA66" s="89">
        <f t="shared" si="70"/>
        <v>0</v>
      </c>
      <c r="AB66" s="70">
        <f t="shared" si="74"/>
        <v>0</v>
      </c>
      <c r="AC66" s="70">
        <f t="shared" si="74"/>
        <v>0</v>
      </c>
      <c r="AD66" s="70">
        <f t="shared" si="74"/>
        <v>0</v>
      </c>
      <c r="AE66" s="70">
        <f t="shared" si="74"/>
        <v>0</v>
      </c>
      <c r="AF66" s="70">
        <f t="shared" si="74"/>
        <v>0</v>
      </c>
      <c r="AG66" s="70">
        <f t="shared" si="74"/>
        <v>0</v>
      </c>
      <c r="AH66" s="70">
        <f t="shared" si="74"/>
        <v>0</v>
      </c>
      <c r="AI66" s="70">
        <f t="shared" si="74"/>
        <v>0</v>
      </c>
      <c r="AJ66" s="117">
        <f t="shared" si="67"/>
        <v>0</v>
      </c>
      <c r="AK66" s="112" t="str">
        <f>CONCATENATE(IF(D230&lt;&gt;D66," * PMTCT POST ANC 1 Breastfeeding for Age "&amp;D6&amp;" "&amp;D7&amp;" should be Equal to Starting ART Breastfeeding"&amp;CHAR(10),""),IF(E230&lt;&gt;E66," * PMTCT POST ANC 1 Breastfeeding for Age "&amp;D6&amp;" "&amp;E7&amp;" should be Equal to Starting ART Breastfeeding"&amp;CHAR(10),""),IF(F230&lt;&gt;F66," * PMTCT POST ANC 1 Breastfeeding for Age "&amp;F6&amp;" "&amp;F7&amp;" should be Equal to Starting ART Breastfeeding"&amp;CHAR(10),""),IF(G230&lt;&gt;G66," * PMTCT POST ANC 1 Breastfeeding for Age "&amp;F6&amp;" "&amp;G7&amp;" should be Equal to Starting ART Breastfeeding"&amp;CHAR(10),""),IF(H230&lt;&gt;H66," * PMTCT POST ANC 1 Breastfeeding for Age "&amp;H6&amp;" "&amp;H7&amp;" should be Equal to Starting ART Breastfeeding"&amp;CHAR(10),""),IF(I230&lt;&gt;I66," * PMTCT POST ANC 1 Breastfeeding for Age "&amp;H6&amp;" "&amp;I7&amp;" should be Equal to Starting ART Breastfeeding"&amp;CHAR(10),""),IF(J230&lt;&gt;J66," * PMTCT POST ANC 1 Breastfeeding for Age "&amp;J6&amp;" "&amp;J7&amp;" should be Equal to Starting ART Breastfeeding"&amp;CHAR(10),""),IF(K230&lt;&gt;K66," * PMTCT POST ANC 1 Breastfeeding for Age "&amp;J6&amp;" "&amp;K7&amp;" should be Equal to Starting ART Breastfeeding"&amp;CHAR(10),""),IF(L230&lt;&gt;L66," * PMTCT POST ANC 1 Breastfeeding for Age "&amp;L6&amp;" "&amp;L7&amp;" should be Equal to Starting ART Breastfeeding"&amp;CHAR(10),""),IF(M230&lt;&gt;M66," * PMTCT POST ANC 1 Breastfeeding for Age "&amp;L6&amp;" "&amp;M7&amp;" should be Equal to Starting ART Breastfeeding"&amp;CHAR(10),""),IF(N230&lt;&gt;N66," * PMTCT POST ANC 1 Breastfeeding for Age "&amp;N6&amp;" "&amp;N7&amp;" should be Equal to Starting ART Breastfeeding"&amp;CHAR(10),""),IF(O230&lt;&gt;O66," * PMTCT POST ANC 1 Breastfeeding for Age "&amp;N6&amp;" "&amp;O7&amp;" should be Equal to Starting ART Breastfeeding"&amp;CHAR(10),""),IF(P230&lt;&gt;P66," * PMTCT POST ANC 1 Breastfeeding for Age "&amp;P6&amp;" "&amp;P7&amp;" should be Equal to Starting ART Breastfeeding"&amp;CHAR(10),""),IF(Q230&lt;&gt;Q66," * PMTCT POST ANC 1 Breastfeeding for Age "&amp;P6&amp;" "&amp;Q7&amp;" should be Equal to Starting ART Breastfeeding"&amp;CHAR(10),""),IF(R230&lt;&gt;R66," * PMTCT POST ANC 1 Breastfeeding for Age "&amp;R6&amp;" "&amp;R7&amp;" should be Equal to Starting ART Breastfeeding"&amp;CHAR(10),""),IF(S230&lt;&gt;S66," * PMTCT POST ANC 1 Breastfeeding for Age "&amp;R6&amp;" "&amp;S7&amp;" should be Equal to Starting ART Breastfeeding"&amp;CHAR(10),""),IF(T230&lt;&gt;T66," * PMTCT POST ANC 1 Breastfeeding for Age "&amp;T6&amp;" "&amp;T7&amp;" should be Equal to Starting ART Breastfeeding"&amp;CHAR(10),""),IF(U230&lt;&gt;U66," * PMTCT POST ANC 1 Breastfeeding for Age "&amp;T6&amp;" "&amp;U7&amp;" should be Equal to Starting ART Breastfeeding"&amp;CHAR(10),""),IF(V230&lt;&gt;V66," * PMTCT POST ANC 1 Breastfeeding for Age "&amp;V6&amp;" "&amp;V7&amp;" should be Equal to Starting ART Breastfeeding"&amp;CHAR(10),""),IF(W230&lt;&gt;W66," * PMTCT POST ANC 1 Breastfeeding for Age "&amp;V6&amp;" "&amp;W7&amp;" should be Equal to Starting ART Breastfeeding"&amp;CHAR(10),""),IF(X230&lt;&gt;X66," * PMTCT POST ANC 1 Breastfeeding for Age "&amp;X6&amp;" "&amp;X7&amp;" should be Equal to Starting ART Breastfeeding"&amp;CHAR(10),""),IF(Y230&lt;&gt;Y66," * PMTCT POST ANC 1 Breastfeeding for Age "&amp;X6&amp;" "&amp;Y7&amp;" should be Equal to Starting ART Breastfeeding"&amp;CHAR(10),""),IF(Z230&lt;&gt;Z66," * PMTCT POST ANC 1 Breastfeeding for Age "&amp;Z6&amp;" "&amp;Z7&amp;" should be Equal to Starting ART Breastfeeding"&amp;CHAR(10),""),IF(AA230&lt;&gt;AA66," * PMTCT POST ANC 1 Breastfeeding for Age "&amp;Z6&amp;" "&amp;AA7&amp;" should be Equal to Starting ART Breastfeeding"&amp;CHAR(10),""),IF(AJ230&lt;&gt;AJ66," * Total PMTCT POST ANC 1 Breastfeeding should be Equal to Total Starting ART Breastfeeding"&amp;CHAR(10),""))</f>
        <v/>
      </c>
      <c r="AL66" s="823"/>
      <c r="AM66" s="113"/>
      <c r="AN66" s="817"/>
      <c r="AO66" s="133"/>
    </row>
    <row r="67" spans="1:41" ht="40.5" customHeight="1">
      <c r="A67" s="894" t="s">
        <v>916</v>
      </c>
      <c r="B67" s="142" t="s">
        <v>140</v>
      </c>
      <c r="C67" s="143" t="s">
        <v>141</v>
      </c>
      <c r="D67" s="23"/>
      <c r="E67" s="24"/>
      <c r="F67" s="717">
        <f t="shared" ref="F67" si="76">F66+F64</f>
        <v>0</v>
      </c>
      <c r="G67" s="717">
        <f t="shared" ref="G67:Y67" si="77">G66+G64</f>
        <v>0</v>
      </c>
      <c r="H67" s="717">
        <f t="shared" si="77"/>
        <v>0</v>
      </c>
      <c r="I67" s="717">
        <f t="shared" si="77"/>
        <v>0</v>
      </c>
      <c r="J67" s="717">
        <f t="shared" si="77"/>
        <v>0</v>
      </c>
      <c r="K67" s="717">
        <f t="shared" si="77"/>
        <v>0</v>
      </c>
      <c r="L67" s="717">
        <f t="shared" si="77"/>
        <v>0</v>
      </c>
      <c r="M67" s="717">
        <f t="shared" si="77"/>
        <v>0</v>
      </c>
      <c r="N67" s="717">
        <f t="shared" si="77"/>
        <v>0</v>
      </c>
      <c r="O67" s="717">
        <f t="shared" si="77"/>
        <v>0</v>
      </c>
      <c r="P67" s="717">
        <f t="shared" si="77"/>
        <v>0</v>
      </c>
      <c r="Q67" s="717">
        <f t="shared" si="77"/>
        <v>0</v>
      </c>
      <c r="R67" s="717">
        <f t="shared" si="77"/>
        <v>0</v>
      </c>
      <c r="S67" s="717">
        <f t="shared" si="77"/>
        <v>0</v>
      </c>
      <c r="T67" s="717">
        <f t="shared" si="77"/>
        <v>0</v>
      </c>
      <c r="U67" s="717">
        <f t="shared" si="77"/>
        <v>0</v>
      </c>
      <c r="V67" s="717">
        <f t="shared" si="77"/>
        <v>0</v>
      </c>
      <c r="W67" s="717">
        <f t="shared" si="77"/>
        <v>0</v>
      </c>
      <c r="X67" s="717">
        <f t="shared" si="77"/>
        <v>0</v>
      </c>
      <c r="Y67" s="718">
        <f t="shared" si="77"/>
        <v>0</v>
      </c>
      <c r="Z67" s="105">
        <f t="shared" si="69"/>
        <v>0</v>
      </c>
      <c r="AA67" s="89">
        <f t="shared" si="70"/>
        <v>0</v>
      </c>
      <c r="AB67" s="216">
        <f t="shared" ref="AB67" si="78">AB66+AB64</f>
        <v>0</v>
      </c>
      <c r="AC67" s="216">
        <f t="shared" ref="AC67" si="79">AC66+AC64</f>
        <v>0</v>
      </c>
      <c r="AD67" s="216">
        <f t="shared" ref="AD67" si="80">AD66+AD64</f>
        <v>0</v>
      </c>
      <c r="AE67" s="216">
        <f t="shared" ref="AE67" si="81">AE66+AE64</f>
        <v>0</v>
      </c>
      <c r="AF67" s="216">
        <f t="shared" ref="AF67" si="82">AF66+AF64</f>
        <v>0</v>
      </c>
      <c r="AG67" s="216">
        <f t="shared" ref="AG67" si="83">AG66+AG64</f>
        <v>0</v>
      </c>
      <c r="AH67" s="216">
        <f t="shared" ref="AH67" si="84">AH66+AH64</f>
        <v>0</v>
      </c>
      <c r="AI67" s="254">
        <f t="shared" ref="AI67" si="85">AI66+AI64</f>
        <v>0</v>
      </c>
      <c r="AJ67" s="118">
        <f t="shared" si="67"/>
        <v>0</v>
      </c>
      <c r="AK67" s="120" t="str">
        <f>CONCATENATE(IF((D68+D69+D70+D71)&lt;&gt;D67," * "&amp;$A67&amp;" , "&amp;$B68&amp;" plus "&amp;$B69&amp;" plus "&amp;$B70&amp;" plus "&amp;$B71&amp;" For age "&amp;$D$6&amp;" "&amp;$D$7&amp;" should be equal to "&amp;$B67&amp;""&amp;CHAR(10),""),IF((E68+E69+E70+E71)&lt;&gt;E67," * "&amp;$A67&amp;" , "&amp;$B68&amp;" plus "&amp;$B69&amp;" plus "&amp;$B70&amp;" plus "&amp;$B71&amp;" For age "&amp;$D$6&amp;" "&amp;$E$7&amp;" should be equal to "&amp;$B67&amp;""&amp;CHAR(10),""),IF((F68+F69+F70+F71)&lt;&gt;F67," * "&amp;$A67&amp;" , "&amp;$B68&amp;" plus "&amp;$B69&amp;" plus "&amp;$B70&amp;" plus "&amp;$B71&amp;" For age "&amp;$F$6&amp;" "&amp;$F$7&amp;" should be equal to "&amp;$B67&amp;""&amp;CHAR(10),""),IF((G68+G69+G70+G71)&lt;&gt;G67," * "&amp;$A67&amp;" , "&amp;$B68&amp;" plus "&amp;$B69&amp;" plus "&amp;$B70&amp;" plus "&amp;$B71&amp;" For age "&amp;$F$6&amp;" "&amp;$G$7&amp;" should be equal to "&amp;$B67&amp;""&amp;CHAR(10),""),IF((H68+H69+H70+H71)&lt;&gt;H67," * "&amp;$A67&amp;" , "&amp;$B68&amp;" plus "&amp;$B69&amp;" plus "&amp;$B70&amp;" plus "&amp;$B71&amp;" For age "&amp;$H$6&amp;" "&amp;$H$7&amp;" should be equal to "&amp;$B67&amp;""&amp;CHAR(10),""),IF((I68+I69+I70+I71)&lt;&gt;I67," * "&amp;$A67&amp;" , "&amp;$B68&amp;" plus "&amp;$B69&amp;" plus "&amp;$B70&amp;" plus "&amp;$B71&amp;" For age "&amp;$H$6&amp;" "&amp;$I$7&amp;" should be equal to "&amp;$B67&amp;""&amp;CHAR(10),""),IF((J68+J69+J70+J71)&lt;&gt;J67," * "&amp;$A67&amp;" , "&amp;$B68&amp;" plus "&amp;$B69&amp;" plus "&amp;$B70&amp;" plus "&amp;$B71&amp;" For age "&amp;$J$6&amp;" "&amp;$J$7&amp;" should be equal to "&amp;$B67&amp;""&amp;CHAR(10),""),IF((K68+K69+K70+K71)&lt;&gt;K67," * "&amp;$A67&amp;" , "&amp;$B68&amp;" plus "&amp;$B69&amp;" plus "&amp;$B70&amp;" plus "&amp;$B71&amp;" For age "&amp;$J$6&amp;" "&amp;$K$7&amp;" should be equal to "&amp;$B67&amp;""&amp;CHAR(10),""),IF((L68+L69+L70+L71)&lt;&gt;L67," * "&amp;$A67&amp;" , "&amp;$B68&amp;" plus "&amp;$B69&amp;" plus "&amp;$B70&amp;" plus "&amp;$B71&amp;" For age "&amp;$L$6&amp;" "&amp;$L$7&amp;" should be equal to "&amp;$B67&amp;""&amp;CHAR(10),""),IF((M68+M69+M70+M71)&lt;&gt;M67," * "&amp;$A67&amp;" , "&amp;$B68&amp;" plus "&amp;$B69&amp;" plus "&amp;$B70&amp;" plus "&amp;$B71&amp;" For age "&amp;$L$6&amp;" "&amp;$M$7&amp;" should be equal to "&amp;$B67&amp;""&amp;CHAR(10),""),IF((N68+N69+N70+N71)&lt;&gt;N67," * "&amp;$A67&amp;" , "&amp;$B68&amp;" plus "&amp;$B69&amp;" plus "&amp;$B70&amp;" plus "&amp;$B71&amp;" For age "&amp;$N$6&amp;" "&amp;$N$7&amp;" should be equal to "&amp;$B67&amp;""&amp;CHAR(10),""),IF((O68+O69+O70+O71)&lt;&gt;O67," * "&amp;$A67&amp;" , "&amp;$B68&amp;" plus "&amp;$B69&amp;" plus "&amp;$B70&amp;" plus "&amp;$B71&amp;" For age "&amp;$N$6&amp;" "&amp;$O$7&amp;" should be equal to "&amp;$B67&amp;""&amp;CHAR(10),""),IF((P68+P69+P70+P71)&lt;&gt;P67," * "&amp;$A67&amp;" , "&amp;$B68&amp;" plus "&amp;$B69&amp;" plus "&amp;$B70&amp;" plus "&amp;$B71&amp;" For age "&amp;$P$6&amp;" "&amp;$P$7&amp;" should be equal to "&amp;$B67&amp;""&amp;CHAR(10),""),IF((Q68+Q69+Q70+Q71)&lt;&gt;Q67," * "&amp;$A67&amp;" , "&amp;$B68&amp;" plus "&amp;$B69&amp;" plus "&amp;$B70&amp;" plus "&amp;$B71&amp;" For age "&amp;$P$6&amp;" "&amp;$Q$7&amp;" should be equal to "&amp;$B67&amp;""&amp;CHAR(10),""),IF((R68+R69+R70+R71)&lt;&gt;R67," * "&amp;$A67&amp;" , "&amp;$B68&amp;" plus "&amp;$B69&amp;" plus "&amp;$B70&amp;" plus "&amp;$B71&amp;" For age "&amp;$R$6&amp;" "&amp;$R$7&amp;" should be equal to "&amp;$B67&amp;""&amp;CHAR(10),""),IF((S68+S69+S70+S71)&lt;&gt;S67," * "&amp;$A67&amp;" , "&amp;$B68&amp;" plus "&amp;$B69&amp;" plus "&amp;$B70&amp;" plus "&amp;$B71&amp;" For age "&amp;$R$6&amp;" "&amp;$S$7&amp;" should be equal to "&amp;$B67&amp;""&amp;CHAR(10),""),IF((T68+T69+T70+T71)&lt;&gt;T67," * "&amp;$A67&amp;" , "&amp;$B68&amp;" plus "&amp;$B69&amp;" plus "&amp;$B70&amp;" plus "&amp;$B71&amp;" For age "&amp;$T$6&amp;" "&amp;$T$7&amp;" should be equal to "&amp;$B67&amp;""&amp;CHAR(10),""),IF((U68+U69+U70+U71)&lt;&gt;U67," * "&amp;$A67&amp;" , "&amp;$B68&amp;" plus "&amp;$B69&amp;" plus "&amp;$B70&amp;" plus "&amp;$B71&amp;" For age "&amp;$T$6&amp;" "&amp;$U$7&amp;" should be equal to "&amp;$B67&amp;""&amp;CHAR(10),""),IF((V68+V69+V70+V71)&lt;&gt;V67," * "&amp;$A67&amp;" , "&amp;$B68&amp;" plus "&amp;$B69&amp;" plus "&amp;$B70&amp;" plus "&amp;$B71&amp;" For age "&amp;$V$6&amp;" "&amp;$V$7&amp;" should be equal to "&amp;$B67&amp;""&amp;CHAR(10),""),IF((W68+W69+W70+W71)&lt;&gt;W67," * "&amp;$A67&amp;" , "&amp;$B68&amp;" plus "&amp;$B69&amp;" plus "&amp;$B70&amp;" plus "&amp;$B71&amp;" For age "&amp;$V$6&amp;" "&amp;$W$7&amp;" should be equal to "&amp;$B67&amp;""&amp;CHAR(10),""),IF((X68+X69+X70+X71)&lt;&gt;X67," * "&amp;$A67&amp;" , "&amp;$B68&amp;" plus "&amp;$B69&amp;" plus "&amp;$B70&amp;" plus "&amp;$B71&amp;" For age "&amp;$X$6&amp;" "&amp;$X$7&amp;" should be equal to "&amp;$B67&amp;""&amp;CHAR(10),""),IF((Y68+Y69+Y70+Y71)&lt;&gt;Y67," * "&amp;$A67&amp;" , "&amp;$B68&amp;" plus "&amp;$B69&amp;" plus "&amp;$B70&amp;" plus "&amp;$B71&amp;" For age "&amp;$X$6&amp;" "&amp;$Y$7&amp;" should be equal to "&amp;$B67&amp;""&amp;CHAR(10),""),IF((Z68+Z69+Z70+Z71)&lt;&gt;Z67," * "&amp;$A67&amp;" , "&amp;$B68&amp;" plus "&amp;$B69&amp;" plus "&amp;$B70&amp;" plus "&amp;$B71&amp;" For age "&amp;$Z$6&amp;" "&amp;$Z$7&amp;" should be equal to "&amp;$B67&amp;""&amp;CHAR(10),""),IF((AA68+AA69+AA70+AA71)&lt;&gt;AA67," * "&amp;$A67&amp;" , "&amp;$B68&amp;" plus "&amp;$B69&amp;" plus "&amp;$B70&amp;" plus "&amp;$B71&amp;" For age "&amp;$Z$6&amp;" "&amp;$AA$7&amp;" should be equal to "&amp;$B67&amp;""&amp;CHAR(10),""))</f>
        <v/>
      </c>
      <c r="AL67" s="823"/>
      <c r="AM67" s="113"/>
      <c r="AN67" s="817"/>
      <c r="AO67" s="133"/>
    </row>
    <row r="68" spans="1:41">
      <c r="A68" s="895"/>
      <c r="B68" s="56" t="s">
        <v>37</v>
      </c>
      <c r="C68" s="75" t="s">
        <v>142</v>
      </c>
      <c r="D68" s="28"/>
      <c r="E68" s="67"/>
      <c r="F68" s="719">
        <f>F177</f>
        <v>0</v>
      </c>
      <c r="G68" s="719">
        <f t="shared" ref="G68:Y71" si="86">G177</f>
        <v>0</v>
      </c>
      <c r="H68" s="719">
        <f t="shared" si="86"/>
        <v>0</v>
      </c>
      <c r="I68" s="719">
        <f t="shared" si="86"/>
        <v>0</v>
      </c>
      <c r="J68" s="719">
        <f t="shared" si="86"/>
        <v>0</v>
      </c>
      <c r="K68" s="719">
        <f t="shared" si="86"/>
        <v>0</v>
      </c>
      <c r="L68" s="719">
        <f t="shared" si="86"/>
        <v>0</v>
      </c>
      <c r="M68" s="719">
        <f t="shared" si="86"/>
        <v>0</v>
      </c>
      <c r="N68" s="719">
        <f t="shared" si="86"/>
        <v>0</v>
      </c>
      <c r="O68" s="719">
        <f t="shared" si="86"/>
        <v>0</v>
      </c>
      <c r="P68" s="719">
        <f t="shared" si="86"/>
        <v>0</v>
      </c>
      <c r="Q68" s="719">
        <f t="shared" si="86"/>
        <v>0</v>
      </c>
      <c r="R68" s="719">
        <f t="shared" si="86"/>
        <v>0</v>
      </c>
      <c r="S68" s="719">
        <f t="shared" si="86"/>
        <v>0</v>
      </c>
      <c r="T68" s="719">
        <f t="shared" si="86"/>
        <v>0</v>
      </c>
      <c r="U68" s="719">
        <f t="shared" si="86"/>
        <v>0</v>
      </c>
      <c r="V68" s="719">
        <f t="shared" si="86"/>
        <v>0</v>
      </c>
      <c r="W68" s="719">
        <f t="shared" si="86"/>
        <v>0</v>
      </c>
      <c r="X68" s="719">
        <f t="shared" si="86"/>
        <v>0</v>
      </c>
      <c r="Y68" s="720">
        <f t="shared" si="86"/>
        <v>0</v>
      </c>
      <c r="Z68" s="721">
        <f t="shared" si="69"/>
        <v>0</v>
      </c>
      <c r="AA68" s="722">
        <f t="shared" si="70"/>
        <v>0</v>
      </c>
      <c r="AB68" s="719">
        <f t="shared" ref="AB68:AD68" si="87">AB177</f>
        <v>0</v>
      </c>
      <c r="AC68" s="719">
        <f t="shared" si="87"/>
        <v>0</v>
      </c>
      <c r="AD68" s="719">
        <f t="shared" si="87"/>
        <v>0</v>
      </c>
      <c r="AE68" s="719">
        <f t="shared" ref="AE68:AI68" si="88">AE177</f>
        <v>0</v>
      </c>
      <c r="AF68" s="719">
        <f t="shared" si="88"/>
        <v>0</v>
      </c>
      <c r="AG68" s="719">
        <f t="shared" si="88"/>
        <v>0</v>
      </c>
      <c r="AH68" s="719">
        <f t="shared" si="88"/>
        <v>0</v>
      </c>
      <c r="AI68" s="719">
        <f t="shared" si="88"/>
        <v>0</v>
      </c>
      <c r="AJ68" s="111">
        <f t="shared" ref="AJ68:AJ70" si="89">SUM(D68:AA68)</f>
        <v>0</v>
      </c>
      <c r="AK68" s="112"/>
      <c r="AL68" s="823"/>
      <c r="AM68" s="113"/>
      <c r="AN68" s="817"/>
      <c r="AO68" s="133"/>
    </row>
    <row r="69" spans="1:41">
      <c r="A69" s="895"/>
      <c r="B69" s="56" t="s">
        <v>41</v>
      </c>
      <c r="C69" s="75" t="s">
        <v>143</v>
      </c>
      <c r="D69" s="28"/>
      <c r="E69" s="67"/>
      <c r="F69" s="719">
        <f t="shared" ref="F69:U71" si="90">F178</f>
        <v>0</v>
      </c>
      <c r="G69" s="719">
        <f t="shared" si="90"/>
        <v>0</v>
      </c>
      <c r="H69" s="719">
        <f t="shared" si="90"/>
        <v>0</v>
      </c>
      <c r="I69" s="719">
        <f t="shared" si="90"/>
        <v>0</v>
      </c>
      <c r="J69" s="719">
        <f t="shared" si="90"/>
        <v>0</v>
      </c>
      <c r="K69" s="719">
        <f t="shared" si="90"/>
        <v>0</v>
      </c>
      <c r="L69" s="719">
        <f t="shared" si="90"/>
        <v>0</v>
      </c>
      <c r="M69" s="719">
        <f t="shared" si="90"/>
        <v>0</v>
      </c>
      <c r="N69" s="719">
        <f t="shared" si="90"/>
        <v>0</v>
      </c>
      <c r="O69" s="719">
        <f t="shared" si="90"/>
        <v>0</v>
      </c>
      <c r="P69" s="719">
        <f t="shared" si="90"/>
        <v>0</v>
      </c>
      <c r="Q69" s="719">
        <f t="shared" si="90"/>
        <v>0</v>
      </c>
      <c r="R69" s="719">
        <f t="shared" si="90"/>
        <v>0</v>
      </c>
      <c r="S69" s="719">
        <f t="shared" si="90"/>
        <v>0</v>
      </c>
      <c r="T69" s="719">
        <f t="shared" si="90"/>
        <v>0</v>
      </c>
      <c r="U69" s="719">
        <f t="shared" si="90"/>
        <v>0</v>
      </c>
      <c r="V69" s="719">
        <f t="shared" si="86"/>
        <v>0</v>
      </c>
      <c r="W69" s="719">
        <f t="shared" si="86"/>
        <v>0</v>
      </c>
      <c r="X69" s="719">
        <f t="shared" si="86"/>
        <v>0</v>
      </c>
      <c r="Y69" s="720">
        <f t="shared" si="86"/>
        <v>0</v>
      </c>
      <c r="Z69" s="721">
        <f t="shared" si="69"/>
        <v>0</v>
      </c>
      <c r="AA69" s="722">
        <f t="shared" si="70"/>
        <v>0</v>
      </c>
      <c r="AB69" s="719">
        <f t="shared" ref="AB69:AD69" si="91">AB178</f>
        <v>0</v>
      </c>
      <c r="AC69" s="719">
        <f t="shared" si="91"/>
        <v>0</v>
      </c>
      <c r="AD69" s="719">
        <f t="shared" si="91"/>
        <v>0</v>
      </c>
      <c r="AE69" s="719">
        <f t="shared" ref="AE69:AI69" si="92">AE178</f>
        <v>0</v>
      </c>
      <c r="AF69" s="719">
        <f t="shared" si="92"/>
        <v>0</v>
      </c>
      <c r="AG69" s="719">
        <f t="shared" si="92"/>
        <v>0</v>
      </c>
      <c r="AH69" s="719">
        <f t="shared" si="92"/>
        <v>0</v>
      </c>
      <c r="AI69" s="719">
        <f t="shared" si="92"/>
        <v>0</v>
      </c>
      <c r="AJ69" s="111">
        <f t="shared" si="89"/>
        <v>0</v>
      </c>
      <c r="AK69" s="112"/>
      <c r="AL69" s="823"/>
      <c r="AM69" s="113"/>
      <c r="AN69" s="817"/>
      <c r="AO69" s="133"/>
    </row>
    <row r="70" spans="1:41">
      <c r="A70" s="895"/>
      <c r="B70" s="142" t="s">
        <v>44</v>
      </c>
      <c r="C70" s="75" t="s">
        <v>144</v>
      </c>
      <c r="D70" s="28"/>
      <c r="E70" s="67"/>
      <c r="F70" s="719">
        <f t="shared" si="90"/>
        <v>0</v>
      </c>
      <c r="G70" s="719">
        <f t="shared" si="86"/>
        <v>0</v>
      </c>
      <c r="H70" s="719">
        <f t="shared" si="86"/>
        <v>0</v>
      </c>
      <c r="I70" s="719">
        <f t="shared" si="86"/>
        <v>0</v>
      </c>
      <c r="J70" s="719">
        <f t="shared" si="86"/>
        <v>0</v>
      </c>
      <c r="K70" s="719">
        <f t="shared" si="86"/>
        <v>0</v>
      </c>
      <c r="L70" s="719">
        <f t="shared" si="86"/>
        <v>0</v>
      </c>
      <c r="M70" s="719">
        <f t="shared" si="86"/>
        <v>0</v>
      </c>
      <c r="N70" s="719">
        <f t="shared" si="86"/>
        <v>0</v>
      </c>
      <c r="O70" s="719">
        <f t="shared" si="86"/>
        <v>0</v>
      </c>
      <c r="P70" s="719">
        <f t="shared" si="86"/>
        <v>0</v>
      </c>
      <c r="Q70" s="719">
        <f t="shared" si="86"/>
        <v>0</v>
      </c>
      <c r="R70" s="719">
        <f t="shared" si="86"/>
        <v>0</v>
      </c>
      <c r="S70" s="719">
        <f t="shared" si="86"/>
        <v>0</v>
      </c>
      <c r="T70" s="719">
        <f t="shared" si="86"/>
        <v>0</v>
      </c>
      <c r="U70" s="719">
        <f t="shared" si="86"/>
        <v>0</v>
      </c>
      <c r="V70" s="719">
        <f t="shared" si="86"/>
        <v>0</v>
      </c>
      <c r="W70" s="719">
        <f t="shared" si="86"/>
        <v>0</v>
      </c>
      <c r="X70" s="719">
        <f t="shared" si="86"/>
        <v>0</v>
      </c>
      <c r="Y70" s="720">
        <f t="shared" si="86"/>
        <v>0</v>
      </c>
      <c r="Z70" s="721">
        <f t="shared" si="69"/>
        <v>0</v>
      </c>
      <c r="AA70" s="722">
        <f t="shared" si="70"/>
        <v>0</v>
      </c>
      <c r="AB70" s="719">
        <f t="shared" ref="AB70:AD70" si="93">AB179</f>
        <v>0</v>
      </c>
      <c r="AC70" s="719">
        <f t="shared" si="93"/>
        <v>0</v>
      </c>
      <c r="AD70" s="719">
        <f t="shared" si="93"/>
        <v>0</v>
      </c>
      <c r="AE70" s="719">
        <f t="shared" ref="AE70:AI70" si="94">AE179</f>
        <v>0</v>
      </c>
      <c r="AF70" s="719">
        <f t="shared" si="94"/>
        <v>0</v>
      </c>
      <c r="AG70" s="719">
        <f t="shared" si="94"/>
        <v>0</v>
      </c>
      <c r="AH70" s="719">
        <f t="shared" si="94"/>
        <v>0</v>
      </c>
      <c r="AI70" s="719">
        <f t="shared" si="94"/>
        <v>0</v>
      </c>
      <c r="AJ70" s="111">
        <f t="shared" si="89"/>
        <v>0</v>
      </c>
      <c r="AK70" s="112"/>
      <c r="AL70" s="823"/>
      <c r="AM70" s="113"/>
      <c r="AN70" s="817"/>
      <c r="AO70" s="133"/>
    </row>
    <row r="71" spans="1:41" ht="31.5" thickBot="1">
      <c r="A71" s="896"/>
      <c r="B71" s="58" t="s">
        <v>47</v>
      </c>
      <c r="C71" s="144" t="s">
        <v>145</v>
      </c>
      <c r="D71" s="50"/>
      <c r="E71" s="69"/>
      <c r="F71" s="723">
        <f t="shared" si="90"/>
        <v>0</v>
      </c>
      <c r="G71" s="723">
        <f t="shared" si="86"/>
        <v>0</v>
      </c>
      <c r="H71" s="723">
        <f t="shared" si="86"/>
        <v>0</v>
      </c>
      <c r="I71" s="723">
        <f t="shared" si="86"/>
        <v>0</v>
      </c>
      <c r="J71" s="723">
        <f t="shared" si="86"/>
        <v>0</v>
      </c>
      <c r="K71" s="723">
        <f t="shared" si="86"/>
        <v>0</v>
      </c>
      <c r="L71" s="723">
        <f t="shared" si="86"/>
        <v>0</v>
      </c>
      <c r="M71" s="723">
        <f t="shared" si="86"/>
        <v>0</v>
      </c>
      <c r="N71" s="723">
        <f t="shared" si="86"/>
        <v>0</v>
      </c>
      <c r="O71" s="723">
        <f t="shared" si="86"/>
        <v>0</v>
      </c>
      <c r="P71" s="723">
        <f t="shared" si="86"/>
        <v>0</v>
      </c>
      <c r="Q71" s="723">
        <f t="shared" si="86"/>
        <v>0</v>
      </c>
      <c r="R71" s="723">
        <f t="shared" si="86"/>
        <v>0</v>
      </c>
      <c r="S71" s="723">
        <f t="shared" si="86"/>
        <v>0</v>
      </c>
      <c r="T71" s="723">
        <f t="shared" si="86"/>
        <v>0</v>
      </c>
      <c r="U71" s="723">
        <f t="shared" si="86"/>
        <v>0</v>
      </c>
      <c r="V71" s="723">
        <f t="shared" si="86"/>
        <v>0</v>
      </c>
      <c r="W71" s="723">
        <f t="shared" si="86"/>
        <v>0</v>
      </c>
      <c r="X71" s="723">
        <f t="shared" si="86"/>
        <v>0</v>
      </c>
      <c r="Y71" s="724">
        <f t="shared" si="86"/>
        <v>0</v>
      </c>
      <c r="Z71" s="725">
        <f t="shared" si="69"/>
        <v>0</v>
      </c>
      <c r="AA71" s="726">
        <f t="shared" si="70"/>
        <v>0</v>
      </c>
      <c r="AB71" s="723">
        <f t="shared" ref="AB71:AD71" si="95">AB180</f>
        <v>0</v>
      </c>
      <c r="AC71" s="723">
        <f t="shared" si="95"/>
        <v>0</v>
      </c>
      <c r="AD71" s="723">
        <f t="shared" si="95"/>
        <v>0</v>
      </c>
      <c r="AE71" s="723">
        <f t="shared" ref="AE71:AI71" si="96">AE180</f>
        <v>0</v>
      </c>
      <c r="AF71" s="723">
        <f t="shared" si="96"/>
        <v>0</v>
      </c>
      <c r="AG71" s="723">
        <f t="shared" si="96"/>
        <v>0</v>
      </c>
      <c r="AH71" s="723">
        <f t="shared" si="96"/>
        <v>0</v>
      </c>
      <c r="AI71" s="723">
        <f t="shared" si="96"/>
        <v>0</v>
      </c>
      <c r="AJ71" s="117">
        <f t="shared" ref="AJ71" si="97">SUM(D71:AA71)</f>
        <v>0</v>
      </c>
      <c r="AK71" s="112"/>
      <c r="AL71" s="823"/>
      <c r="AM71" s="113"/>
      <c r="AN71" s="817"/>
      <c r="AO71" s="133"/>
    </row>
    <row r="72" spans="1:41" ht="29.25" customHeight="1">
      <c r="A72" s="894" t="s">
        <v>917</v>
      </c>
      <c r="B72" s="42" t="s">
        <v>29</v>
      </c>
      <c r="C72" s="18" t="s">
        <v>148</v>
      </c>
      <c r="D72" s="23"/>
      <c r="E72" s="24"/>
      <c r="F72" s="24"/>
      <c r="G72" s="24"/>
      <c r="H72" s="24"/>
      <c r="I72" s="24"/>
      <c r="J72" s="24"/>
      <c r="K72" s="64"/>
      <c r="L72" s="153"/>
      <c r="M72" s="153"/>
      <c r="N72" s="153"/>
      <c r="O72" s="153"/>
      <c r="P72" s="153"/>
      <c r="Q72" s="153"/>
      <c r="R72" s="153"/>
      <c r="S72" s="153"/>
      <c r="T72" s="153"/>
      <c r="U72" s="153"/>
      <c r="V72" s="153"/>
      <c r="W72" s="153"/>
      <c r="X72" s="153"/>
      <c r="Y72" s="219"/>
      <c r="Z72" s="220">
        <f t="shared" si="42"/>
        <v>0</v>
      </c>
      <c r="AA72" s="221">
        <f t="shared" si="42"/>
        <v>0</v>
      </c>
      <c r="AB72" s="222"/>
      <c r="AC72" s="153"/>
      <c r="AD72" s="153"/>
      <c r="AE72" s="153"/>
      <c r="AF72" s="153"/>
      <c r="AG72" s="153"/>
      <c r="AH72" s="153"/>
      <c r="AI72" s="219"/>
      <c r="AJ72" s="255">
        <f t="shared" ref="AJ72:AJ80" si="98">SUM(D72:AA72)</f>
        <v>0</v>
      </c>
      <c r="AK72" s="119" t="str">
        <f>CONCATENATE(IF(D73&gt;D72," * Positive F01-25 for Age "&amp;D6&amp;" "&amp;D7&amp;" is more than Tested F01-24"&amp;CHAR(10),""),IF(E73&gt;E72," * Positive F01-25 for Age "&amp;D6&amp;" "&amp;E7&amp;" is more than Tested F01-24"&amp;CHAR(10),""),IF(F73&gt;F72," * Positive F01-25 for Age "&amp;F6&amp;" "&amp;F7&amp;" is more than Tested F01-24"&amp;CHAR(10),""),IF(G73&gt;G72," * Positive F01-25 for Age "&amp;F6&amp;" "&amp;G7&amp;" is more than Tested F01-24"&amp;CHAR(10),""),IF(H73&gt;H72," * Positive F01-25 for Age "&amp;H6&amp;" "&amp;H7&amp;" is more than Tested F01-24"&amp;CHAR(10),""),IF(I73&gt;I72," * Positive F01-25 for Age "&amp;H6&amp;" "&amp;I7&amp;" is more than Tested F01-24"&amp;CHAR(10),""),IF(J73&gt;J72," * Positive F01-25 for Age "&amp;J6&amp;" "&amp;J7&amp;" is more than Tested F01-24"&amp;CHAR(10),""),IF(K73&gt;K72," * Positive F01-25 for Age "&amp;J6&amp;" "&amp;K7&amp;" is more than Tested F01-24"&amp;CHAR(10),""),IF(L73&gt;L72," * Positive F01-25 for Age "&amp;L6&amp;" "&amp;L7&amp;" is more than Tested F01-24"&amp;CHAR(10),""),IF(M73&gt;M72," * Positive F01-25 for Age "&amp;L6&amp;" "&amp;M7&amp;" is more than Tested F01-24"&amp;CHAR(10),""),IF(N73&gt;N72," * Positive F01-25 for Age "&amp;N6&amp;" "&amp;N7&amp;" is more than Tested F01-24"&amp;CHAR(10),""),IF(O73&gt;O72," * Positive F01-25 for Age "&amp;N6&amp;" "&amp;O7&amp;" is more than Tested F01-24"&amp;CHAR(10),""),IF(P73&gt;P72," * Positive F01-25 for Age "&amp;P6&amp;" "&amp;P7&amp;" is more than Tested F01-24"&amp;CHAR(10),""),IF(Q73&gt;Q72," * Positive F01-25 for Age "&amp;P6&amp;" "&amp;Q7&amp;" is more than Tested F01-24"&amp;CHAR(10),""),IF(R73&gt;R72," * Positive F01-25 for Age "&amp;R6&amp;" "&amp;R7&amp;" is more than Tested F01-24"&amp;CHAR(10),""),IF(S73&gt;S72," * Positive F01-25 for Age "&amp;R6&amp;" "&amp;S7&amp;" is more than Tested F01-24"&amp;CHAR(10),""),IF(T73&gt;T72," * Positive F01-25 for Age "&amp;T6&amp;" "&amp;T7&amp;" is more than Tested F01-24"&amp;CHAR(10),""),IF(U73&gt;U72," * Positive F01-25 for Age "&amp;T6&amp;" "&amp;U7&amp;" is more than Tested F01-24"&amp;CHAR(10),""),IF(V73&gt;V72," * Positive F01-25 for Age "&amp;V6&amp;" "&amp;V7&amp;" is more than Tested F01-24"&amp;CHAR(10),""),IF(W73&gt;W72," * Positive F01-25 for Age "&amp;V6&amp;" "&amp;W7&amp;" is more than Tested F01-24"&amp;CHAR(10),""),IF(X73&gt;X72," * Positive F01-25 for Age "&amp;X6&amp;" "&amp;X7&amp;" is more than Tested F01-24"&amp;CHAR(10),""),IF(Y73&gt;Y72," * Positive F01-25 for Age "&amp;X6&amp;" "&amp;Y7&amp;" is more than Tested F01-24"&amp;CHAR(10),""),IF(Z73&gt;Z72," * Positive F01-25 for Age "&amp;Z6&amp;" "&amp;Z7&amp;" is more than Tested F01-24"&amp;CHAR(10),""),IF(AA73&gt;AA72," * Positive F01-25 for Age "&amp;Z6&amp;" "&amp;AA7&amp;" is more than Tested F01-24"&amp;CHAR(10),""))</f>
        <v/>
      </c>
      <c r="AL72" s="823"/>
      <c r="AM72" s="113" t="str">
        <f>CONCATENATE(IF(AND(IFERROR((AJ73*100)/AJ72,0)&gt;10,AJ73&gt;5)," * This facility has a high positivity rate for Index Testing. Kindly confirm if this is the true reflection"&amp;CHAR(10),""),"")</f>
        <v/>
      </c>
      <c r="AN72" s="817"/>
      <c r="AO72" s="133">
        <v>44</v>
      </c>
    </row>
    <row r="73" spans="1:41">
      <c r="A73" s="895"/>
      <c r="B73" s="45" t="s">
        <v>33</v>
      </c>
      <c r="C73" s="146" t="s">
        <v>150</v>
      </c>
      <c r="D73" s="28"/>
      <c r="E73" s="29"/>
      <c r="F73" s="29"/>
      <c r="G73" s="29"/>
      <c r="H73" s="29"/>
      <c r="I73" s="29"/>
      <c r="J73" s="29"/>
      <c r="K73" s="67"/>
      <c r="L73" s="711"/>
      <c r="M73" s="711"/>
      <c r="N73" s="711"/>
      <c r="O73" s="711"/>
      <c r="P73" s="711"/>
      <c r="Q73" s="711"/>
      <c r="R73" s="711"/>
      <c r="S73" s="711"/>
      <c r="T73" s="711"/>
      <c r="U73" s="711"/>
      <c r="V73" s="711"/>
      <c r="W73" s="711"/>
      <c r="X73" s="711"/>
      <c r="Y73" s="781"/>
      <c r="Z73" s="220">
        <f t="shared" si="42"/>
        <v>0</v>
      </c>
      <c r="AA73" s="221">
        <f t="shared" si="42"/>
        <v>0</v>
      </c>
      <c r="AB73" s="785"/>
      <c r="AC73" s="711"/>
      <c r="AD73" s="711"/>
      <c r="AE73" s="711"/>
      <c r="AF73" s="711"/>
      <c r="AG73" s="711"/>
      <c r="AH73" s="711"/>
      <c r="AI73" s="781"/>
      <c r="AJ73" s="111">
        <f t="shared" si="98"/>
        <v>0</v>
      </c>
      <c r="AK73" s="119"/>
      <c r="AL73" s="823"/>
      <c r="AM73" s="113"/>
      <c r="AN73" s="817"/>
      <c r="AO73" s="133">
        <v>45</v>
      </c>
    </row>
    <row r="74" spans="1:41">
      <c r="A74" s="895"/>
      <c r="B74" s="47" t="s">
        <v>37</v>
      </c>
      <c r="C74" s="146" t="s">
        <v>152</v>
      </c>
      <c r="D74" s="28"/>
      <c r="E74" s="29"/>
      <c r="F74" s="29"/>
      <c r="G74" s="29"/>
      <c r="H74" s="29"/>
      <c r="I74" s="29"/>
      <c r="J74" s="29"/>
      <c r="K74" s="67"/>
      <c r="L74" s="712"/>
      <c r="M74" s="712"/>
      <c r="N74" s="712"/>
      <c r="O74" s="712"/>
      <c r="P74" s="712"/>
      <c r="Q74" s="712"/>
      <c r="R74" s="712"/>
      <c r="S74" s="712"/>
      <c r="T74" s="712"/>
      <c r="U74" s="712"/>
      <c r="V74" s="712"/>
      <c r="W74" s="712"/>
      <c r="X74" s="712"/>
      <c r="Y74" s="782"/>
      <c r="Z74" s="220">
        <f t="shared" ref="Z74:Z77" si="99">SUM(AB74,AD74,AF74,AH74)</f>
        <v>0</v>
      </c>
      <c r="AA74" s="221">
        <f t="shared" ref="AA74:AA77" si="100">SUM(AC74,AE74,AG74,AI74)</f>
        <v>0</v>
      </c>
      <c r="AB74" s="786"/>
      <c r="AC74" s="712"/>
      <c r="AD74" s="712"/>
      <c r="AE74" s="712"/>
      <c r="AF74" s="712"/>
      <c r="AG74" s="712"/>
      <c r="AH74" s="712"/>
      <c r="AI74" s="782"/>
      <c r="AJ74" s="256">
        <f t="shared" ref="AJ74:AJ77" si="101">SUM(D74:AA74)</f>
        <v>0</v>
      </c>
      <c r="AK74" s="112"/>
      <c r="AL74" s="823"/>
      <c r="AM74" s="113"/>
      <c r="AN74" s="817"/>
      <c r="AO74" s="133"/>
    </row>
    <row r="75" spans="1:41">
      <c r="A75" s="895"/>
      <c r="B75" s="47" t="s">
        <v>41</v>
      </c>
      <c r="C75" s="146" t="s">
        <v>153</v>
      </c>
      <c r="D75" s="28"/>
      <c r="E75" s="29"/>
      <c r="F75" s="29"/>
      <c r="G75" s="29"/>
      <c r="H75" s="29"/>
      <c r="I75" s="29"/>
      <c r="J75" s="29"/>
      <c r="K75" s="67"/>
      <c r="L75" s="712"/>
      <c r="M75" s="712"/>
      <c r="N75" s="712"/>
      <c r="O75" s="712"/>
      <c r="P75" s="712"/>
      <c r="Q75" s="712"/>
      <c r="R75" s="712"/>
      <c r="S75" s="712"/>
      <c r="T75" s="712"/>
      <c r="U75" s="712"/>
      <c r="V75" s="712"/>
      <c r="W75" s="712"/>
      <c r="X75" s="712"/>
      <c r="Y75" s="782"/>
      <c r="Z75" s="220">
        <f t="shared" si="99"/>
        <v>0</v>
      </c>
      <c r="AA75" s="221">
        <f t="shared" si="100"/>
        <v>0</v>
      </c>
      <c r="AB75" s="786"/>
      <c r="AC75" s="712"/>
      <c r="AD75" s="712"/>
      <c r="AE75" s="712"/>
      <c r="AF75" s="712"/>
      <c r="AG75" s="712"/>
      <c r="AH75" s="712"/>
      <c r="AI75" s="782"/>
      <c r="AJ75" s="111">
        <f t="shared" si="101"/>
        <v>0</v>
      </c>
      <c r="AK75" s="112"/>
      <c r="AL75" s="823"/>
      <c r="AM75" s="113"/>
      <c r="AN75" s="817"/>
      <c r="AO75" s="133"/>
    </row>
    <row r="76" spans="1:41">
      <c r="A76" s="895"/>
      <c r="B76" s="47" t="s">
        <v>44</v>
      </c>
      <c r="C76" s="146" t="s">
        <v>154</v>
      </c>
      <c r="D76" s="28"/>
      <c r="E76" s="29"/>
      <c r="F76" s="29"/>
      <c r="G76" s="29"/>
      <c r="H76" s="29"/>
      <c r="I76" s="29"/>
      <c r="J76" s="29"/>
      <c r="K76" s="67"/>
      <c r="L76" s="712"/>
      <c r="M76" s="712"/>
      <c r="N76" s="712"/>
      <c r="O76" s="712"/>
      <c r="P76" s="712"/>
      <c r="Q76" s="712"/>
      <c r="R76" s="712"/>
      <c r="S76" s="712"/>
      <c r="T76" s="712"/>
      <c r="U76" s="712"/>
      <c r="V76" s="712"/>
      <c r="W76" s="712"/>
      <c r="X76" s="712"/>
      <c r="Y76" s="782"/>
      <c r="Z76" s="220">
        <f t="shared" si="99"/>
        <v>0</v>
      </c>
      <c r="AA76" s="221">
        <f t="shared" si="100"/>
        <v>0</v>
      </c>
      <c r="AB76" s="786"/>
      <c r="AC76" s="712"/>
      <c r="AD76" s="712"/>
      <c r="AE76" s="712"/>
      <c r="AF76" s="712"/>
      <c r="AG76" s="712"/>
      <c r="AH76" s="712"/>
      <c r="AI76" s="782"/>
      <c r="AJ76" s="111">
        <f t="shared" si="101"/>
        <v>0</v>
      </c>
      <c r="AK76" s="112"/>
      <c r="AL76" s="823"/>
      <c r="AM76" s="113"/>
      <c r="AN76" s="817"/>
      <c r="AO76" s="133"/>
    </row>
    <row r="77" spans="1:41" ht="31.5" thickBot="1">
      <c r="A77" s="896"/>
      <c r="B77" s="48" t="s">
        <v>47</v>
      </c>
      <c r="C77" s="147" t="s">
        <v>155</v>
      </c>
      <c r="D77" s="50"/>
      <c r="E77" s="51"/>
      <c r="F77" s="51"/>
      <c r="G77" s="51"/>
      <c r="H77" s="51"/>
      <c r="I77" s="51"/>
      <c r="J77" s="51"/>
      <c r="K77" s="69"/>
      <c r="L77" s="783"/>
      <c r="M77" s="783"/>
      <c r="N77" s="783"/>
      <c r="O77" s="783"/>
      <c r="P77" s="783"/>
      <c r="Q77" s="783"/>
      <c r="R77" s="783"/>
      <c r="S77" s="783"/>
      <c r="T77" s="783"/>
      <c r="U77" s="783"/>
      <c r="V77" s="783"/>
      <c r="W77" s="783"/>
      <c r="X77" s="783"/>
      <c r="Y77" s="784"/>
      <c r="Z77" s="223">
        <f t="shared" si="99"/>
        <v>0</v>
      </c>
      <c r="AA77" s="224">
        <f t="shared" si="100"/>
        <v>0</v>
      </c>
      <c r="AB77" s="787"/>
      <c r="AC77" s="783"/>
      <c r="AD77" s="783"/>
      <c r="AE77" s="783"/>
      <c r="AF77" s="783"/>
      <c r="AG77" s="783"/>
      <c r="AH77" s="783"/>
      <c r="AI77" s="784"/>
      <c r="AJ77" s="117">
        <f t="shared" si="101"/>
        <v>0</v>
      </c>
      <c r="AK77" s="112"/>
      <c r="AL77" s="823"/>
      <c r="AM77" s="113"/>
      <c r="AN77" s="817"/>
      <c r="AO77" s="133"/>
    </row>
    <row r="78" spans="1:41" ht="27" customHeight="1">
      <c r="A78" s="894" t="s">
        <v>918</v>
      </c>
      <c r="B78" s="149" t="s">
        <v>18</v>
      </c>
      <c r="C78" s="150" t="s">
        <v>158</v>
      </c>
      <c r="D78" s="151"/>
      <c r="E78" s="152"/>
      <c r="F78" s="153"/>
      <c r="G78" s="153"/>
      <c r="H78" s="153"/>
      <c r="I78" s="153"/>
      <c r="J78" s="153"/>
      <c r="K78" s="153"/>
      <c r="L78" s="153"/>
      <c r="M78" s="153"/>
      <c r="N78" s="153"/>
      <c r="O78" s="153"/>
      <c r="P78" s="153"/>
      <c r="Q78" s="153"/>
      <c r="R78" s="153"/>
      <c r="S78" s="153"/>
      <c r="T78" s="153"/>
      <c r="U78" s="153"/>
      <c r="V78" s="153"/>
      <c r="W78" s="153"/>
      <c r="X78" s="153"/>
      <c r="Y78" s="219"/>
      <c r="Z78" s="225">
        <f t="shared" ref="Z78:AA84" si="102">SUM(AB78,AD78,AF78,AH78)</f>
        <v>0</v>
      </c>
      <c r="AA78" s="226">
        <f t="shared" si="102"/>
        <v>0</v>
      </c>
      <c r="AB78" s="222"/>
      <c r="AC78" s="153"/>
      <c r="AD78" s="153"/>
      <c r="AE78" s="153"/>
      <c r="AF78" s="153"/>
      <c r="AG78" s="153"/>
      <c r="AH78" s="153"/>
      <c r="AI78" s="219"/>
      <c r="AJ78" s="255">
        <f t="shared" si="98"/>
        <v>0</v>
      </c>
      <c r="AK78" s="112" t="str">
        <f>CONCATENATE(IF(D79&gt;D78," * SNS Contacts Elicited for Age "&amp;D6&amp;" "&amp;D7&amp;" is more than Tested F01-24"&amp;CHAR(10),""),IF(E79&gt;E78," * SNS Contacts Elicited for Age "&amp;D6&amp;" "&amp;E7&amp;" is more than Tested F01-24"&amp;CHAR(10),""),IF(F79&gt;F78," * SNS Contacts Elicited for Age "&amp;F6&amp;" "&amp;F7&amp;" is more than Tested F01-24"&amp;CHAR(10),""),IF(G79&gt;G78," * SNS Contacts Elicited for Age "&amp;F6&amp;" "&amp;G7&amp;" is more than Tested F01-24"&amp;CHAR(10),""),IF(H79&gt;H78," * SNS Contacts Elicited for Age "&amp;H6&amp;" "&amp;H7&amp;" is more than Tested F01-24"&amp;CHAR(10),""),IF(I79&gt;I78," * SNS Contacts Elicited for Age "&amp;H6&amp;" "&amp;I7&amp;" is more than Tested F01-24"&amp;CHAR(10),""),IF(J79&gt;J78," * SNS Contacts Elicited for Age "&amp;J6&amp;" "&amp;J7&amp;" is more than Tested F01-24"&amp;CHAR(10),""),IF(K79&gt;K78," * SNS Contacts Elicited for Age "&amp;J6&amp;" "&amp;K7&amp;" is more than Tested F01-24"&amp;CHAR(10),""),IF(L79&gt;L78," * SNS Contacts Elicited for Age "&amp;L6&amp;" "&amp;L7&amp;" is more than Tested F01-24"&amp;CHAR(10),""),IF(M79&gt;M78," * SNS Contacts Elicited for Age "&amp;L6&amp;" "&amp;M7&amp;" is more than Tested F01-24"&amp;CHAR(10),""),IF(N79&gt;N78," * SNS Contacts Elicited for Age "&amp;N6&amp;" "&amp;N7&amp;" is more than Tested F01-24"&amp;CHAR(10),""),IF(O79&gt;O78," * SNS Contacts Elicited for Age "&amp;N6&amp;" "&amp;O7&amp;" is more than Tested F01-24"&amp;CHAR(10),""),IF(P79&gt;P78," * SNS Contacts Elicited for Age "&amp;P6&amp;" "&amp;P7&amp;" is more than Tested F01-24"&amp;CHAR(10),""),IF(Q79&gt;Q78," * SNS Contacts Elicited for Age "&amp;P6&amp;" "&amp;Q7&amp;" is more than Tested F01-24"&amp;CHAR(10),""),IF(R79&gt;R78," * SNS Contacts Elicited for Age "&amp;R6&amp;" "&amp;R7&amp;" is more than Tested F01-24"&amp;CHAR(10),""),IF(S79&gt;S78," * SNS Contacts Elicited for Age "&amp;R6&amp;" "&amp;S7&amp;" is more than Tested F01-24"&amp;CHAR(10),""),IF(T79&gt;T78," * SNS Contacts Elicited for Age "&amp;T6&amp;" "&amp;T7&amp;" is more than Tested F01-24"&amp;CHAR(10),""),IF(U79&gt;U78," * SNS Contacts Elicited for Age "&amp;T6&amp;" "&amp;U7&amp;" is more than Tested F01-24"&amp;CHAR(10),""),IF(V79&gt;V78," * SNS Contacts Elicited for Age "&amp;V6&amp;" "&amp;V7&amp;" is more than Tested F01-24"&amp;CHAR(10),""),IF(W79&gt;W78," * SNS Contacts Elicited for Age "&amp;V6&amp;" "&amp;W7&amp;" is more than Tested F01-24"&amp;CHAR(10),""),IF(X79&gt;X78," * SNS Contacts Elicited for Age "&amp;X6&amp;" "&amp;X7&amp;" is more than Tested F01-24"&amp;CHAR(10),""),IF(Y79&gt;Y78," * SNS Contacts Elicited for Age "&amp;X6&amp;" "&amp;Y7&amp;" is more than Tested F01-24"&amp;CHAR(10),""),IF(Z79&gt;Z78," * SNS Contacts Elicited for Age "&amp;Z6&amp;" "&amp;Z7&amp;" is more than Tested F01-24"&amp;CHAR(10),""),IF(AA79&gt;AA78," * SNS Contacts Elicited for Age "&amp;Z6&amp;" "&amp;AA7&amp;" is more than Tested F01-24"&amp;CHAR(10),""))</f>
        <v/>
      </c>
      <c r="AL78" s="823"/>
      <c r="AM78" s="113"/>
      <c r="AN78" s="817"/>
      <c r="AO78" s="133"/>
    </row>
    <row r="79" spans="1:41" ht="26.25" customHeight="1">
      <c r="A79" s="895"/>
      <c r="B79" s="154" t="s">
        <v>29</v>
      </c>
      <c r="C79" s="146" t="s">
        <v>161</v>
      </c>
      <c r="D79" s="155"/>
      <c r="E79" s="156"/>
      <c r="F79" s="157"/>
      <c r="G79" s="157"/>
      <c r="H79" s="157"/>
      <c r="I79" s="157"/>
      <c r="J79" s="157"/>
      <c r="K79" s="157"/>
      <c r="L79" s="157"/>
      <c r="M79" s="157"/>
      <c r="N79" s="157"/>
      <c r="O79" s="157"/>
      <c r="P79" s="157"/>
      <c r="Q79" s="157"/>
      <c r="R79" s="157"/>
      <c r="S79" s="157"/>
      <c r="T79" s="157"/>
      <c r="U79" s="157"/>
      <c r="V79" s="157"/>
      <c r="W79" s="157"/>
      <c r="X79" s="157"/>
      <c r="Y79" s="227"/>
      <c r="Z79" s="228">
        <f t="shared" si="102"/>
        <v>0</v>
      </c>
      <c r="AA79" s="229">
        <f t="shared" si="102"/>
        <v>0</v>
      </c>
      <c r="AB79" s="230"/>
      <c r="AC79" s="157"/>
      <c r="AD79" s="157"/>
      <c r="AE79" s="157"/>
      <c r="AF79" s="157"/>
      <c r="AG79" s="157"/>
      <c r="AH79" s="157"/>
      <c r="AI79" s="227"/>
      <c r="AJ79" s="256">
        <f t="shared" si="98"/>
        <v>0</v>
      </c>
      <c r="AK79" s="112" t="str">
        <f>CONCATENATE(IF(D80&gt;D79," * Positive F01-25 for Age "&amp;D6&amp;" "&amp;D7&amp;" is more than Tested F01-24"&amp;CHAR(10),""),IF(E80&gt;E79," * Positive F01-25 for Age "&amp;D6&amp;" "&amp;E7&amp;" is more than Tested F01-24"&amp;CHAR(10),""),IF(F80&gt;F79," * Positive F01-25 for Age "&amp;F6&amp;" "&amp;F7&amp;" is more than Tested F01-24"&amp;CHAR(10),""),IF(G80&gt;G79," * Positive F01-25 for Age "&amp;F6&amp;" "&amp;G7&amp;" is more than Tested F01-24"&amp;CHAR(10),""),IF(H80&gt;H79," * Positive F01-25 for Age "&amp;H6&amp;" "&amp;H7&amp;" is more than Tested F01-24"&amp;CHAR(10),""),IF(I80&gt;I79," * Positive F01-25 for Age "&amp;H6&amp;" "&amp;I7&amp;" is more than Tested F01-24"&amp;CHAR(10),""),IF(J80&gt;J79," * Positive F01-25 for Age "&amp;J6&amp;" "&amp;J7&amp;" is more than Tested F01-24"&amp;CHAR(10),""),IF(K80&gt;K79," * Positive F01-25 for Age "&amp;J6&amp;" "&amp;K7&amp;" is more than Tested F01-24"&amp;CHAR(10),""),IF(L80&gt;L79," * Positive F01-25 for Age "&amp;L6&amp;" "&amp;L7&amp;" is more than Tested F01-24"&amp;CHAR(10),""),IF(M80&gt;M79," * Positive F01-25 for Age "&amp;L6&amp;" "&amp;M7&amp;" is more than Tested F01-24"&amp;CHAR(10),""),IF(N80&gt;N79," * Positive F01-25 for Age "&amp;N6&amp;" "&amp;N7&amp;" is more than Tested F01-24"&amp;CHAR(10),""),IF(O80&gt;O79," * Positive F01-25 for Age "&amp;N6&amp;" "&amp;O7&amp;" is more than Tested F01-24"&amp;CHAR(10),""),IF(P80&gt;P79," * Positive F01-25 for Age "&amp;P6&amp;" "&amp;P7&amp;" is more than Tested F01-24"&amp;CHAR(10),""),IF(Q80&gt;Q79," * Positive F01-25 for Age "&amp;P6&amp;" "&amp;Q7&amp;" is more than Tested F01-24"&amp;CHAR(10),""),IF(R80&gt;R79," * Positive F01-25 for Age "&amp;R6&amp;" "&amp;R7&amp;" is more than Tested F01-24"&amp;CHAR(10),""),IF(S80&gt;S79," * Positive F01-25 for Age "&amp;R6&amp;" "&amp;S7&amp;" is more than Tested F01-24"&amp;CHAR(10),""),IF(T80&gt;T79," * Positive F01-25 for Age "&amp;T6&amp;" "&amp;T7&amp;" is more than Tested F01-24"&amp;CHAR(10),""),IF(U80&gt;U79," * Positive F01-25 for Age "&amp;T6&amp;" "&amp;U7&amp;" is more than Tested F01-24"&amp;CHAR(10),""),IF(V80&gt;V79," * Positive F01-25 for Age "&amp;V6&amp;" "&amp;V7&amp;" is more than Tested F01-24"&amp;CHAR(10),""),IF(W80&gt;W79," * Positive F01-25 for Age "&amp;V6&amp;" "&amp;W7&amp;" is more than Tested F01-24"&amp;CHAR(10),""),IF(X80&gt;X79," * Positive F01-25 for Age "&amp;X6&amp;" "&amp;X7&amp;" is more than Tested F01-24"&amp;CHAR(10),""),IF(Y80&gt;Y79," * Positive F01-25 for Age "&amp;X6&amp;" "&amp;Y7&amp;" is more than Tested F01-24"&amp;CHAR(10),""),IF(Z80&gt;Z79," * Positive F01-25 for Age "&amp;Z6&amp;" "&amp;Z7&amp;" is more than Tested F01-24"&amp;CHAR(10),""),IF(AA80&gt;AA79," * Positive F01-25 for Age "&amp;Z6&amp;" "&amp;AA7&amp;" is more than Tested F01-24"&amp;CHAR(10),""))</f>
        <v/>
      </c>
      <c r="AL79" s="823"/>
      <c r="AM79" s="113"/>
      <c r="AN79" s="817"/>
      <c r="AO79" s="133"/>
    </row>
    <row r="80" spans="1:41">
      <c r="A80" s="895"/>
      <c r="B80" s="158" t="s">
        <v>33</v>
      </c>
      <c r="C80" s="159" t="s">
        <v>164</v>
      </c>
      <c r="D80" s="160"/>
      <c r="E80" s="161"/>
      <c r="F80" s="711"/>
      <c r="G80" s="711"/>
      <c r="H80" s="711"/>
      <c r="I80" s="711"/>
      <c r="J80" s="711"/>
      <c r="K80" s="711"/>
      <c r="L80" s="711"/>
      <c r="M80" s="711"/>
      <c r="N80" s="711"/>
      <c r="O80" s="711"/>
      <c r="P80" s="711"/>
      <c r="Q80" s="711"/>
      <c r="R80" s="711"/>
      <c r="S80" s="711"/>
      <c r="T80" s="711"/>
      <c r="U80" s="711"/>
      <c r="V80" s="711"/>
      <c r="W80" s="711"/>
      <c r="X80" s="711"/>
      <c r="Y80" s="711"/>
      <c r="Z80" s="228">
        <f t="shared" si="102"/>
        <v>0</v>
      </c>
      <c r="AA80" s="229">
        <f t="shared" si="102"/>
        <v>0</v>
      </c>
      <c r="AB80" s="711"/>
      <c r="AC80" s="711"/>
      <c r="AD80" s="711"/>
      <c r="AE80" s="711"/>
      <c r="AF80" s="711"/>
      <c r="AG80" s="711"/>
      <c r="AH80" s="711"/>
      <c r="AI80" s="711"/>
      <c r="AJ80" s="111">
        <f t="shared" si="98"/>
        <v>0</v>
      </c>
      <c r="AK80" s="112"/>
      <c r="AL80" s="823"/>
      <c r="AM80" s="113"/>
      <c r="AN80" s="817"/>
      <c r="AO80" s="133"/>
    </row>
    <row r="81" spans="1:45">
      <c r="A81" s="895"/>
      <c r="B81" s="162" t="s">
        <v>37</v>
      </c>
      <c r="C81" s="146" t="s">
        <v>167</v>
      </c>
      <c r="D81" s="155"/>
      <c r="E81" s="156"/>
      <c r="F81" s="712"/>
      <c r="G81" s="712"/>
      <c r="H81" s="712"/>
      <c r="I81" s="712"/>
      <c r="J81" s="712"/>
      <c r="K81" s="712"/>
      <c r="L81" s="712"/>
      <c r="M81" s="712"/>
      <c r="N81" s="712"/>
      <c r="O81" s="712"/>
      <c r="P81" s="712"/>
      <c r="Q81" s="712"/>
      <c r="R81" s="712"/>
      <c r="S81" s="712"/>
      <c r="T81" s="712"/>
      <c r="U81" s="712"/>
      <c r="V81" s="712"/>
      <c r="W81" s="712"/>
      <c r="X81" s="712"/>
      <c r="Y81" s="712"/>
      <c r="Z81" s="228">
        <f>SUM(AB81,AD81,AF81,AH81)</f>
        <v>0</v>
      </c>
      <c r="AA81" s="229">
        <f t="shared" si="102"/>
        <v>0</v>
      </c>
      <c r="AB81" s="712"/>
      <c r="AC81" s="712"/>
      <c r="AD81" s="712"/>
      <c r="AE81" s="712"/>
      <c r="AF81" s="712"/>
      <c r="AG81" s="712"/>
      <c r="AH81" s="712"/>
      <c r="AI81" s="712"/>
      <c r="AJ81" s="256">
        <f t="shared" ref="AJ81:AJ98" si="103">SUM(D81:AA81)</f>
        <v>0</v>
      </c>
      <c r="AK81" s="112"/>
      <c r="AL81" s="823"/>
      <c r="AM81" s="113"/>
      <c r="AN81" s="817"/>
      <c r="AO81" s="133"/>
    </row>
    <row r="82" spans="1:45">
      <c r="A82" s="895"/>
      <c r="B82" s="162" t="s">
        <v>41</v>
      </c>
      <c r="C82" s="146" t="s">
        <v>169</v>
      </c>
      <c r="D82" s="163"/>
      <c r="E82" s="164"/>
      <c r="F82" s="712"/>
      <c r="G82" s="712"/>
      <c r="H82" s="712"/>
      <c r="I82" s="712"/>
      <c r="J82" s="712"/>
      <c r="K82" s="712"/>
      <c r="L82" s="712"/>
      <c r="M82" s="712"/>
      <c r="N82" s="712"/>
      <c r="O82" s="712"/>
      <c r="P82" s="712"/>
      <c r="Q82" s="712"/>
      <c r="R82" s="712"/>
      <c r="S82" s="712"/>
      <c r="T82" s="712"/>
      <c r="U82" s="712"/>
      <c r="V82" s="712"/>
      <c r="W82" s="712"/>
      <c r="X82" s="712"/>
      <c r="Y82" s="712"/>
      <c r="Z82" s="228">
        <f>SUM(AB82,AD82,AF82,AH82)</f>
        <v>0</v>
      </c>
      <c r="AA82" s="229">
        <f t="shared" si="102"/>
        <v>0</v>
      </c>
      <c r="AB82" s="712"/>
      <c r="AC82" s="712"/>
      <c r="AD82" s="712"/>
      <c r="AE82" s="712"/>
      <c r="AF82" s="712"/>
      <c r="AG82" s="712"/>
      <c r="AH82" s="712"/>
      <c r="AI82" s="712"/>
      <c r="AJ82" s="111">
        <f t="shared" si="103"/>
        <v>0</v>
      </c>
      <c r="AK82" s="112"/>
      <c r="AL82" s="823"/>
      <c r="AM82" s="113"/>
      <c r="AN82" s="817"/>
      <c r="AO82" s="133"/>
    </row>
    <row r="83" spans="1:45">
      <c r="A83" s="895"/>
      <c r="B83" s="162" t="s">
        <v>44</v>
      </c>
      <c r="C83" s="146" t="s">
        <v>170</v>
      </c>
      <c r="D83" s="163"/>
      <c r="E83" s="164"/>
      <c r="F83" s="712"/>
      <c r="G83" s="712"/>
      <c r="H83" s="712"/>
      <c r="I83" s="712"/>
      <c r="J83" s="712"/>
      <c r="K83" s="712"/>
      <c r="L83" s="712"/>
      <c r="M83" s="712"/>
      <c r="N83" s="712"/>
      <c r="O83" s="712"/>
      <c r="P83" s="712"/>
      <c r="Q83" s="712"/>
      <c r="R83" s="712"/>
      <c r="S83" s="712"/>
      <c r="T83" s="712"/>
      <c r="U83" s="712"/>
      <c r="V83" s="712"/>
      <c r="W83" s="712"/>
      <c r="X83" s="712"/>
      <c r="Y83" s="712"/>
      <c r="Z83" s="228">
        <f>SUM(AB83,AD83,AF83,AH83)</f>
        <v>0</v>
      </c>
      <c r="AA83" s="229">
        <f t="shared" si="102"/>
        <v>0</v>
      </c>
      <c r="AB83" s="712"/>
      <c r="AC83" s="712"/>
      <c r="AD83" s="712"/>
      <c r="AE83" s="712"/>
      <c r="AF83" s="712"/>
      <c r="AG83" s="712"/>
      <c r="AH83" s="712"/>
      <c r="AI83" s="712"/>
      <c r="AJ83" s="111">
        <f t="shared" si="103"/>
        <v>0</v>
      </c>
      <c r="AK83" s="112"/>
      <c r="AL83" s="823"/>
      <c r="AM83" s="113"/>
      <c r="AN83" s="817"/>
      <c r="AO83" s="133"/>
    </row>
    <row r="84" spans="1:45" ht="31.5" thickBot="1">
      <c r="A84" s="895"/>
      <c r="B84" s="162" t="s">
        <v>47</v>
      </c>
      <c r="C84" s="146" t="s">
        <v>171</v>
      </c>
      <c r="D84" s="163"/>
      <c r="E84" s="164"/>
      <c r="F84" s="783"/>
      <c r="G84" s="783"/>
      <c r="H84" s="783"/>
      <c r="I84" s="783"/>
      <c r="J84" s="783"/>
      <c r="K84" s="783"/>
      <c r="L84" s="783"/>
      <c r="M84" s="783"/>
      <c r="N84" s="783"/>
      <c r="O84" s="783"/>
      <c r="P84" s="783"/>
      <c r="Q84" s="783"/>
      <c r="R84" s="783"/>
      <c r="S84" s="783"/>
      <c r="T84" s="783"/>
      <c r="U84" s="783"/>
      <c r="V84" s="783"/>
      <c r="W84" s="783"/>
      <c r="X84" s="783"/>
      <c r="Y84" s="783"/>
      <c r="Z84" s="228">
        <f>SUM(AB84,AD84,AF84,AH84)</f>
        <v>0</v>
      </c>
      <c r="AA84" s="229">
        <f t="shared" si="102"/>
        <v>0</v>
      </c>
      <c r="AB84" s="783"/>
      <c r="AC84" s="783"/>
      <c r="AD84" s="783"/>
      <c r="AE84" s="783"/>
      <c r="AF84" s="783"/>
      <c r="AG84" s="783"/>
      <c r="AH84" s="783"/>
      <c r="AI84" s="783"/>
      <c r="AJ84" s="111">
        <f t="shared" si="103"/>
        <v>0</v>
      </c>
      <c r="AK84" s="112"/>
      <c r="AL84" s="823"/>
      <c r="AM84" s="113"/>
      <c r="AN84" s="817"/>
      <c r="AO84" s="133"/>
    </row>
    <row r="85" spans="1:45">
      <c r="A85" s="895"/>
      <c r="B85" s="162" t="s">
        <v>50</v>
      </c>
      <c r="C85" s="146" t="s">
        <v>173</v>
      </c>
      <c r="D85" s="163"/>
      <c r="E85" s="164"/>
      <c r="F85" s="165">
        <f t="shared" ref="F85:AI85" si="104">F79-F80</f>
        <v>0</v>
      </c>
      <c r="G85" s="165">
        <f t="shared" si="104"/>
        <v>0</v>
      </c>
      <c r="H85" s="165">
        <f t="shared" si="104"/>
        <v>0</v>
      </c>
      <c r="I85" s="165">
        <f t="shared" si="104"/>
        <v>0</v>
      </c>
      <c r="J85" s="165">
        <f t="shared" si="104"/>
        <v>0</v>
      </c>
      <c r="K85" s="165">
        <f t="shared" si="104"/>
        <v>0</v>
      </c>
      <c r="L85" s="165">
        <f t="shared" si="104"/>
        <v>0</v>
      </c>
      <c r="M85" s="165">
        <f t="shared" si="104"/>
        <v>0</v>
      </c>
      <c r="N85" s="165">
        <f t="shared" si="104"/>
        <v>0</v>
      </c>
      <c r="O85" s="165">
        <f t="shared" si="104"/>
        <v>0</v>
      </c>
      <c r="P85" s="165">
        <f t="shared" si="104"/>
        <v>0</v>
      </c>
      <c r="Q85" s="165">
        <f t="shared" si="104"/>
        <v>0</v>
      </c>
      <c r="R85" s="165">
        <f t="shared" si="104"/>
        <v>0</v>
      </c>
      <c r="S85" s="165">
        <f t="shared" si="104"/>
        <v>0</v>
      </c>
      <c r="T85" s="165">
        <f t="shared" si="104"/>
        <v>0</v>
      </c>
      <c r="U85" s="165">
        <f t="shared" si="104"/>
        <v>0</v>
      </c>
      <c r="V85" s="165">
        <f t="shared" si="104"/>
        <v>0</v>
      </c>
      <c r="W85" s="165">
        <f t="shared" si="104"/>
        <v>0</v>
      </c>
      <c r="X85" s="165">
        <f t="shared" si="104"/>
        <v>0</v>
      </c>
      <c r="Y85" s="165">
        <f t="shared" si="104"/>
        <v>0</v>
      </c>
      <c r="Z85" s="228">
        <f t="shared" ref="Z85:Z94" si="105">SUM(AB85,AD85,AF85,AH85)</f>
        <v>0</v>
      </c>
      <c r="AA85" s="229">
        <f t="shared" ref="AA85:AA94" si="106">SUM(AC85,AE85,AG85,AI85)</f>
        <v>0</v>
      </c>
      <c r="AB85" s="165">
        <f t="shared" si="104"/>
        <v>0</v>
      </c>
      <c r="AC85" s="165">
        <f t="shared" si="104"/>
        <v>0</v>
      </c>
      <c r="AD85" s="165">
        <f t="shared" si="104"/>
        <v>0</v>
      </c>
      <c r="AE85" s="165">
        <f t="shared" si="104"/>
        <v>0</v>
      </c>
      <c r="AF85" s="165">
        <f t="shared" si="104"/>
        <v>0</v>
      </c>
      <c r="AG85" s="165">
        <f t="shared" si="104"/>
        <v>0</v>
      </c>
      <c r="AH85" s="165">
        <f t="shared" si="104"/>
        <v>0</v>
      </c>
      <c r="AI85" s="165">
        <f t="shared" si="104"/>
        <v>0</v>
      </c>
      <c r="AJ85" s="257">
        <f t="shared" si="103"/>
        <v>0</v>
      </c>
      <c r="AK85" s="112"/>
      <c r="AL85" s="823"/>
      <c r="AM85" s="113"/>
      <c r="AN85" s="817"/>
      <c r="AO85" s="133"/>
    </row>
    <row r="86" spans="1:45">
      <c r="A86" s="896"/>
      <c r="B86" s="166" t="s">
        <v>53</v>
      </c>
      <c r="C86" s="147" t="s">
        <v>175</v>
      </c>
      <c r="D86" s="167"/>
      <c r="E86" s="168"/>
      <c r="F86" s="35"/>
      <c r="G86" s="35"/>
      <c r="H86" s="35"/>
      <c r="I86" s="35"/>
      <c r="J86" s="35"/>
      <c r="K86" s="35"/>
      <c r="L86" s="35"/>
      <c r="M86" s="35"/>
      <c r="N86" s="35"/>
      <c r="O86" s="35"/>
      <c r="P86" s="35"/>
      <c r="Q86" s="35"/>
      <c r="R86" s="35"/>
      <c r="S86" s="35"/>
      <c r="T86" s="35"/>
      <c r="U86" s="35"/>
      <c r="V86" s="35"/>
      <c r="W86" s="35"/>
      <c r="X86" s="35"/>
      <c r="Y86" s="232"/>
      <c r="Z86" s="233">
        <f t="shared" si="105"/>
        <v>0</v>
      </c>
      <c r="AA86" s="234">
        <f t="shared" si="106"/>
        <v>0</v>
      </c>
      <c r="AB86" s="235"/>
      <c r="AC86" s="236"/>
      <c r="AD86" s="236"/>
      <c r="AE86" s="236"/>
      <c r="AF86" s="236"/>
      <c r="AG86" s="236"/>
      <c r="AH86" s="236"/>
      <c r="AI86" s="258"/>
      <c r="AJ86" s="259">
        <f t="shared" si="103"/>
        <v>0</v>
      </c>
      <c r="AK86" s="112" t="str">
        <f>CONCATENATE(IF(D86&gt;D85," * SNS HIV  Negative for Age "&amp;D6&amp;" "&amp;D7&amp;" should be more than or equal to SNS HIV -ve Newly Initiated on Prep"&amp;CHAR(10),""),IF(E86&gt;E85," * SNS HIV  Negative for Age "&amp;D6&amp;" "&amp;E7&amp;" should be more than or equal to SNS HIV -ve Newly Initiated on Prep"&amp;CHAR(10),""),IF(F86&gt;F85," * SNS HIV  Negative for Age "&amp;F6&amp;" "&amp;F7&amp;" should be more than or equal to SNS HIV -ve Newly Initiated on Prep"&amp;CHAR(10),""),IF(G86&gt;G85," * SNS HIV  Negative for Age "&amp;F6&amp;" "&amp;G7&amp;" should be more than or equal to SNS HIV -ve Newly Initiated on Prep"&amp;CHAR(10),""),IF(H86&gt;H85," * SNS HIV  Negative for Age "&amp;H6&amp;" "&amp;H7&amp;" should be more than or equal to SNS HIV -ve Newly Initiated on Prep"&amp;CHAR(10),""),IF(I86&gt;I85," * SNS HIV  Negative for Age "&amp;H6&amp;" "&amp;I7&amp;" should be more than or equal to SNS HIV -ve Newly Initiated on Prep"&amp;CHAR(10),""),IF(J86&gt;J85," * SNS HIV  Negative for Age "&amp;J6&amp;" "&amp;J7&amp;" should be more than or equal to SNS HIV -ve Newly Initiated on Prep"&amp;CHAR(10),""),IF(K86&gt;K85," * SNS HIV  Negative for Age "&amp;J6&amp;" "&amp;K7&amp;" should be more than or equal to SNS HIV -ve Newly Initiated on Prep"&amp;CHAR(10),""),IF(L86&gt;L85," * SNS HIV  Negative for Age "&amp;L6&amp;" "&amp;L7&amp;" should be more than or equal to SNS HIV -ve Newly Initiated on Prep"&amp;CHAR(10),""),IF(M86&gt;M85," * SNS HIV  Negative for Age "&amp;L6&amp;" "&amp;M7&amp;" should be more than or equal to SNS HIV -ve Newly Initiated on Prep"&amp;CHAR(10),""),IF(N86&gt;N85," * SNS HIV  Negative for Age "&amp;N6&amp;" "&amp;N7&amp;" should be more than or equal to SNS HIV -ve Newly Initiated on Prep"&amp;CHAR(10),""),IF(O86&gt;O85," * SNS HIV  Negative for Age "&amp;N6&amp;" "&amp;O7&amp;" should be more than or equal to SNS HIV -ve Newly Initiated on Prep"&amp;CHAR(10),""),IF(P86&gt;P85," * SNS HIV  Negative for Age "&amp;P6&amp;" "&amp;P7&amp;" should be more than or equal to SNS HIV -ve Newly Initiated on Prep"&amp;CHAR(10),""),IF(Q86&gt;Q85," * SNS HIV  Negative for Age "&amp;P6&amp;" "&amp;Q7&amp;" should be more than or equal to SNS HIV -ve Newly Initiated on Prep"&amp;CHAR(10),""),IF(R86&gt;R85," * SNS HIV  Negative for Age "&amp;R6&amp;" "&amp;R7&amp;" should be more than or equal to SNS HIV -ve Newly Initiated on Prep"&amp;CHAR(10),""),IF(S86&gt;S85," * SNS HIV  Negative for Age "&amp;R6&amp;" "&amp;S7&amp;" should be more than or equal to SNS HIV -ve Newly Initiated on Prep"&amp;CHAR(10),""),IF(T86&gt;T85," * SNS HIV  Negative for Age "&amp;T6&amp;" "&amp;T7&amp;" should be more than or equal to SNS HIV -ve Newly Initiated on Prep"&amp;CHAR(10),""),IF(U86&gt;U85," * SNS HIV  Negative for Age "&amp;T6&amp;" "&amp;U7&amp;" should be more than or equal to SNS HIV -ve Newly Initiated on Prep"&amp;CHAR(10),""),IF(V86&gt;V85," * SNS HIV  Negative for Age "&amp;V6&amp;" "&amp;V7&amp;" should be more than or equal to SNS HIV -ve Newly Initiated on Prep"&amp;CHAR(10),""),IF(W86&gt;W85," * SNS HIV  Negative for Age "&amp;V6&amp;" "&amp;W7&amp;" should be more than or equal to SNS HIV -ve Newly Initiated on Prep"&amp;CHAR(10),""),IF(X86&gt;X85," * SNS HIV  Negative for Age "&amp;X6&amp;" "&amp;X7&amp;" should be more than or equal to SNS HIV -ve Newly Initiated on Prep"&amp;CHAR(10),""),IF(Y86&gt;Y85," * SNS HIV  Negative for Age "&amp;X6&amp;" "&amp;Y7&amp;" should be more than or equal to SNS HIV -ve Newly Initiated on Prep"&amp;CHAR(10),""),IF(Z86&gt;Z85," * SNS HIV  Negative for Age "&amp;Z6&amp;" "&amp;Z7&amp;" should be more than or equal to SNS HIV -ve Newly Initiated on Prep"&amp;CHAR(10),""),IF(AA86&gt;AA85," * SNS HIV  Negative for Age "&amp;Z6&amp;" "&amp;AA7&amp;" should be more than or equal to SNS HIV -ve Newly Initiated on Prep"&amp;CHAR(10),""))</f>
        <v/>
      </c>
      <c r="AL86" s="823"/>
      <c r="AM86" s="113"/>
      <c r="AN86" s="817"/>
      <c r="AO86" s="133"/>
    </row>
    <row r="87" spans="1:45" ht="26.25" customHeight="1">
      <c r="A87" s="989" t="s">
        <v>967</v>
      </c>
      <c r="B87" s="42" t="s">
        <v>29</v>
      </c>
      <c r="C87" s="43" t="s">
        <v>179</v>
      </c>
      <c r="D87" s="169"/>
      <c r="E87" s="170"/>
      <c r="F87" s="153"/>
      <c r="G87" s="153"/>
      <c r="H87" s="153"/>
      <c r="I87" s="153"/>
      <c r="J87" s="153"/>
      <c r="K87" s="153"/>
      <c r="L87" s="153"/>
      <c r="M87" s="153"/>
      <c r="N87" s="153"/>
      <c r="O87" s="153"/>
      <c r="P87" s="153"/>
      <c r="Q87" s="153"/>
      <c r="R87" s="153"/>
      <c r="S87" s="153"/>
      <c r="T87" s="153"/>
      <c r="U87" s="153"/>
      <c r="V87" s="153"/>
      <c r="W87" s="153"/>
      <c r="X87" s="153"/>
      <c r="Y87" s="219"/>
      <c r="Z87" s="84">
        <f t="shared" ref="Z87:AA92" si="107">SUM(AB87,AD87,AF87,AH87)</f>
        <v>0</v>
      </c>
      <c r="AA87" s="85">
        <f t="shared" si="107"/>
        <v>0</v>
      </c>
      <c r="AB87" s="222"/>
      <c r="AC87" s="153"/>
      <c r="AD87" s="153"/>
      <c r="AE87" s="153"/>
      <c r="AF87" s="153"/>
      <c r="AG87" s="153"/>
      <c r="AH87" s="153"/>
      <c r="AI87" s="219"/>
      <c r="AJ87" s="260">
        <f t="shared" ref="AJ87:AJ92" si="108">SUM(D87:AA87)</f>
        <v>0</v>
      </c>
      <c r="AK87" s="119" t="str">
        <f>CONCATENATE(IF(D88&gt;D87," * Positive F01-23 for Age "&amp;D6&amp;" "&amp;D7&amp;" is more than Tested F01-22"&amp;CHAR(10),""),IF(E88&gt;E87," * Positive F01-23 for Age "&amp;D6&amp;" "&amp;E7&amp;" is more than Tested F01-22"&amp;CHAR(10),""),IF(F88&gt;F87," * Positive F01-23 for Age "&amp;F6&amp;" "&amp;F7&amp;" is more than Tested F01-22"&amp;CHAR(10),""),IF(G88&gt;G87," * Positive F01-23 for Age "&amp;F6&amp;" "&amp;G7&amp;" is more than Tested F01-22"&amp;CHAR(10),""),IF(H88&gt;H87," * Positive F01-23 for Age "&amp;H6&amp;" "&amp;H7&amp;" is more than Tested F01-22"&amp;CHAR(10),""),IF(I88&gt;I87," * Positive F01-23 for Age "&amp;H6&amp;" "&amp;I7&amp;" is more than Tested F01-22"&amp;CHAR(10),""),IF(J88&gt;J87," * Positive F01-23 for Age "&amp;J6&amp;" "&amp;J7&amp;" is more than Tested F01-22"&amp;CHAR(10),""),IF(K88&gt;K87," * Positive F01-23 for Age "&amp;J6&amp;" "&amp;K7&amp;" is more than Tested F01-22"&amp;CHAR(10),""),IF(L88&gt;L87," * Positive F01-23 for Age "&amp;L6&amp;" "&amp;L7&amp;" is more than Tested F01-22"&amp;CHAR(10),""),IF(M88&gt;M87," * Positive F01-23 for Age "&amp;L6&amp;" "&amp;M7&amp;" is more than Tested F01-22"&amp;CHAR(10),""),IF(N88&gt;N87," * Positive F01-23 for Age "&amp;N6&amp;" "&amp;N7&amp;" is more than Tested F01-22"&amp;CHAR(10),""),IF(O88&gt;O87," * Positive F01-23 for Age "&amp;N6&amp;" "&amp;O7&amp;" is more than Tested F01-22"&amp;CHAR(10),""),IF(P88&gt;P87," * Positive F01-23 for Age "&amp;P6&amp;" "&amp;P7&amp;" is more than Tested F01-22"&amp;CHAR(10),""),IF(Q88&gt;Q87," * Positive F01-23 for Age "&amp;P6&amp;" "&amp;Q7&amp;" is more than Tested F01-22"&amp;CHAR(10),""),IF(R88&gt;R87," * Positive F01-23 for Age "&amp;R6&amp;" "&amp;R7&amp;" is more than Tested F01-22"&amp;CHAR(10),""),IF(S88&gt;S87," * Positive F01-23 for Age "&amp;R6&amp;" "&amp;S7&amp;" is more than Tested F01-22"&amp;CHAR(10),""),IF(T88&gt;T87," * Positive F01-23 for Age "&amp;T6&amp;" "&amp;T7&amp;" is more than Tested F01-22"&amp;CHAR(10),""),IF(U88&gt;U87," * Positive F01-23 for Age "&amp;T6&amp;" "&amp;U7&amp;" is more than Tested F01-22"&amp;CHAR(10),""),IF(V88&gt;V87," * Positive F01-23 for Age "&amp;V6&amp;" "&amp;V7&amp;" is more than Tested F01-22"&amp;CHAR(10),""),IF(W88&gt;W87," * Positive F01-23 for Age "&amp;V6&amp;" "&amp;W7&amp;" is more than Tested F01-22"&amp;CHAR(10),""),IF(X88&gt;X87," * Positive F01-23 for Age "&amp;X6&amp;" "&amp;X7&amp;" is more than Tested F01-22"&amp;CHAR(10),""),IF(Y88&gt;Y87," * Positive F01-23 for Age "&amp;X6&amp;" "&amp;Y7&amp;" is more than Tested F01-22"&amp;CHAR(10),""),IF(Z88&gt;Z87," * Positive F01-23 for Age "&amp;Z6&amp;" "&amp;Z7&amp;" is more than Tested F01-22"&amp;CHAR(10),""),IF(AA88&gt;AA87," * Positive F01-23 for Age "&amp;Z6&amp;" "&amp;AA7&amp;" is more than Tested F01-22"&amp;CHAR(10),""))</f>
        <v/>
      </c>
      <c r="AL87" s="823"/>
      <c r="AM87" s="113" t="str">
        <f>CONCATENATE(IF(AND(IFERROR((AJ88*100)/AJ87,0)&gt;10,AJ88&gt;5)," * This facility has a high positivity rate for Index Testing. Kindly confirm if this is the true reflection"&amp;CHAR(10),""),"")</f>
        <v/>
      </c>
      <c r="AN87" s="817"/>
      <c r="AO87" s="133">
        <v>42</v>
      </c>
    </row>
    <row r="88" spans="1:45">
      <c r="A88" s="895"/>
      <c r="B88" s="45" t="s">
        <v>33</v>
      </c>
      <c r="C88" s="46" t="s">
        <v>181</v>
      </c>
      <c r="D88" s="28"/>
      <c r="E88" s="29"/>
      <c r="F88" s="711"/>
      <c r="G88" s="711"/>
      <c r="H88" s="711"/>
      <c r="I88" s="711"/>
      <c r="J88" s="711"/>
      <c r="K88" s="711"/>
      <c r="L88" s="711"/>
      <c r="M88" s="711"/>
      <c r="N88" s="711"/>
      <c r="O88" s="711"/>
      <c r="P88" s="711"/>
      <c r="Q88" s="711"/>
      <c r="R88" s="711"/>
      <c r="S88" s="711"/>
      <c r="T88" s="711"/>
      <c r="U88" s="711"/>
      <c r="V88" s="711"/>
      <c r="W88" s="711"/>
      <c r="X88" s="711"/>
      <c r="Y88" s="711"/>
      <c r="Z88" s="88">
        <f t="shared" si="107"/>
        <v>0</v>
      </c>
      <c r="AA88" s="89">
        <f t="shared" si="107"/>
        <v>0</v>
      </c>
      <c r="AB88" s="711"/>
      <c r="AC88" s="711"/>
      <c r="AD88" s="711"/>
      <c r="AE88" s="711"/>
      <c r="AF88" s="711"/>
      <c r="AG88" s="711"/>
      <c r="AH88" s="711"/>
      <c r="AI88" s="711"/>
      <c r="AJ88" s="260">
        <f t="shared" si="108"/>
        <v>0</v>
      </c>
      <c r="AK88" s="120" t="str">
        <f>CONCATENATE(IF((D89+D90+D91+D92)&lt;&gt;D88," * "&amp;$A88&amp;" , "&amp;$B89&amp;" plus "&amp;$B90&amp;" plus "&amp;$B91&amp;" plus "&amp;$B92&amp;" For age "&amp;$D$6&amp;" "&amp;$D$7&amp;" should be equal to "&amp;$B88&amp;""&amp;CHAR(10),""),IF((E89+E90+E91+E92)&lt;&gt;E88," * "&amp;$A88&amp;" , "&amp;$B89&amp;" plus "&amp;$B90&amp;" plus "&amp;$B91&amp;" plus "&amp;$B92&amp;" For age "&amp;$D$6&amp;" "&amp;$E$7&amp;" should be equal to "&amp;$B88&amp;""&amp;CHAR(10),""),IF((F89+F90+F91+F92)&lt;&gt;F88," * "&amp;$A88&amp;" , "&amp;$B89&amp;" plus "&amp;$B90&amp;" plus "&amp;$B91&amp;" plus "&amp;$B92&amp;" For age "&amp;$F$6&amp;" "&amp;$F$7&amp;" should be equal to "&amp;$B88&amp;""&amp;CHAR(10),""),IF((G89+G90+G91+G92)&lt;&gt;G88," * "&amp;$A88&amp;" , "&amp;$B89&amp;" plus "&amp;$B90&amp;" plus "&amp;$B91&amp;" plus "&amp;$B92&amp;" For age "&amp;$F$6&amp;" "&amp;$G$7&amp;" should be equal to "&amp;$B88&amp;""&amp;CHAR(10),""),IF((H89+H90+H91+H92)&lt;&gt;H88," * "&amp;$A88&amp;" , "&amp;$B89&amp;" plus "&amp;$B90&amp;" plus "&amp;$B91&amp;" plus "&amp;$B92&amp;" For age "&amp;$H$6&amp;" "&amp;$H$7&amp;" should be equal to "&amp;$B88&amp;""&amp;CHAR(10),""),IF((I89+I90+I91+I92)&lt;&gt;I88," * "&amp;$A88&amp;" , "&amp;$B89&amp;" plus "&amp;$B90&amp;" plus "&amp;$B91&amp;" plus "&amp;$B92&amp;" For age "&amp;$H$6&amp;" "&amp;$I$7&amp;" should be equal to "&amp;$B88&amp;""&amp;CHAR(10),""),IF((J89+J90+J91+J92)&lt;&gt;J88," * "&amp;$A88&amp;" , "&amp;$B89&amp;" plus "&amp;$B90&amp;" plus "&amp;$B91&amp;" plus "&amp;$B92&amp;" For age "&amp;$J$6&amp;" "&amp;$J$7&amp;" should be equal to "&amp;$B88&amp;""&amp;CHAR(10),""),IF((K89+K90+K91+K92)&lt;&gt;K88," * "&amp;$A88&amp;" , "&amp;$B89&amp;" plus "&amp;$B90&amp;" plus "&amp;$B91&amp;" plus "&amp;$B92&amp;" For age "&amp;$J$6&amp;" "&amp;$K$7&amp;" should be equal to "&amp;$B88&amp;""&amp;CHAR(10),""),IF((L89+L90+L91+L92)&lt;&gt;L88," * "&amp;$A88&amp;" , "&amp;$B89&amp;" plus "&amp;$B90&amp;" plus "&amp;$B91&amp;" plus "&amp;$B92&amp;" For age "&amp;$L$6&amp;" "&amp;$L$7&amp;" should be equal to "&amp;$B88&amp;""&amp;CHAR(10),""),IF((M89+M90+M91+M92)&lt;&gt;M88," * "&amp;$A88&amp;" , "&amp;$B89&amp;" plus "&amp;$B90&amp;" plus "&amp;$B91&amp;" plus "&amp;$B92&amp;" For age "&amp;$L$6&amp;" "&amp;$M$7&amp;" should be equal to "&amp;$B88&amp;""&amp;CHAR(10),""),IF((N89+N90+N91+N92)&lt;&gt;N88," * "&amp;$A88&amp;" , "&amp;$B89&amp;" plus "&amp;$B90&amp;" plus "&amp;$B91&amp;" plus "&amp;$B92&amp;" For age "&amp;$N$6&amp;" "&amp;$N$7&amp;" should be equal to "&amp;$B88&amp;""&amp;CHAR(10),""),IF((O89+O90+O91+O92)&lt;&gt;O88," * "&amp;$A88&amp;" , "&amp;$B89&amp;" plus "&amp;$B90&amp;" plus "&amp;$B91&amp;" plus "&amp;$B92&amp;" For age "&amp;$N$6&amp;" "&amp;$O$7&amp;" should be equal to "&amp;$B88&amp;""&amp;CHAR(10),""),IF((P89+P90+P91+P92)&lt;&gt;P88," * "&amp;$A88&amp;" , "&amp;$B89&amp;" plus "&amp;$B90&amp;" plus "&amp;$B91&amp;" plus "&amp;$B92&amp;" For age "&amp;$P$6&amp;" "&amp;$P$7&amp;" should be equal to "&amp;$B88&amp;""&amp;CHAR(10),""),IF((Q89+Q90+Q91+Q92)&lt;&gt;Q88," * "&amp;$A88&amp;" , "&amp;$B89&amp;" plus "&amp;$B90&amp;" plus "&amp;$B91&amp;" plus "&amp;$B92&amp;" For age "&amp;$P$6&amp;" "&amp;$Q$7&amp;" should be equal to "&amp;$B88&amp;""&amp;CHAR(10),""),IF((R89+R90+R91+R92)&lt;&gt;R88," * "&amp;$A88&amp;" , "&amp;$B89&amp;" plus "&amp;$B90&amp;" plus "&amp;$B91&amp;" plus "&amp;$B92&amp;" For age "&amp;$R$6&amp;" "&amp;$R$7&amp;" should be equal to "&amp;$B88&amp;""&amp;CHAR(10),""),IF((S89+S90+S91+S92)&lt;&gt;S88," * "&amp;$A88&amp;" , "&amp;$B89&amp;" plus "&amp;$B90&amp;" plus "&amp;$B91&amp;" plus "&amp;$B92&amp;" For age "&amp;$R$6&amp;" "&amp;$S$7&amp;" should be equal to "&amp;$B88&amp;""&amp;CHAR(10),""),IF((T89+T90+T91+T92)&lt;&gt;T88," * "&amp;$A88&amp;" , "&amp;$B89&amp;" plus "&amp;$B90&amp;" plus "&amp;$B91&amp;" plus "&amp;$B92&amp;" For age "&amp;$T$6&amp;" "&amp;$T$7&amp;" should be equal to "&amp;$B88&amp;""&amp;CHAR(10),""),IF((U89+U90+U91+U92)&lt;&gt;U88," * "&amp;$A88&amp;" , "&amp;$B89&amp;" plus "&amp;$B90&amp;" plus "&amp;$B91&amp;" plus "&amp;$B92&amp;" For age "&amp;$T$6&amp;" "&amp;$U$7&amp;" should be equal to "&amp;$B88&amp;""&amp;CHAR(10),""),IF((V89+V90+V91+V92)&lt;&gt;V88," * "&amp;$A88&amp;" , "&amp;$B89&amp;" plus "&amp;$B90&amp;" plus "&amp;$B91&amp;" plus "&amp;$B92&amp;" For age "&amp;$V$6&amp;" "&amp;$V$7&amp;" should be equal to "&amp;$B88&amp;""&amp;CHAR(10),""),IF((W89+W90+W91+W92)&lt;&gt;W88," * "&amp;$A88&amp;" , "&amp;$B89&amp;" plus "&amp;$B90&amp;" plus "&amp;$B91&amp;" plus "&amp;$B92&amp;" For age "&amp;$V$6&amp;" "&amp;$W$7&amp;" should be equal to "&amp;$B88&amp;""&amp;CHAR(10),""),IF((X89+X90+X91+X92)&lt;&gt;X88," * "&amp;$A88&amp;" , "&amp;$B89&amp;" plus "&amp;$B90&amp;" plus "&amp;$B91&amp;" plus "&amp;$B92&amp;" For age "&amp;$X$6&amp;" "&amp;$X$7&amp;" should be equal to "&amp;$B88&amp;""&amp;CHAR(10),""),IF((Y89+Y90+Y91+Y92)&lt;&gt;Y88," * "&amp;$A88&amp;" , "&amp;$B89&amp;" plus "&amp;$B90&amp;" plus "&amp;$B91&amp;" plus "&amp;$B92&amp;" For age "&amp;$X$6&amp;" "&amp;$Y$7&amp;" should be equal to "&amp;$B88&amp;""&amp;CHAR(10),""),IF((Z89+Z90+Z91+Z92)&lt;&gt;Z88," * "&amp;$A88&amp;" , "&amp;$B89&amp;" plus "&amp;$B90&amp;" plus "&amp;$B91&amp;" plus "&amp;$B92&amp;" For age "&amp;$Z$6&amp;" "&amp;$Z$7&amp;" should be equal to "&amp;$B88&amp;""&amp;CHAR(10),""),IF((AA89+AA90+AA91+AA92)&lt;&gt;AA88," * "&amp;$A88&amp;" , "&amp;$B89&amp;" plus "&amp;$B90&amp;" plus "&amp;$B91&amp;" plus "&amp;$B92&amp;" For age "&amp;$Z$6&amp;" "&amp;$AA$7&amp;" should be equal to "&amp;$B88&amp;""&amp;CHAR(10),""))</f>
        <v/>
      </c>
      <c r="AL88" s="823"/>
      <c r="AM88" s="113"/>
      <c r="AN88" s="817"/>
      <c r="AO88" s="133">
        <v>43</v>
      </c>
    </row>
    <row r="89" spans="1:45">
      <c r="A89" s="895"/>
      <c r="B89" s="47" t="s">
        <v>37</v>
      </c>
      <c r="C89" s="46" t="s">
        <v>183</v>
      </c>
      <c r="D89" s="28"/>
      <c r="E89" s="29"/>
      <c r="F89" s="712"/>
      <c r="G89" s="712"/>
      <c r="H89" s="712"/>
      <c r="I89" s="712"/>
      <c r="J89" s="712"/>
      <c r="K89" s="712"/>
      <c r="L89" s="712"/>
      <c r="M89" s="712"/>
      <c r="N89" s="712"/>
      <c r="O89" s="712"/>
      <c r="P89" s="712"/>
      <c r="Q89" s="712"/>
      <c r="R89" s="712"/>
      <c r="S89" s="712"/>
      <c r="T89" s="712"/>
      <c r="U89" s="712"/>
      <c r="V89" s="712"/>
      <c r="W89" s="712"/>
      <c r="X89" s="712"/>
      <c r="Y89" s="712"/>
      <c r="Z89" s="88">
        <f t="shared" si="107"/>
        <v>0</v>
      </c>
      <c r="AA89" s="89">
        <f t="shared" si="107"/>
        <v>0</v>
      </c>
      <c r="AB89" s="712"/>
      <c r="AC89" s="712"/>
      <c r="AD89" s="712"/>
      <c r="AE89" s="712"/>
      <c r="AF89" s="712"/>
      <c r="AG89" s="712"/>
      <c r="AH89" s="712"/>
      <c r="AI89" s="712"/>
      <c r="AJ89" s="260">
        <f t="shared" si="108"/>
        <v>0</v>
      </c>
      <c r="AK89" s="112"/>
      <c r="AL89" s="823"/>
      <c r="AM89" s="113"/>
      <c r="AN89" s="817"/>
      <c r="AO89" s="133"/>
    </row>
    <row r="90" spans="1:45">
      <c r="A90" s="895"/>
      <c r="B90" s="47" t="s">
        <v>41</v>
      </c>
      <c r="C90" s="46" t="s">
        <v>184</v>
      </c>
      <c r="D90" s="28"/>
      <c r="E90" s="29"/>
      <c r="F90" s="712"/>
      <c r="G90" s="712"/>
      <c r="H90" s="712"/>
      <c r="I90" s="712"/>
      <c r="J90" s="712"/>
      <c r="K90" s="712"/>
      <c r="L90" s="712"/>
      <c r="M90" s="712"/>
      <c r="N90" s="712"/>
      <c r="O90" s="712"/>
      <c r="P90" s="712"/>
      <c r="Q90" s="712"/>
      <c r="R90" s="712"/>
      <c r="S90" s="712"/>
      <c r="T90" s="712"/>
      <c r="U90" s="712"/>
      <c r="V90" s="712"/>
      <c r="W90" s="712"/>
      <c r="X90" s="712"/>
      <c r="Y90" s="712"/>
      <c r="Z90" s="88">
        <f t="shared" si="107"/>
        <v>0</v>
      </c>
      <c r="AA90" s="89">
        <f t="shared" si="107"/>
        <v>0</v>
      </c>
      <c r="AB90" s="712"/>
      <c r="AC90" s="712"/>
      <c r="AD90" s="712"/>
      <c r="AE90" s="712"/>
      <c r="AF90" s="712"/>
      <c r="AG90" s="712"/>
      <c r="AH90" s="712"/>
      <c r="AI90" s="712"/>
      <c r="AJ90" s="260">
        <f t="shared" si="108"/>
        <v>0</v>
      </c>
      <c r="AK90" s="112"/>
      <c r="AL90" s="823"/>
      <c r="AM90" s="113"/>
      <c r="AN90" s="817"/>
      <c r="AO90" s="133"/>
    </row>
    <row r="91" spans="1:45">
      <c r="A91" s="895"/>
      <c r="B91" s="47" t="s">
        <v>44</v>
      </c>
      <c r="C91" s="46" t="s">
        <v>185</v>
      </c>
      <c r="D91" s="28"/>
      <c r="E91" s="29"/>
      <c r="F91" s="712"/>
      <c r="G91" s="712"/>
      <c r="H91" s="712"/>
      <c r="I91" s="712"/>
      <c r="J91" s="712"/>
      <c r="K91" s="712"/>
      <c r="L91" s="712"/>
      <c r="M91" s="712"/>
      <c r="N91" s="712"/>
      <c r="O91" s="712"/>
      <c r="P91" s="712"/>
      <c r="Q91" s="712"/>
      <c r="R91" s="712"/>
      <c r="S91" s="712"/>
      <c r="T91" s="712"/>
      <c r="U91" s="712"/>
      <c r="V91" s="712"/>
      <c r="W91" s="712"/>
      <c r="X91" s="712"/>
      <c r="Y91" s="712"/>
      <c r="Z91" s="88">
        <f t="shared" si="107"/>
        <v>0</v>
      </c>
      <c r="AA91" s="89">
        <f t="shared" si="107"/>
        <v>0</v>
      </c>
      <c r="AB91" s="712"/>
      <c r="AC91" s="712"/>
      <c r="AD91" s="712"/>
      <c r="AE91" s="712"/>
      <c r="AF91" s="712"/>
      <c r="AG91" s="712"/>
      <c r="AH91" s="712"/>
      <c r="AI91" s="712"/>
      <c r="AJ91" s="260">
        <f t="shared" si="108"/>
        <v>0</v>
      </c>
      <c r="AK91" s="112"/>
      <c r="AL91" s="823"/>
      <c r="AM91" s="113"/>
      <c r="AN91" s="817"/>
      <c r="AO91" s="133"/>
    </row>
    <row r="92" spans="1:45" ht="31.5" thickBot="1">
      <c r="A92" s="896"/>
      <c r="B92" s="48" t="s">
        <v>47</v>
      </c>
      <c r="C92" s="49" t="s">
        <v>186</v>
      </c>
      <c r="D92" s="171"/>
      <c r="E92" s="172"/>
      <c r="F92" s="783"/>
      <c r="G92" s="783"/>
      <c r="H92" s="783"/>
      <c r="I92" s="783"/>
      <c r="J92" s="783"/>
      <c r="K92" s="783"/>
      <c r="L92" s="783"/>
      <c r="M92" s="783"/>
      <c r="N92" s="783"/>
      <c r="O92" s="783"/>
      <c r="P92" s="783"/>
      <c r="Q92" s="783"/>
      <c r="R92" s="783"/>
      <c r="S92" s="783"/>
      <c r="T92" s="783"/>
      <c r="U92" s="783"/>
      <c r="V92" s="783"/>
      <c r="W92" s="783"/>
      <c r="X92" s="783"/>
      <c r="Y92" s="783"/>
      <c r="Z92" s="217">
        <f t="shared" si="107"/>
        <v>0</v>
      </c>
      <c r="AA92" s="218">
        <f t="shared" si="107"/>
        <v>0</v>
      </c>
      <c r="AB92" s="783"/>
      <c r="AC92" s="783"/>
      <c r="AD92" s="783"/>
      <c r="AE92" s="783"/>
      <c r="AF92" s="783"/>
      <c r="AG92" s="783"/>
      <c r="AH92" s="783"/>
      <c r="AI92" s="783"/>
      <c r="AJ92" s="261">
        <f t="shared" si="108"/>
        <v>0</v>
      </c>
      <c r="AK92" s="112"/>
      <c r="AL92" s="823"/>
      <c r="AM92" s="113"/>
      <c r="AN92" s="817"/>
      <c r="AO92" s="133"/>
    </row>
    <row r="93" spans="1:45" s="2" customFormat="1" ht="26.25" customHeight="1">
      <c r="A93" s="990" t="s">
        <v>975</v>
      </c>
      <c r="B93" s="173" t="s">
        <v>919</v>
      </c>
      <c r="C93" s="174" t="s">
        <v>190</v>
      </c>
      <c r="D93" s="175">
        <f t="shared" ref="D93:Y93" si="109">SUM(D13+D27+D33+D39+D45+D51+D87+D72+D79+D152+D160+D162+D164+D166+D168+D170+D172+D174+D21)</f>
        <v>0</v>
      </c>
      <c r="E93" s="176">
        <f t="shared" si="109"/>
        <v>0</v>
      </c>
      <c r="F93" s="176">
        <f t="shared" si="109"/>
        <v>0</v>
      </c>
      <c r="G93" s="176">
        <f t="shared" si="109"/>
        <v>0</v>
      </c>
      <c r="H93" s="176">
        <f t="shared" si="109"/>
        <v>0</v>
      </c>
      <c r="I93" s="176">
        <f t="shared" si="109"/>
        <v>0</v>
      </c>
      <c r="J93" s="176">
        <f t="shared" si="109"/>
        <v>0</v>
      </c>
      <c r="K93" s="176">
        <f t="shared" si="109"/>
        <v>0</v>
      </c>
      <c r="L93" s="176">
        <f t="shared" si="109"/>
        <v>0</v>
      </c>
      <c r="M93" s="176">
        <f t="shared" si="109"/>
        <v>0</v>
      </c>
      <c r="N93" s="176">
        <f t="shared" si="109"/>
        <v>0</v>
      </c>
      <c r="O93" s="176">
        <f t="shared" si="109"/>
        <v>0</v>
      </c>
      <c r="P93" s="176">
        <f t="shared" si="109"/>
        <v>0</v>
      </c>
      <c r="Q93" s="176">
        <f t="shared" si="109"/>
        <v>0</v>
      </c>
      <c r="R93" s="176">
        <f t="shared" si="109"/>
        <v>0</v>
      </c>
      <c r="S93" s="176">
        <f t="shared" si="109"/>
        <v>0</v>
      </c>
      <c r="T93" s="176">
        <f t="shared" si="109"/>
        <v>0</v>
      </c>
      <c r="U93" s="176">
        <f t="shared" si="109"/>
        <v>0</v>
      </c>
      <c r="V93" s="176">
        <f t="shared" si="109"/>
        <v>0</v>
      </c>
      <c r="W93" s="176">
        <f t="shared" si="109"/>
        <v>0</v>
      </c>
      <c r="X93" s="176">
        <f t="shared" si="109"/>
        <v>0</v>
      </c>
      <c r="Y93" s="237">
        <f t="shared" si="109"/>
        <v>0</v>
      </c>
      <c r="Z93" s="225">
        <f t="shared" si="105"/>
        <v>0</v>
      </c>
      <c r="AA93" s="226">
        <f t="shared" si="106"/>
        <v>0</v>
      </c>
      <c r="AB93" s="175">
        <f t="shared" ref="AB93:AI93" si="110">SUM(AB13+AB27+AB33+AB39+AB45+AB51+AB87+AB72+AB79+AB152+AB160+AB162+AB164+AB166+AB168+AB170+AB172+AB174+AB21)</f>
        <v>0</v>
      </c>
      <c r="AC93" s="176">
        <f t="shared" si="110"/>
        <v>0</v>
      </c>
      <c r="AD93" s="176">
        <f t="shared" si="110"/>
        <v>0</v>
      </c>
      <c r="AE93" s="176">
        <f t="shared" si="110"/>
        <v>0</v>
      </c>
      <c r="AF93" s="176">
        <f t="shared" si="110"/>
        <v>0</v>
      </c>
      <c r="AG93" s="176">
        <f t="shared" si="110"/>
        <v>0</v>
      </c>
      <c r="AH93" s="176">
        <f t="shared" si="110"/>
        <v>0</v>
      </c>
      <c r="AI93" s="237">
        <f t="shared" si="110"/>
        <v>0</v>
      </c>
      <c r="AJ93" s="262">
        <f t="shared" si="103"/>
        <v>0</v>
      </c>
      <c r="AK93" s="263"/>
      <c r="AL93" s="823"/>
      <c r="AM93" s="264" t="str">
        <f>CONCATENATE(IF(AJ226&gt;SUM(AJ28,AJ34,AJ40,AJ46,AJ52,AJ88,AJ73,AJ79,AJ159,AJ163,AJ167,AJ171)," * This site has more started on ART than positives"&amp;CHAR(10),""),"")</f>
        <v/>
      </c>
      <c r="AN93" s="817"/>
      <c r="AO93" s="133">
        <v>48</v>
      </c>
      <c r="AQ93" s="130"/>
      <c r="AR93" s="130"/>
      <c r="AS93" s="130"/>
    </row>
    <row r="94" spans="1:45" s="2" customFormat="1">
      <c r="A94" s="991"/>
      <c r="B94" s="177" t="s">
        <v>192</v>
      </c>
      <c r="C94" s="146" t="s">
        <v>193</v>
      </c>
      <c r="D94" s="178">
        <f t="shared" ref="D94:Y94" si="111">SUM(D14+D22+D28+D34+D40+D46+D52+D88+D73+D80+D153,D161,D163,D165,D167,D169,D171,D173,D175)</f>
        <v>0</v>
      </c>
      <c r="E94" s="179">
        <f t="shared" si="111"/>
        <v>0</v>
      </c>
      <c r="F94" s="179">
        <f t="shared" si="111"/>
        <v>0</v>
      </c>
      <c r="G94" s="179">
        <f t="shared" si="111"/>
        <v>0</v>
      </c>
      <c r="H94" s="179">
        <f t="shared" si="111"/>
        <v>0</v>
      </c>
      <c r="I94" s="179">
        <f t="shared" si="111"/>
        <v>0</v>
      </c>
      <c r="J94" s="179">
        <f t="shared" si="111"/>
        <v>0</v>
      </c>
      <c r="K94" s="179">
        <f t="shared" si="111"/>
        <v>0</v>
      </c>
      <c r="L94" s="179">
        <f t="shared" si="111"/>
        <v>0</v>
      </c>
      <c r="M94" s="179">
        <f t="shared" si="111"/>
        <v>0</v>
      </c>
      <c r="N94" s="179">
        <f t="shared" si="111"/>
        <v>0</v>
      </c>
      <c r="O94" s="179">
        <f t="shared" si="111"/>
        <v>0</v>
      </c>
      <c r="P94" s="179">
        <f t="shared" si="111"/>
        <v>0</v>
      </c>
      <c r="Q94" s="179">
        <f t="shared" si="111"/>
        <v>0</v>
      </c>
      <c r="R94" s="179">
        <f t="shared" si="111"/>
        <v>0</v>
      </c>
      <c r="S94" s="179">
        <f t="shared" si="111"/>
        <v>0</v>
      </c>
      <c r="T94" s="179">
        <f t="shared" si="111"/>
        <v>0</v>
      </c>
      <c r="U94" s="179">
        <f t="shared" si="111"/>
        <v>0</v>
      </c>
      <c r="V94" s="179">
        <f t="shared" si="111"/>
        <v>0</v>
      </c>
      <c r="W94" s="179">
        <f t="shared" si="111"/>
        <v>0</v>
      </c>
      <c r="X94" s="179">
        <f t="shared" si="111"/>
        <v>0</v>
      </c>
      <c r="Y94" s="238">
        <f t="shared" si="111"/>
        <v>0</v>
      </c>
      <c r="Z94" s="228">
        <f t="shared" si="105"/>
        <v>0</v>
      </c>
      <c r="AA94" s="229">
        <f t="shared" si="106"/>
        <v>0</v>
      </c>
      <c r="AB94" s="178">
        <f t="shared" ref="AB94:AI94" si="112">SUM(AB14+AB22+AB28+AB34+AB40+AB46+AB52+AB88+AB73+AB80+AB153,AB161,AB163,AB165,AB167,AB169,AB171,AB173,AB175)</f>
        <v>0</v>
      </c>
      <c r="AC94" s="179">
        <f t="shared" si="112"/>
        <v>0</v>
      </c>
      <c r="AD94" s="179">
        <f t="shared" si="112"/>
        <v>0</v>
      </c>
      <c r="AE94" s="179">
        <f t="shared" si="112"/>
        <v>0</v>
      </c>
      <c r="AF94" s="179">
        <f t="shared" si="112"/>
        <v>0</v>
      </c>
      <c r="AG94" s="179">
        <f t="shared" si="112"/>
        <v>0</v>
      </c>
      <c r="AH94" s="179">
        <f t="shared" si="112"/>
        <v>0</v>
      </c>
      <c r="AI94" s="238">
        <f t="shared" si="112"/>
        <v>0</v>
      </c>
      <c r="AJ94" s="111">
        <f t="shared" si="103"/>
        <v>0</v>
      </c>
      <c r="AK94" s="263"/>
      <c r="AL94" s="823"/>
      <c r="AM94" s="265" t="str">
        <f>CONCATENATE(IF(AND(AJ226=0,SUM(AJ28,AJ34,AJ40,AJ46,AJ52,AJ88,AJ73,AJ79,AJ159,AJ163,AJ167,AJ171)&gt;0)," * This site has positives but none was started on ART"&amp;CHAR(10),""),"")</f>
        <v/>
      </c>
      <c r="AN94" s="817"/>
      <c r="AO94" s="133">
        <v>49</v>
      </c>
      <c r="AQ94" s="130"/>
      <c r="AR94" s="130"/>
      <c r="AS94" s="130"/>
    </row>
    <row r="95" spans="1:45" s="2" customFormat="1">
      <c r="A95" s="991"/>
      <c r="B95" s="177" t="s">
        <v>37</v>
      </c>
      <c r="C95" s="146" t="s">
        <v>195</v>
      </c>
      <c r="D95" s="178">
        <f>D81+D74+D89+D68+D59+D53+D47+D41+D35+D29+D23+D15</f>
        <v>0</v>
      </c>
      <c r="E95" s="179">
        <f t="shared" ref="E95:AI95" si="113">E81+E74+E89+E68+E59+E53+E47+E41+E35+E29+E23+E15</f>
        <v>0</v>
      </c>
      <c r="F95" s="179">
        <f t="shared" si="113"/>
        <v>0</v>
      </c>
      <c r="G95" s="179">
        <f t="shared" si="113"/>
        <v>0</v>
      </c>
      <c r="H95" s="179">
        <f t="shared" si="113"/>
        <v>0</v>
      </c>
      <c r="I95" s="179">
        <f t="shared" si="113"/>
        <v>0</v>
      </c>
      <c r="J95" s="179">
        <f t="shared" si="113"/>
        <v>0</v>
      </c>
      <c r="K95" s="179">
        <f t="shared" si="113"/>
        <v>0</v>
      </c>
      <c r="L95" s="179">
        <f t="shared" si="113"/>
        <v>0</v>
      </c>
      <c r="M95" s="179">
        <f t="shared" si="113"/>
        <v>0</v>
      </c>
      <c r="N95" s="179">
        <f t="shared" si="113"/>
        <v>0</v>
      </c>
      <c r="O95" s="179">
        <f t="shared" si="113"/>
        <v>0</v>
      </c>
      <c r="P95" s="179">
        <f t="shared" si="113"/>
        <v>0</v>
      </c>
      <c r="Q95" s="179">
        <f t="shared" si="113"/>
        <v>0</v>
      </c>
      <c r="R95" s="179">
        <f t="shared" si="113"/>
        <v>0</v>
      </c>
      <c r="S95" s="179">
        <f t="shared" si="113"/>
        <v>0</v>
      </c>
      <c r="T95" s="179">
        <f t="shared" si="113"/>
        <v>0</v>
      </c>
      <c r="U95" s="179">
        <f t="shared" si="113"/>
        <v>0</v>
      </c>
      <c r="V95" s="179">
        <f t="shared" si="113"/>
        <v>0</v>
      </c>
      <c r="W95" s="179">
        <f t="shared" si="113"/>
        <v>0</v>
      </c>
      <c r="X95" s="179">
        <f t="shared" si="113"/>
        <v>0</v>
      </c>
      <c r="Y95" s="238">
        <f t="shared" si="113"/>
        <v>0</v>
      </c>
      <c r="Z95" s="178">
        <f t="shared" si="113"/>
        <v>0</v>
      </c>
      <c r="AA95" s="238">
        <f t="shared" si="113"/>
        <v>0</v>
      </c>
      <c r="AB95" s="178">
        <f t="shared" si="113"/>
        <v>0</v>
      </c>
      <c r="AC95" s="179">
        <f t="shared" si="113"/>
        <v>0</v>
      </c>
      <c r="AD95" s="179">
        <f t="shared" si="113"/>
        <v>0</v>
      </c>
      <c r="AE95" s="179">
        <f t="shared" si="113"/>
        <v>0</v>
      </c>
      <c r="AF95" s="179">
        <f t="shared" si="113"/>
        <v>0</v>
      </c>
      <c r="AG95" s="179">
        <f t="shared" si="113"/>
        <v>0</v>
      </c>
      <c r="AH95" s="179">
        <f t="shared" si="113"/>
        <v>0</v>
      </c>
      <c r="AI95" s="238">
        <f t="shared" si="113"/>
        <v>0</v>
      </c>
      <c r="AJ95" s="111">
        <f t="shared" si="103"/>
        <v>0</v>
      </c>
      <c r="AK95" s="266"/>
      <c r="AL95" s="823"/>
      <c r="AM95" s="267"/>
      <c r="AN95" s="817"/>
      <c r="AO95" s="133"/>
      <c r="AQ95" s="130"/>
      <c r="AR95" s="130"/>
      <c r="AS95" s="130"/>
    </row>
    <row r="96" spans="1:45" s="2" customFormat="1">
      <c r="A96" s="991"/>
      <c r="B96" s="177" t="s">
        <v>41</v>
      </c>
      <c r="C96" s="146" t="s">
        <v>197</v>
      </c>
      <c r="D96" s="178">
        <f t="shared" ref="D96:AI96" si="114">D82+D75+D90+D69+D60+D54+D48+D42+D36+D30+D24+D16</f>
        <v>0</v>
      </c>
      <c r="E96" s="179">
        <f t="shared" si="114"/>
        <v>0</v>
      </c>
      <c r="F96" s="179">
        <f t="shared" si="114"/>
        <v>0</v>
      </c>
      <c r="G96" s="179">
        <f t="shared" si="114"/>
        <v>0</v>
      </c>
      <c r="H96" s="179">
        <f t="shared" si="114"/>
        <v>0</v>
      </c>
      <c r="I96" s="179">
        <f t="shared" si="114"/>
        <v>0</v>
      </c>
      <c r="J96" s="179">
        <f t="shared" si="114"/>
        <v>0</v>
      </c>
      <c r="K96" s="179">
        <f t="shared" si="114"/>
        <v>0</v>
      </c>
      <c r="L96" s="179">
        <f t="shared" si="114"/>
        <v>0</v>
      </c>
      <c r="M96" s="179">
        <f t="shared" si="114"/>
        <v>0</v>
      </c>
      <c r="N96" s="179">
        <f t="shared" si="114"/>
        <v>0</v>
      </c>
      <c r="O96" s="179">
        <f t="shared" si="114"/>
        <v>0</v>
      </c>
      <c r="P96" s="179">
        <f t="shared" si="114"/>
        <v>0</v>
      </c>
      <c r="Q96" s="179">
        <f t="shared" si="114"/>
        <v>0</v>
      </c>
      <c r="R96" s="179">
        <f t="shared" si="114"/>
        <v>0</v>
      </c>
      <c r="S96" s="179">
        <f t="shared" si="114"/>
        <v>0</v>
      </c>
      <c r="T96" s="179">
        <f t="shared" si="114"/>
        <v>0</v>
      </c>
      <c r="U96" s="179">
        <f t="shared" si="114"/>
        <v>0</v>
      </c>
      <c r="V96" s="179">
        <f t="shared" si="114"/>
        <v>0</v>
      </c>
      <c r="W96" s="179">
        <f t="shared" si="114"/>
        <v>0</v>
      </c>
      <c r="X96" s="179">
        <f t="shared" si="114"/>
        <v>0</v>
      </c>
      <c r="Y96" s="238">
        <f t="shared" si="114"/>
        <v>0</v>
      </c>
      <c r="Z96" s="178">
        <f t="shared" si="114"/>
        <v>0</v>
      </c>
      <c r="AA96" s="238">
        <f t="shared" si="114"/>
        <v>0</v>
      </c>
      <c r="AB96" s="178">
        <f t="shared" si="114"/>
        <v>0</v>
      </c>
      <c r="AC96" s="179">
        <f t="shared" si="114"/>
        <v>0</v>
      </c>
      <c r="AD96" s="179">
        <f t="shared" si="114"/>
        <v>0</v>
      </c>
      <c r="AE96" s="179">
        <f t="shared" si="114"/>
        <v>0</v>
      </c>
      <c r="AF96" s="179">
        <f t="shared" si="114"/>
        <v>0</v>
      </c>
      <c r="AG96" s="179">
        <f t="shared" si="114"/>
        <v>0</v>
      </c>
      <c r="AH96" s="179">
        <f t="shared" si="114"/>
        <v>0</v>
      </c>
      <c r="AI96" s="238">
        <f t="shared" si="114"/>
        <v>0</v>
      </c>
      <c r="AJ96" s="111">
        <f t="shared" si="103"/>
        <v>0</v>
      </c>
      <c r="AK96" s="266"/>
      <c r="AL96" s="823"/>
      <c r="AM96" s="267"/>
      <c r="AN96" s="817"/>
      <c r="AO96" s="133"/>
      <c r="AQ96" s="130"/>
      <c r="AR96" s="130"/>
      <c r="AS96" s="130"/>
    </row>
    <row r="97" spans="1:45" s="2" customFormat="1">
      <c r="A97" s="991"/>
      <c r="B97" s="177" t="s">
        <v>44</v>
      </c>
      <c r="C97" s="146" t="s">
        <v>199</v>
      </c>
      <c r="D97" s="178">
        <f t="shared" ref="D97:AI97" si="115">D83+D76+D91+D70+D61+D55+D49+D43+D37+D31+D25+D17</f>
        <v>0</v>
      </c>
      <c r="E97" s="179">
        <f t="shared" si="115"/>
        <v>0</v>
      </c>
      <c r="F97" s="179">
        <f t="shared" si="115"/>
        <v>0</v>
      </c>
      <c r="G97" s="179">
        <f t="shared" si="115"/>
        <v>0</v>
      </c>
      <c r="H97" s="179">
        <f t="shared" si="115"/>
        <v>0</v>
      </c>
      <c r="I97" s="179">
        <f t="shared" si="115"/>
        <v>0</v>
      </c>
      <c r="J97" s="179">
        <f t="shared" si="115"/>
        <v>0</v>
      </c>
      <c r="K97" s="179">
        <f t="shared" si="115"/>
        <v>0</v>
      </c>
      <c r="L97" s="179">
        <f t="shared" si="115"/>
        <v>0</v>
      </c>
      <c r="M97" s="179">
        <f t="shared" si="115"/>
        <v>0</v>
      </c>
      <c r="N97" s="179">
        <f t="shared" si="115"/>
        <v>0</v>
      </c>
      <c r="O97" s="179">
        <f t="shared" si="115"/>
        <v>0</v>
      </c>
      <c r="P97" s="179">
        <f t="shared" si="115"/>
        <v>0</v>
      </c>
      <c r="Q97" s="179">
        <f t="shared" si="115"/>
        <v>0</v>
      </c>
      <c r="R97" s="179">
        <f t="shared" si="115"/>
        <v>0</v>
      </c>
      <c r="S97" s="179">
        <f t="shared" si="115"/>
        <v>0</v>
      </c>
      <c r="T97" s="179">
        <f t="shared" si="115"/>
        <v>0</v>
      </c>
      <c r="U97" s="179">
        <f t="shared" si="115"/>
        <v>0</v>
      </c>
      <c r="V97" s="179">
        <f t="shared" si="115"/>
        <v>0</v>
      </c>
      <c r="W97" s="179">
        <f t="shared" si="115"/>
        <v>0</v>
      </c>
      <c r="X97" s="179">
        <f t="shared" si="115"/>
        <v>0</v>
      </c>
      <c r="Y97" s="238">
        <f t="shared" si="115"/>
        <v>0</v>
      </c>
      <c r="Z97" s="178">
        <f t="shared" si="115"/>
        <v>0</v>
      </c>
      <c r="AA97" s="238">
        <f t="shared" si="115"/>
        <v>0</v>
      </c>
      <c r="AB97" s="178">
        <f t="shared" si="115"/>
        <v>0</v>
      </c>
      <c r="AC97" s="179">
        <f t="shared" si="115"/>
        <v>0</v>
      </c>
      <c r="AD97" s="179">
        <f t="shared" si="115"/>
        <v>0</v>
      </c>
      <c r="AE97" s="179">
        <f t="shared" si="115"/>
        <v>0</v>
      </c>
      <c r="AF97" s="179">
        <f t="shared" si="115"/>
        <v>0</v>
      </c>
      <c r="AG97" s="179">
        <f t="shared" si="115"/>
        <v>0</v>
      </c>
      <c r="AH97" s="179">
        <f t="shared" si="115"/>
        <v>0</v>
      </c>
      <c r="AI97" s="238">
        <f t="shared" si="115"/>
        <v>0</v>
      </c>
      <c r="AJ97" s="111">
        <f t="shared" si="103"/>
        <v>0</v>
      </c>
      <c r="AK97" s="266"/>
      <c r="AL97" s="823"/>
      <c r="AM97" s="267"/>
      <c r="AN97" s="817"/>
      <c r="AO97" s="133"/>
      <c r="AQ97" s="130"/>
      <c r="AR97" s="130"/>
      <c r="AS97" s="130"/>
    </row>
    <row r="98" spans="1:45" s="2" customFormat="1">
      <c r="A98" s="992"/>
      <c r="B98" s="180" t="s">
        <v>47</v>
      </c>
      <c r="C98" s="147" t="s">
        <v>201</v>
      </c>
      <c r="D98" s="181">
        <f t="shared" ref="D98:AI98" si="116">D84+D77+D92+D71+D62+D56+D50+D44+D38+D32+D26+D18</f>
        <v>0</v>
      </c>
      <c r="E98" s="182">
        <f t="shared" si="116"/>
        <v>0</v>
      </c>
      <c r="F98" s="182">
        <f t="shared" si="116"/>
        <v>0</v>
      </c>
      <c r="G98" s="182">
        <f t="shared" si="116"/>
        <v>0</v>
      </c>
      <c r="H98" s="182">
        <f t="shared" si="116"/>
        <v>0</v>
      </c>
      <c r="I98" s="182">
        <f t="shared" si="116"/>
        <v>0</v>
      </c>
      <c r="J98" s="182">
        <f t="shared" si="116"/>
        <v>0</v>
      </c>
      <c r="K98" s="182">
        <f t="shared" si="116"/>
        <v>0</v>
      </c>
      <c r="L98" s="182">
        <f t="shared" si="116"/>
        <v>0</v>
      </c>
      <c r="M98" s="182">
        <f t="shared" si="116"/>
        <v>0</v>
      </c>
      <c r="N98" s="182">
        <f t="shared" si="116"/>
        <v>0</v>
      </c>
      <c r="O98" s="182">
        <f t="shared" si="116"/>
        <v>0</v>
      </c>
      <c r="P98" s="182">
        <f t="shared" si="116"/>
        <v>0</v>
      </c>
      <c r="Q98" s="182">
        <f t="shared" si="116"/>
        <v>0</v>
      </c>
      <c r="R98" s="182">
        <f t="shared" si="116"/>
        <v>0</v>
      </c>
      <c r="S98" s="182">
        <f t="shared" si="116"/>
        <v>0</v>
      </c>
      <c r="T98" s="182">
        <f t="shared" si="116"/>
        <v>0</v>
      </c>
      <c r="U98" s="182">
        <f t="shared" si="116"/>
        <v>0</v>
      </c>
      <c r="V98" s="182">
        <f t="shared" si="116"/>
        <v>0</v>
      </c>
      <c r="W98" s="182">
        <f t="shared" si="116"/>
        <v>0</v>
      </c>
      <c r="X98" s="182">
        <f t="shared" si="116"/>
        <v>0</v>
      </c>
      <c r="Y98" s="239">
        <f t="shared" si="116"/>
        <v>0</v>
      </c>
      <c r="Z98" s="181">
        <f t="shared" si="116"/>
        <v>0</v>
      </c>
      <c r="AA98" s="239">
        <f t="shared" si="116"/>
        <v>0</v>
      </c>
      <c r="AB98" s="181">
        <f t="shared" si="116"/>
        <v>0</v>
      </c>
      <c r="AC98" s="182">
        <f t="shared" si="116"/>
        <v>0</v>
      </c>
      <c r="AD98" s="182">
        <f t="shared" si="116"/>
        <v>0</v>
      </c>
      <c r="AE98" s="182">
        <f t="shared" si="116"/>
        <v>0</v>
      </c>
      <c r="AF98" s="182">
        <f t="shared" si="116"/>
        <v>0</v>
      </c>
      <c r="AG98" s="182">
        <f t="shared" si="116"/>
        <v>0</v>
      </c>
      <c r="AH98" s="182">
        <f t="shared" si="116"/>
        <v>0</v>
      </c>
      <c r="AI98" s="239">
        <f t="shared" si="116"/>
        <v>0</v>
      </c>
      <c r="AJ98" s="117">
        <f t="shared" si="103"/>
        <v>0</v>
      </c>
      <c r="AK98" s="266"/>
      <c r="AL98" s="824"/>
      <c r="AM98" s="267"/>
      <c r="AN98" s="818"/>
      <c r="AO98" s="133"/>
      <c r="AQ98" s="130"/>
      <c r="AR98" s="130"/>
      <c r="AS98" s="130"/>
    </row>
    <row r="99" spans="1:45" ht="31.5" thickBot="1">
      <c r="A99" s="993" t="s">
        <v>920</v>
      </c>
      <c r="B99" s="837"/>
      <c r="C99" s="837"/>
      <c r="D99" s="837"/>
      <c r="E99" s="837"/>
      <c r="F99" s="837"/>
      <c r="G99" s="837"/>
      <c r="H99" s="837"/>
      <c r="I99" s="837"/>
      <c r="J99" s="837"/>
      <c r="K99" s="837"/>
      <c r="L99" s="837"/>
      <c r="M99" s="837"/>
      <c r="N99" s="837"/>
      <c r="O99" s="837"/>
      <c r="P99" s="837"/>
      <c r="Q99" s="837"/>
      <c r="R99" s="837"/>
      <c r="S99" s="837"/>
      <c r="T99" s="837"/>
      <c r="U99" s="837"/>
      <c r="V99" s="837"/>
      <c r="W99" s="837"/>
      <c r="X99" s="837"/>
      <c r="Y99" s="837"/>
      <c r="Z99" s="837"/>
      <c r="AA99" s="837"/>
      <c r="AB99" s="837"/>
      <c r="AC99" s="837"/>
      <c r="AD99" s="837"/>
      <c r="AE99" s="837"/>
      <c r="AF99" s="837"/>
      <c r="AG99" s="837"/>
      <c r="AH99" s="837"/>
      <c r="AI99" s="837"/>
      <c r="AJ99" s="834"/>
      <c r="AK99" s="837"/>
      <c r="AL99" s="834"/>
      <c r="AM99" s="834"/>
      <c r="AN99" s="994"/>
      <c r="AO99" s="283">
        <v>50</v>
      </c>
    </row>
    <row r="100" spans="1:45" ht="29.25" customHeight="1">
      <c r="A100" s="946" t="s">
        <v>204</v>
      </c>
      <c r="B100" s="42" t="s">
        <v>29</v>
      </c>
      <c r="C100" s="18" t="s">
        <v>205</v>
      </c>
      <c r="D100" s="184"/>
      <c r="E100" s="185"/>
      <c r="F100" s="24"/>
      <c r="G100" s="24"/>
      <c r="H100" s="24"/>
      <c r="I100" s="24"/>
      <c r="J100" s="24"/>
      <c r="K100" s="24"/>
      <c r="L100" s="24"/>
      <c r="M100" s="25"/>
      <c r="N100" s="24"/>
      <c r="O100" s="25"/>
      <c r="P100" s="24"/>
      <c r="Q100" s="25"/>
      <c r="R100" s="24"/>
      <c r="S100" s="25"/>
      <c r="T100" s="24"/>
      <c r="U100" s="25"/>
      <c r="V100" s="24"/>
      <c r="W100" s="25"/>
      <c r="X100" s="24"/>
      <c r="Y100" s="25"/>
      <c r="Z100" s="24"/>
      <c r="AA100" s="83"/>
      <c r="AB100" s="240"/>
      <c r="AC100" s="241"/>
      <c r="AD100" s="241"/>
      <c r="AE100" s="241"/>
      <c r="AF100" s="241"/>
      <c r="AG100" s="241"/>
      <c r="AH100" s="241"/>
      <c r="AI100" s="268"/>
      <c r="AJ100" s="269">
        <f t="shared" ref="AJ100:AJ103" si="117">SUM(D100:AA100)</f>
        <v>0</v>
      </c>
      <c r="AK100" s="849" t="str">
        <f>CONCATENATE(IF(D101&gt;D100," * Positive FSW for Age "&amp;D6&amp;" "&amp;D7&amp;" is more than Tested FSW"&amp;CHAR(10),""),IF(E101&gt;E100," * Positive FSW for Age "&amp;D6&amp;" "&amp;E7&amp;" is more than Tested FSW"&amp;CHAR(10),""),IF(F101&gt;F100," * Positive FSW for Age "&amp;F6&amp;" "&amp;F7&amp;" is more than Tested FSW"&amp;CHAR(10),""),IF(G101&gt;G100," * Positive FSW for Age "&amp;F6&amp;" "&amp;G7&amp;" is more than Tested FSW"&amp;CHAR(10),""),IF(H101&gt;H100," * Positive FSW for Age "&amp;H6&amp;" "&amp;H7&amp;" is more than Tested FSW"&amp;CHAR(10),""),IF(I101&gt;I100," * Positive FSW for Age "&amp;H6&amp;" "&amp;I7&amp;" is more than Tested FSW"&amp;CHAR(10),""),IF(J101&gt;J100," * Positive FSW for Age "&amp;J6&amp;" "&amp;J7&amp;" is more than Tested FSW"&amp;CHAR(10),""),IF(K101&gt;K100," * Positive FSW for Age "&amp;J6&amp;" "&amp;K7&amp;" is more than Tested FSW"&amp;CHAR(10),""),IF(L101&gt;L100," * Positive FSW for Age "&amp;L6&amp;" "&amp;L7&amp;" is more than Tested FSW"&amp;CHAR(10),""),IF(M101&gt;M100," * Positive FSW for Age "&amp;L6&amp;" "&amp;M7&amp;" is more than Tested FSW"&amp;CHAR(10),""),IF(N101&gt;N100," * Positive FSW for Age "&amp;N6&amp;" "&amp;N7&amp;" is more than Tested FSW"&amp;CHAR(10),""),IF(O101&gt;O100," * Positive FSW for Age "&amp;N6&amp;" "&amp;O7&amp;" is more than Tested FSW"&amp;CHAR(10),""),IF(P101&gt;P100," * Positive FSW for Age "&amp;P6&amp;" "&amp;P7&amp;" is more than Tested FSW"&amp;CHAR(10),""),IF(Q101&gt;Q100," * Positive FSW for Age "&amp;P6&amp;" "&amp;Q7&amp;" is more than Tested FSW"&amp;CHAR(10),""),IF(R101&gt;R100," * Positive FSW for Age "&amp;R6&amp;" "&amp;R7&amp;" is more than Tested FSW"&amp;CHAR(10),""),IF(S101&gt;S100," * Positive FSW for Age "&amp;R6&amp;" "&amp;S7&amp;" is more than Tested FSW"&amp;CHAR(10),""),IF(T101&gt;T100," * Positive FSW for Age "&amp;T6&amp;" "&amp;T7&amp;" is more than Tested FSW"&amp;CHAR(10),""),IF(U101&gt;U100," * Positive FSW for Age "&amp;T6&amp;" "&amp;U7&amp;" is more than Tested FSW"&amp;CHAR(10),""),IF(V101&gt;V100," * Positive FSW for Age "&amp;V6&amp;" "&amp;V7&amp;" is more than Tested FSW"&amp;CHAR(10),""),IF(W101&gt;W100," * Positive FSW for Age "&amp;V6&amp;" "&amp;W7&amp;" is more than Tested FSW"&amp;CHAR(10),""),IF(X101&gt;X100," * Positive FSW for Age "&amp;X6&amp;" "&amp;X7&amp;" is more than Tested FSW"&amp;CHAR(10),""),IF(Y101&gt;Y100," * Positive FSW for Age "&amp;X6&amp;" "&amp;Y7&amp;" is more than Tested FSW"&amp;CHAR(10),""),IF(Z101&gt;Z100," * Positive FSW for Age "&amp;Z6&amp;" "&amp;Z7&amp;" is more than Tested FSW"&amp;CHAR(10),""),IF(AA101&gt;AA100," * Positive FSW for Age "&amp;Z6&amp;" "&amp;AA7&amp;" is more than Tested FSW"&amp;CHAR(10),""))</f>
        <v/>
      </c>
      <c r="AL100" s="822"/>
      <c r="AM100" s="113" t="str">
        <f>CONCATENATE(IF(AND(IFERROR((AJ101*100)/AJ100,0)&gt;10,AJ101&gt;5)," * This facility has a high positivity rate for Index Testing. Kindly confirm if this is the true reflection"&amp;CHAR(10),""),"")</f>
        <v/>
      </c>
      <c r="AN100" s="816"/>
      <c r="AO100" s="283">
        <v>44</v>
      </c>
    </row>
    <row r="101" spans="1:45" ht="31.5" thickBot="1">
      <c r="A101" s="948"/>
      <c r="B101" s="186" t="s">
        <v>33</v>
      </c>
      <c r="C101" s="19" t="s">
        <v>208</v>
      </c>
      <c r="D101" s="140"/>
      <c r="E101" s="141"/>
      <c r="F101" s="51"/>
      <c r="G101" s="51"/>
      <c r="H101" s="51"/>
      <c r="I101" s="51"/>
      <c r="J101" s="51"/>
      <c r="K101" s="51"/>
      <c r="L101" s="51"/>
      <c r="M101" s="205"/>
      <c r="N101" s="51"/>
      <c r="O101" s="205"/>
      <c r="P101" s="51"/>
      <c r="Q101" s="205"/>
      <c r="R101" s="51"/>
      <c r="S101" s="205"/>
      <c r="T101" s="51"/>
      <c r="U101" s="205"/>
      <c r="V101" s="51"/>
      <c r="W101" s="205"/>
      <c r="X101" s="51"/>
      <c r="Y101" s="205"/>
      <c r="Z101" s="51"/>
      <c r="AA101" s="242"/>
      <c r="AB101" s="240"/>
      <c r="AC101" s="241"/>
      <c r="AD101" s="241"/>
      <c r="AE101" s="241"/>
      <c r="AF101" s="241"/>
      <c r="AG101" s="241"/>
      <c r="AH101" s="241"/>
      <c r="AI101" s="268"/>
      <c r="AJ101" s="270">
        <f t="shared" si="117"/>
        <v>0</v>
      </c>
      <c r="AK101" s="849"/>
      <c r="AL101" s="823"/>
      <c r="AM101" s="113"/>
      <c r="AN101" s="817"/>
      <c r="AO101" s="283">
        <v>45</v>
      </c>
    </row>
    <row r="102" spans="1:45" ht="29.25" customHeight="1">
      <c r="A102" s="946" t="s">
        <v>210</v>
      </c>
      <c r="B102" s="42" t="s">
        <v>29</v>
      </c>
      <c r="C102" s="18" t="s">
        <v>211</v>
      </c>
      <c r="D102" s="184"/>
      <c r="E102" s="185"/>
      <c r="F102" s="24"/>
      <c r="G102" s="24"/>
      <c r="H102" s="24"/>
      <c r="I102" s="24"/>
      <c r="J102" s="24"/>
      <c r="K102" s="24"/>
      <c r="L102" s="25"/>
      <c r="M102" s="24"/>
      <c r="N102" s="25"/>
      <c r="O102" s="24"/>
      <c r="P102" s="25"/>
      <c r="Q102" s="24"/>
      <c r="R102" s="25"/>
      <c r="S102" s="24"/>
      <c r="T102" s="25"/>
      <c r="U102" s="24"/>
      <c r="V102" s="25"/>
      <c r="W102" s="24"/>
      <c r="X102" s="25"/>
      <c r="Y102" s="24"/>
      <c r="Z102" s="25"/>
      <c r="AA102" s="24"/>
      <c r="AB102" s="240"/>
      <c r="AC102" s="241"/>
      <c r="AD102" s="241"/>
      <c r="AE102" s="241"/>
      <c r="AF102" s="241"/>
      <c r="AG102" s="241"/>
      <c r="AH102" s="241"/>
      <c r="AI102" s="268"/>
      <c r="AJ102" s="269">
        <f t="shared" si="117"/>
        <v>0</v>
      </c>
      <c r="AK102" s="263" t="str">
        <f>CONCATENATE(IF(D103&gt;D102," * Positive MSM for Age "&amp;D6&amp;" "&amp;D7&amp;" is more than Tested MSM"&amp;CHAR(10),""),IF(E103&gt;E102," * Positive MSM for Age "&amp;D6&amp;" "&amp;E7&amp;" is more than Tested MSM"&amp;CHAR(10),""),IF(F103&gt;F102," * Positive MSM for Age "&amp;F6&amp;" "&amp;F7&amp;" is more than Tested MSM"&amp;CHAR(10),""),IF(G103&gt;G102," * Positive MSM for Age "&amp;F6&amp;" "&amp;G7&amp;" is more than Tested MSM"&amp;CHAR(10),""),IF(H103&gt;H102," * Positive MSM for Age "&amp;H6&amp;" "&amp;H7&amp;" is more than Tested MSM"&amp;CHAR(10),""),IF(I103&gt;I102," * Positive MSM for Age "&amp;H6&amp;" "&amp;I7&amp;" is more than Tested MSM"&amp;CHAR(10),""),IF(J103&gt;J102," * Positive MSM for Age "&amp;J6&amp;" "&amp;J7&amp;" is more than Tested MSM"&amp;CHAR(10),""),IF(K103&gt;K102," * Positive MSM for Age "&amp;J6&amp;" "&amp;K7&amp;" is more than Tested MSM"&amp;CHAR(10),""),IF(L103&gt;L102," * Positive MSM for Age "&amp;L6&amp;" "&amp;L7&amp;" is more than Tested MSM"&amp;CHAR(10),""),IF(M103&gt;M102," * Positive MSM for Age "&amp;L6&amp;" "&amp;M7&amp;" is more than Tested MSM"&amp;CHAR(10),""),IF(N103&gt;N102," * Positive MSM for Age "&amp;N6&amp;" "&amp;N7&amp;" is more than Tested MSM"&amp;CHAR(10),""),IF(O103&gt;O102," * Positive MSM for Age "&amp;N6&amp;" "&amp;O7&amp;" is more than Tested MSM"&amp;CHAR(10),""),IF(P103&gt;P102," * Positive MSM for Age "&amp;P6&amp;" "&amp;P7&amp;" is more than Tested MSM"&amp;CHAR(10),""),IF(Q103&gt;Q102," * Positive MSM for Age "&amp;P6&amp;" "&amp;Q7&amp;" is more than Tested MSM"&amp;CHAR(10),""),IF(R103&gt;R102," * Positive MSM for Age "&amp;R6&amp;" "&amp;R7&amp;" is more than Tested MSM"&amp;CHAR(10),""),IF(S103&gt;S102," * Positive MSM for Age "&amp;R6&amp;" "&amp;S7&amp;" is more than Tested MSM"&amp;CHAR(10),""),IF(T103&gt;T102," * Positive MSM for Age "&amp;T6&amp;" "&amp;T7&amp;" is more than Tested MSM"&amp;CHAR(10),""),IF(U103&gt;U102," * Positive MSM for Age "&amp;T6&amp;" "&amp;U7&amp;" is more than Tested MSM"&amp;CHAR(10),""),IF(V103&gt;V102," * Positive MSM for Age "&amp;V6&amp;" "&amp;V7&amp;" is more than Tested MSM"&amp;CHAR(10),""),IF(W103&gt;W102," * Positive MSM for Age "&amp;V6&amp;" "&amp;W7&amp;" is more than Tested MSM"&amp;CHAR(10),""),IF(X103&gt;X102," * Positive MSM for Age "&amp;X6&amp;" "&amp;X7&amp;" is more than Tested MSM"&amp;CHAR(10),""),IF(Y103&gt;Y102," * Positive MSM for Age "&amp;X6&amp;" "&amp;Y7&amp;" is more than Tested MSM"&amp;CHAR(10),""),IF(Z103&gt;Z102," * Positive MSM for Age "&amp;Z6&amp;" "&amp;Z7&amp;" is more than Tested MSM"&amp;CHAR(10),""),IF(AA103&gt;AA102," * Positive MSM for Age "&amp;Z6&amp;" "&amp;AA7&amp;" is more than Tested MSM"&amp;CHAR(10),""))</f>
        <v/>
      </c>
      <c r="AL102" s="823"/>
      <c r="AM102" s="113" t="str">
        <f>CONCATENATE(IF(AND(IFERROR((AJ103*100)/AJ102,0)&gt;10,AJ103&gt;5)," * This facility has a high positivity rate for Index Testing. Kindly confirm if this is the true reflection"&amp;CHAR(10),""),"")</f>
        <v/>
      </c>
      <c r="AN102" s="817"/>
      <c r="AO102" s="283">
        <v>44</v>
      </c>
    </row>
    <row r="103" spans="1:45" ht="31.5" thickBot="1">
      <c r="A103" s="948"/>
      <c r="B103" s="186" t="s">
        <v>33</v>
      </c>
      <c r="C103" s="19" t="s">
        <v>213</v>
      </c>
      <c r="D103" s="140"/>
      <c r="E103" s="141"/>
      <c r="F103" s="51"/>
      <c r="G103" s="51"/>
      <c r="H103" s="51"/>
      <c r="I103" s="51"/>
      <c r="J103" s="51"/>
      <c r="K103" s="51"/>
      <c r="L103" s="205"/>
      <c r="M103" s="51"/>
      <c r="N103" s="205"/>
      <c r="O103" s="51"/>
      <c r="P103" s="205"/>
      <c r="Q103" s="51"/>
      <c r="R103" s="205"/>
      <c r="S103" s="51"/>
      <c r="T103" s="205"/>
      <c r="U103" s="51"/>
      <c r="V103" s="205"/>
      <c r="W103" s="51"/>
      <c r="X103" s="205"/>
      <c r="Y103" s="51"/>
      <c r="Z103" s="205"/>
      <c r="AA103" s="51"/>
      <c r="AB103" s="240"/>
      <c r="AC103" s="241"/>
      <c r="AD103" s="241"/>
      <c r="AE103" s="241"/>
      <c r="AF103" s="241"/>
      <c r="AG103" s="241"/>
      <c r="AH103" s="241"/>
      <c r="AI103" s="268"/>
      <c r="AJ103" s="270">
        <f t="shared" si="117"/>
        <v>0</v>
      </c>
      <c r="AK103" s="263"/>
      <c r="AL103" s="824"/>
      <c r="AM103" s="113"/>
      <c r="AN103" s="818"/>
      <c r="AO103" s="283">
        <v>45</v>
      </c>
    </row>
    <row r="104" spans="1:45" ht="31.5" thickBot="1">
      <c r="A104" s="833" t="s">
        <v>215</v>
      </c>
      <c r="B104" s="834"/>
      <c r="C104" s="837"/>
      <c r="D104" s="834"/>
      <c r="E104" s="834"/>
      <c r="F104" s="834"/>
      <c r="G104" s="834"/>
      <c r="H104" s="834"/>
      <c r="I104" s="834"/>
      <c r="J104" s="834"/>
      <c r="K104" s="834"/>
      <c r="L104" s="834"/>
      <c r="M104" s="834"/>
      <c r="N104" s="834"/>
      <c r="O104" s="834"/>
      <c r="P104" s="834"/>
      <c r="Q104" s="834"/>
      <c r="R104" s="834"/>
      <c r="S104" s="834"/>
      <c r="T104" s="834"/>
      <c r="U104" s="834"/>
      <c r="V104" s="834"/>
      <c r="W104" s="834"/>
      <c r="X104" s="834"/>
      <c r="Y104" s="834"/>
      <c r="Z104" s="834"/>
      <c r="AA104" s="834"/>
      <c r="AB104" s="837"/>
      <c r="AC104" s="837"/>
      <c r="AD104" s="837"/>
      <c r="AE104" s="837"/>
      <c r="AF104" s="837"/>
      <c r="AG104" s="837"/>
      <c r="AH104" s="837"/>
      <c r="AI104" s="837"/>
      <c r="AJ104" s="834"/>
      <c r="AK104" s="834"/>
      <c r="AL104" s="837"/>
      <c r="AM104" s="834"/>
      <c r="AN104" s="844"/>
      <c r="AO104" s="283">
        <v>50</v>
      </c>
    </row>
    <row r="105" spans="1:45" ht="26.25" customHeight="1">
      <c r="A105" s="979" t="s">
        <v>3</v>
      </c>
      <c r="B105" s="977" t="s">
        <v>4</v>
      </c>
      <c r="C105" s="892" t="s">
        <v>5</v>
      </c>
      <c r="D105" s="1023"/>
      <c r="E105" s="1023"/>
      <c r="F105" s="1023"/>
      <c r="G105" s="1023"/>
      <c r="H105" s="1023"/>
      <c r="I105" s="1023"/>
      <c r="J105" s="1010" t="s">
        <v>891</v>
      </c>
      <c r="K105" s="1010"/>
      <c r="L105" s="1010" t="s">
        <v>892</v>
      </c>
      <c r="M105" s="1010"/>
      <c r="N105" s="1010" t="s">
        <v>893</v>
      </c>
      <c r="O105" s="1010"/>
      <c r="P105" s="1010" t="s">
        <v>894</v>
      </c>
      <c r="Q105" s="1010"/>
      <c r="R105" s="1010" t="s">
        <v>895</v>
      </c>
      <c r="S105" s="1010"/>
      <c r="T105" s="1010" t="s">
        <v>896</v>
      </c>
      <c r="U105" s="1010"/>
      <c r="V105" s="1010" t="s">
        <v>897</v>
      </c>
      <c r="W105" s="1010"/>
      <c r="X105" s="1010" t="s">
        <v>898</v>
      </c>
      <c r="Y105" s="1010"/>
      <c r="Z105" s="1010" t="s">
        <v>899</v>
      </c>
      <c r="AA105" s="1010"/>
      <c r="AB105" s="1006"/>
      <c r="AC105" s="906"/>
      <c r="AD105" s="906"/>
      <c r="AE105" s="906"/>
      <c r="AF105" s="906"/>
      <c r="AG105" s="906"/>
      <c r="AH105" s="906"/>
      <c r="AI105" s="907"/>
      <c r="AJ105" s="969" t="s">
        <v>904</v>
      </c>
      <c r="AK105" s="850" t="s">
        <v>905</v>
      </c>
      <c r="AL105" s="925" t="s">
        <v>906</v>
      </c>
      <c r="AM105" s="932" t="s">
        <v>907</v>
      </c>
      <c r="AN105" s="928" t="s">
        <v>907</v>
      </c>
      <c r="AO105" s="283">
        <v>51</v>
      </c>
    </row>
    <row r="106" spans="1:45" ht="27" customHeight="1">
      <c r="A106" s="945"/>
      <c r="B106" s="978"/>
      <c r="C106" s="1003"/>
      <c r="D106" s="1024"/>
      <c r="E106" s="1024"/>
      <c r="F106" s="1024"/>
      <c r="G106" s="1024"/>
      <c r="H106" s="1024"/>
      <c r="I106" s="1024"/>
      <c r="J106" s="82" t="s">
        <v>908</v>
      </c>
      <c r="K106" s="82" t="s">
        <v>909</v>
      </c>
      <c r="L106" s="82" t="s">
        <v>908</v>
      </c>
      <c r="M106" s="82" t="s">
        <v>909</v>
      </c>
      <c r="N106" s="82" t="s">
        <v>908</v>
      </c>
      <c r="O106" s="82" t="s">
        <v>909</v>
      </c>
      <c r="P106" s="82" t="s">
        <v>908</v>
      </c>
      <c r="Q106" s="82" t="s">
        <v>909</v>
      </c>
      <c r="R106" s="82" t="s">
        <v>908</v>
      </c>
      <c r="S106" s="82" t="s">
        <v>909</v>
      </c>
      <c r="T106" s="82" t="s">
        <v>908</v>
      </c>
      <c r="U106" s="82" t="s">
        <v>909</v>
      </c>
      <c r="V106" s="82" t="s">
        <v>908</v>
      </c>
      <c r="W106" s="82" t="s">
        <v>909</v>
      </c>
      <c r="X106" s="82" t="s">
        <v>908</v>
      </c>
      <c r="Y106" s="82" t="s">
        <v>909</v>
      </c>
      <c r="Z106" s="82" t="s">
        <v>908</v>
      </c>
      <c r="AA106" s="82" t="s">
        <v>909</v>
      </c>
      <c r="AB106" s="243"/>
      <c r="AC106" s="244"/>
      <c r="AD106" s="244"/>
      <c r="AE106" s="244"/>
      <c r="AF106" s="244"/>
      <c r="AG106" s="244"/>
      <c r="AH106" s="244"/>
      <c r="AI106" s="271"/>
      <c r="AJ106" s="970"/>
      <c r="AK106" s="851"/>
      <c r="AL106" s="912"/>
      <c r="AM106" s="922"/>
      <c r="AN106" s="889"/>
      <c r="AO106" s="283">
        <v>52</v>
      </c>
    </row>
    <row r="107" spans="1:45">
      <c r="A107" s="946" t="s">
        <v>921</v>
      </c>
      <c r="B107" s="42" t="s">
        <v>922</v>
      </c>
      <c r="C107" s="18" t="s">
        <v>218</v>
      </c>
      <c r="D107" s="23"/>
      <c r="E107" s="24"/>
      <c r="F107" s="24"/>
      <c r="G107" s="24"/>
      <c r="H107" s="24"/>
      <c r="I107" s="206"/>
      <c r="J107" s="86"/>
      <c r="K107" s="25"/>
      <c r="L107" s="25"/>
      <c r="M107" s="25"/>
      <c r="N107" s="25"/>
      <c r="O107" s="25"/>
      <c r="P107" s="25"/>
      <c r="Q107" s="25"/>
      <c r="R107" s="25"/>
      <c r="S107" s="25"/>
      <c r="T107" s="25"/>
      <c r="U107" s="25"/>
      <c r="V107" s="25"/>
      <c r="W107" s="25"/>
      <c r="X107" s="25"/>
      <c r="Y107" s="25"/>
      <c r="Z107" s="25"/>
      <c r="AA107" s="83"/>
      <c r="AB107" s="245"/>
      <c r="AC107" s="246"/>
      <c r="AD107" s="246"/>
      <c r="AE107" s="246"/>
      <c r="AF107" s="246"/>
      <c r="AG107" s="246"/>
      <c r="AH107" s="246"/>
      <c r="AI107" s="272"/>
      <c r="AJ107" s="273">
        <f>SUM(D107:AA107)</f>
        <v>0</v>
      </c>
      <c r="AK107" s="274"/>
      <c r="AL107" s="822" t="str">
        <f>CONCATENATE(AK107,AK108,AK109,AK110,AK112,AK111)</f>
        <v/>
      </c>
      <c r="AM107" s="113"/>
      <c r="AN107" s="929" t="str">
        <f>CONCATENATE(AM107,AM108,AM109,AM110,AM112,AM111)</f>
        <v/>
      </c>
      <c r="AO107" s="283">
        <v>53</v>
      </c>
    </row>
    <row r="108" spans="1:45">
      <c r="A108" s="947"/>
      <c r="B108" s="26" t="s">
        <v>221</v>
      </c>
      <c r="C108" s="27" t="s">
        <v>222</v>
      </c>
      <c r="D108" s="28"/>
      <c r="E108" s="29"/>
      <c r="F108" s="29"/>
      <c r="G108" s="29"/>
      <c r="H108" s="29"/>
      <c r="I108" s="91"/>
      <c r="J108" s="38">
        <f>SUM(J109:J112)</f>
        <v>0</v>
      </c>
      <c r="K108" s="207">
        <f t="shared" ref="K108:AA108" si="118">SUM(K109:K112)</f>
        <v>0</v>
      </c>
      <c r="L108" s="207">
        <f t="shared" si="118"/>
        <v>0</v>
      </c>
      <c r="M108" s="207">
        <f t="shared" si="118"/>
        <v>0</v>
      </c>
      <c r="N108" s="207">
        <f t="shared" si="118"/>
        <v>0</v>
      </c>
      <c r="O108" s="207">
        <f t="shared" si="118"/>
        <v>0</v>
      </c>
      <c r="P108" s="207">
        <f t="shared" si="118"/>
        <v>0</v>
      </c>
      <c r="Q108" s="207">
        <f t="shared" si="118"/>
        <v>0</v>
      </c>
      <c r="R108" s="207">
        <f t="shared" si="118"/>
        <v>0</v>
      </c>
      <c r="S108" s="207">
        <f t="shared" si="118"/>
        <v>0</v>
      </c>
      <c r="T108" s="207">
        <f t="shared" si="118"/>
        <v>0</v>
      </c>
      <c r="U108" s="207">
        <f t="shared" si="118"/>
        <v>0</v>
      </c>
      <c r="V108" s="207">
        <f t="shared" si="118"/>
        <v>0</v>
      </c>
      <c r="W108" s="207">
        <f t="shared" si="118"/>
        <v>0</v>
      </c>
      <c r="X108" s="207">
        <f t="shared" si="118"/>
        <v>0</v>
      </c>
      <c r="Y108" s="207">
        <f t="shared" si="118"/>
        <v>0</v>
      </c>
      <c r="Z108" s="207">
        <f t="shared" si="118"/>
        <v>0</v>
      </c>
      <c r="AA108" s="247">
        <f t="shared" si="118"/>
        <v>0</v>
      </c>
      <c r="AB108" s="240"/>
      <c r="AC108" s="241"/>
      <c r="AD108" s="241"/>
      <c r="AE108" s="241"/>
      <c r="AF108" s="241"/>
      <c r="AG108" s="241"/>
      <c r="AH108" s="241"/>
      <c r="AI108" s="268"/>
      <c r="AJ108" s="275">
        <f t="shared" ref="AJ108:AJ112" si="119">SUM(D108:AA108)</f>
        <v>0</v>
      </c>
      <c r="AK108" s="274"/>
      <c r="AL108" s="823"/>
      <c r="AM108" s="113"/>
      <c r="AN108" s="930"/>
      <c r="AO108" s="283">
        <v>54</v>
      </c>
    </row>
    <row r="109" spans="1:45">
      <c r="A109" s="947"/>
      <c r="B109" s="26" t="s">
        <v>224</v>
      </c>
      <c r="C109" s="27" t="s">
        <v>225</v>
      </c>
      <c r="D109" s="28"/>
      <c r="E109" s="29"/>
      <c r="F109" s="29"/>
      <c r="G109" s="29"/>
      <c r="H109" s="29"/>
      <c r="I109" s="91"/>
      <c r="J109" s="90"/>
      <c r="K109" s="30"/>
      <c r="L109" s="30"/>
      <c r="M109" s="30"/>
      <c r="N109" s="30"/>
      <c r="O109" s="30"/>
      <c r="P109" s="30"/>
      <c r="Q109" s="30"/>
      <c r="R109" s="30"/>
      <c r="S109" s="30"/>
      <c r="T109" s="30"/>
      <c r="U109" s="30"/>
      <c r="V109" s="30"/>
      <c r="W109" s="30"/>
      <c r="X109" s="30"/>
      <c r="Y109" s="30"/>
      <c r="Z109" s="30"/>
      <c r="AA109" s="87"/>
      <c r="AB109" s="240"/>
      <c r="AC109" s="241"/>
      <c r="AD109" s="241"/>
      <c r="AE109" s="241"/>
      <c r="AF109" s="241"/>
      <c r="AG109" s="241"/>
      <c r="AH109" s="241"/>
      <c r="AI109" s="268"/>
      <c r="AJ109" s="275">
        <f t="shared" si="119"/>
        <v>0</v>
      </c>
      <c r="AK109" s="274"/>
      <c r="AL109" s="823"/>
      <c r="AM109" s="113"/>
      <c r="AN109" s="930"/>
      <c r="AO109" s="283">
        <v>55</v>
      </c>
    </row>
    <row r="110" spans="1:45">
      <c r="A110" s="947"/>
      <c r="B110" s="26" t="s">
        <v>228</v>
      </c>
      <c r="C110" s="27" t="s">
        <v>229</v>
      </c>
      <c r="D110" s="28"/>
      <c r="E110" s="29"/>
      <c r="F110" s="29"/>
      <c r="G110" s="29"/>
      <c r="H110" s="29"/>
      <c r="I110" s="91"/>
      <c r="J110" s="90"/>
      <c r="K110" s="30"/>
      <c r="L110" s="30"/>
      <c r="M110" s="30"/>
      <c r="N110" s="30"/>
      <c r="O110" s="30"/>
      <c r="P110" s="30"/>
      <c r="Q110" s="30"/>
      <c r="R110" s="30"/>
      <c r="S110" s="30"/>
      <c r="T110" s="30"/>
      <c r="U110" s="30"/>
      <c r="V110" s="30"/>
      <c r="W110" s="30"/>
      <c r="X110" s="30"/>
      <c r="Y110" s="30"/>
      <c r="Z110" s="30"/>
      <c r="AA110" s="87"/>
      <c r="AB110" s="240"/>
      <c r="AC110" s="241"/>
      <c r="AD110" s="241"/>
      <c r="AE110" s="241"/>
      <c r="AF110" s="241"/>
      <c r="AG110" s="241"/>
      <c r="AH110" s="241"/>
      <c r="AI110" s="268"/>
      <c r="AJ110" s="275">
        <f t="shared" si="119"/>
        <v>0</v>
      </c>
      <c r="AK110" s="274"/>
      <c r="AL110" s="823"/>
      <c r="AM110" s="113"/>
      <c r="AN110" s="930"/>
      <c r="AO110" s="283">
        <v>56</v>
      </c>
    </row>
    <row r="111" spans="1:45">
      <c r="A111" s="985"/>
      <c r="B111" s="26" t="s">
        <v>232</v>
      </c>
      <c r="C111" s="187" t="s">
        <v>233</v>
      </c>
      <c r="D111" s="60"/>
      <c r="E111" s="61"/>
      <c r="F111" s="61"/>
      <c r="G111" s="61"/>
      <c r="H111" s="61"/>
      <c r="I111" s="208"/>
      <c r="J111" s="209"/>
      <c r="K111" s="210"/>
      <c r="L111" s="210"/>
      <c r="M111" s="210"/>
      <c r="N111" s="210"/>
      <c r="O111" s="210"/>
      <c r="P111" s="210"/>
      <c r="Q111" s="210"/>
      <c r="R111" s="210"/>
      <c r="S111" s="210"/>
      <c r="T111" s="210"/>
      <c r="U111" s="210"/>
      <c r="V111" s="210"/>
      <c r="W111" s="210"/>
      <c r="X111" s="210"/>
      <c r="Y111" s="210"/>
      <c r="Z111" s="210"/>
      <c r="AA111" s="248"/>
      <c r="AB111" s="240"/>
      <c r="AC111" s="241"/>
      <c r="AD111" s="241"/>
      <c r="AE111" s="241"/>
      <c r="AF111" s="241"/>
      <c r="AG111" s="241"/>
      <c r="AH111" s="241"/>
      <c r="AI111" s="268"/>
      <c r="AJ111" s="275">
        <f t="shared" si="119"/>
        <v>0</v>
      </c>
      <c r="AK111" s="276"/>
      <c r="AL111" s="823"/>
      <c r="AM111" s="277"/>
      <c r="AN111" s="931"/>
      <c r="AO111" s="283"/>
    </row>
    <row r="112" spans="1:45">
      <c r="A112" s="948"/>
      <c r="B112" s="188" t="s">
        <v>235</v>
      </c>
      <c r="C112" s="19" t="s">
        <v>236</v>
      </c>
      <c r="D112" s="50"/>
      <c r="E112" s="51"/>
      <c r="F112" s="51"/>
      <c r="G112" s="61"/>
      <c r="H112" s="61"/>
      <c r="I112" s="208"/>
      <c r="J112" s="209"/>
      <c r="K112" s="210"/>
      <c r="L112" s="210"/>
      <c r="M112" s="210"/>
      <c r="N112" s="210"/>
      <c r="O112" s="210"/>
      <c r="P112" s="210"/>
      <c r="Q112" s="210"/>
      <c r="R112" s="210"/>
      <c r="S112" s="210"/>
      <c r="T112" s="210"/>
      <c r="U112" s="210"/>
      <c r="V112" s="210"/>
      <c r="W112" s="210"/>
      <c r="X112" s="210"/>
      <c r="Y112" s="210"/>
      <c r="Z112" s="210"/>
      <c r="AA112" s="248"/>
      <c r="AB112" s="240"/>
      <c r="AC112" s="241"/>
      <c r="AD112" s="241"/>
      <c r="AE112" s="241"/>
      <c r="AF112" s="241"/>
      <c r="AG112" s="241"/>
      <c r="AH112" s="241"/>
      <c r="AI112" s="268"/>
      <c r="AJ112" s="275">
        <f t="shared" si="119"/>
        <v>0</v>
      </c>
      <c r="AK112" s="276"/>
      <c r="AL112" s="823"/>
      <c r="AM112" s="277"/>
      <c r="AN112" s="931"/>
      <c r="AO112" s="283">
        <v>57</v>
      </c>
    </row>
    <row r="113" spans="1:41">
      <c r="A113" s="833" t="s">
        <v>238</v>
      </c>
      <c r="B113" s="834"/>
      <c r="C113" s="834"/>
      <c r="D113" s="834"/>
      <c r="E113" s="834"/>
      <c r="F113" s="834"/>
      <c r="G113" s="834"/>
      <c r="H113" s="834"/>
      <c r="I113" s="834"/>
      <c r="J113" s="834"/>
      <c r="K113" s="834"/>
      <c r="L113" s="834"/>
      <c r="M113" s="834"/>
      <c r="N113" s="834"/>
      <c r="O113" s="834"/>
      <c r="P113" s="834"/>
      <c r="Q113" s="834"/>
      <c r="R113" s="834"/>
      <c r="S113" s="834"/>
      <c r="T113" s="834"/>
      <c r="U113" s="834"/>
      <c r="V113" s="834"/>
      <c r="W113" s="834"/>
      <c r="X113" s="834"/>
      <c r="Y113" s="834"/>
      <c r="Z113" s="834"/>
      <c r="AA113" s="834"/>
      <c r="AB113" s="843"/>
      <c r="AC113" s="843"/>
      <c r="AD113" s="843"/>
      <c r="AE113" s="843"/>
      <c r="AF113" s="843"/>
      <c r="AG113" s="843"/>
      <c r="AH113" s="843"/>
      <c r="AI113" s="843"/>
      <c r="AJ113" s="834"/>
      <c r="AK113" s="834"/>
      <c r="AL113" s="834"/>
      <c r="AM113" s="834"/>
      <c r="AN113" s="844"/>
      <c r="AO113" s="283">
        <v>60</v>
      </c>
    </row>
    <row r="114" spans="1:41" ht="26.25" customHeight="1">
      <c r="A114" s="979" t="s">
        <v>3</v>
      </c>
      <c r="B114" s="977" t="s">
        <v>4</v>
      </c>
      <c r="C114" s="892" t="s">
        <v>5</v>
      </c>
      <c r="D114" s="952"/>
      <c r="E114" s="953"/>
      <c r="F114" s="953"/>
      <c r="G114" s="953"/>
      <c r="H114" s="953"/>
      <c r="I114" s="954"/>
      <c r="J114" s="846" t="s">
        <v>891</v>
      </c>
      <c r="K114" s="909"/>
      <c r="L114" s="909" t="s">
        <v>892</v>
      </c>
      <c r="M114" s="909"/>
      <c r="N114" s="909" t="s">
        <v>893</v>
      </c>
      <c r="O114" s="909"/>
      <c r="P114" s="909" t="s">
        <v>894</v>
      </c>
      <c r="Q114" s="909"/>
      <c r="R114" s="909" t="s">
        <v>895</v>
      </c>
      <c r="S114" s="909"/>
      <c r="T114" s="909" t="s">
        <v>896</v>
      </c>
      <c r="U114" s="909"/>
      <c r="V114" s="909" t="s">
        <v>897</v>
      </c>
      <c r="W114" s="909"/>
      <c r="X114" s="909" t="s">
        <v>898</v>
      </c>
      <c r="Y114" s="909"/>
      <c r="Z114" s="909" t="s">
        <v>899</v>
      </c>
      <c r="AA114" s="845"/>
      <c r="AB114" s="1006"/>
      <c r="AC114" s="906"/>
      <c r="AD114" s="906"/>
      <c r="AE114" s="906"/>
      <c r="AF114" s="906"/>
      <c r="AG114" s="906"/>
      <c r="AH114" s="906"/>
      <c r="AI114" s="907"/>
      <c r="AJ114" s="971" t="s">
        <v>904</v>
      </c>
      <c r="AK114" s="923" t="s">
        <v>905</v>
      </c>
      <c r="AL114" s="911" t="s">
        <v>906</v>
      </c>
      <c r="AM114" s="922" t="s">
        <v>907</v>
      </c>
      <c r="AN114" s="888" t="s">
        <v>907</v>
      </c>
      <c r="AO114" s="283">
        <v>61</v>
      </c>
    </row>
    <row r="115" spans="1:41" ht="27" customHeight="1" thickBot="1">
      <c r="A115" s="945"/>
      <c r="B115" s="978"/>
      <c r="C115" s="1003"/>
      <c r="D115" s="955"/>
      <c r="E115" s="956"/>
      <c r="F115" s="956"/>
      <c r="G115" s="956"/>
      <c r="H115" s="956"/>
      <c r="I115" s="957"/>
      <c r="J115" s="211" t="s">
        <v>908</v>
      </c>
      <c r="K115" s="20" t="s">
        <v>909</v>
      </c>
      <c r="L115" s="20" t="s">
        <v>908</v>
      </c>
      <c r="M115" s="20" t="s">
        <v>909</v>
      </c>
      <c r="N115" s="20" t="s">
        <v>908</v>
      </c>
      <c r="O115" s="20" t="s">
        <v>909</v>
      </c>
      <c r="P115" s="20" t="s">
        <v>908</v>
      </c>
      <c r="Q115" s="20" t="s">
        <v>909</v>
      </c>
      <c r="R115" s="20" t="s">
        <v>908</v>
      </c>
      <c r="S115" s="20" t="s">
        <v>909</v>
      </c>
      <c r="T115" s="20" t="s">
        <v>908</v>
      </c>
      <c r="U115" s="20" t="s">
        <v>909</v>
      </c>
      <c r="V115" s="20" t="s">
        <v>908</v>
      </c>
      <c r="W115" s="20" t="s">
        <v>909</v>
      </c>
      <c r="X115" s="20" t="s">
        <v>908</v>
      </c>
      <c r="Y115" s="20" t="s">
        <v>909</v>
      </c>
      <c r="Z115" s="20" t="s">
        <v>908</v>
      </c>
      <c r="AA115" s="249" t="s">
        <v>909</v>
      </c>
      <c r="AB115" s="250"/>
      <c r="AC115" s="251"/>
      <c r="AD115" s="251"/>
      <c r="AE115" s="251"/>
      <c r="AF115" s="251"/>
      <c r="AG115" s="251"/>
      <c r="AH115" s="251"/>
      <c r="AI115" s="278"/>
      <c r="AJ115" s="972"/>
      <c r="AK115" s="924"/>
      <c r="AL115" s="912"/>
      <c r="AM115" s="922"/>
      <c r="AN115" s="889"/>
      <c r="AO115" s="283">
        <v>62</v>
      </c>
    </row>
    <row r="116" spans="1:41" ht="31.5" thickBot="1">
      <c r="A116" s="189" t="s">
        <v>240</v>
      </c>
      <c r="B116" s="190" t="s">
        <v>923</v>
      </c>
      <c r="C116" s="191" t="s">
        <v>242</v>
      </c>
      <c r="D116" s="192"/>
      <c r="E116" s="193"/>
      <c r="F116" s="193"/>
      <c r="G116" s="193"/>
      <c r="H116" s="193"/>
      <c r="I116" s="193"/>
      <c r="J116" s="212">
        <f t="shared" ref="J116:AA116" si="120">SUM(J117:J124)</f>
        <v>0</v>
      </c>
      <c r="K116" s="212">
        <f t="shared" si="120"/>
        <v>0</v>
      </c>
      <c r="L116" s="212">
        <f t="shared" si="120"/>
        <v>0</v>
      </c>
      <c r="M116" s="212">
        <f t="shared" si="120"/>
        <v>0</v>
      </c>
      <c r="N116" s="212">
        <f t="shared" si="120"/>
        <v>0</v>
      </c>
      <c r="O116" s="212">
        <f t="shared" si="120"/>
        <v>0</v>
      </c>
      <c r="P116" s="212">
        <f t="shared" si="120"/>
        <v>0</v>
      </c>
      <c r="Q116" s="212">
        <f t="shared" si="120"/>
        <v>0</v>
      </c>
      <c r="R116" s="212">
        <f t="shared" si="120"/>
        <v>0</v>
      </c>
      <c r="S116" s="212">
        <f t="shared" si="120"/>
        <v>0</v>
      </c>
      <c r="T116" s="212">
        <f t="shared" si="120"/>
        <v>0</v>
      </c>
      <c r="U116" s="212">
        <f t="shared" si="120"/>
        <v>0</v>
      </c>
      <c r="V116" s="212">
        <f t="shared" si="120"/>
        <v>0</v>
      </c>
      <c r="W116" s="212">
        <f t="shared" si="120"/>
        <v>0</v>
      </c>
      <c r="X116" s="212">
        <f t="shared" si="120"/>
        <v>0</v>
      </c>
      <c r="Y116" s="212">
        <f t="shared" si="120"/>
        <v>0</v>
      </c>
      <c r="Z116" s="212">
        <f t="shared" si="120"/>
        <v>0</v>
      </c>
      <c r="AA116" s="764">
        <f t="shared" si="120"/>
        <v>0</v>
      </c>
      <c r="AB116" s="245"/>
      <c r="AC116" s="246"/>
      <c r="AD116" s="246"/>
      <c r="AE116" s="246"/>
      <c r="AF116" s="246"/>
      <c r="AG116" s="246"/>
      <c r="AH116" s="246"/>
      <c r="AI116" s="272"/>
      <c r="AJ116" s="761">
        <f>SUM(AJ117:AJ124)</f>
        <v>0</v>
      </c>
      <c r="AK116" s="274"/>
      <c r="AL116" s="822" t="str">
        <f>CONCATENATE(AK116,AK117,AK118,AK119,AK120,AK121,AK122,AK123,AK124,AK125,AK126,AK127,AK128,AK129,AK130,AK131,AK132,AK133,AK134,AK136,AK137,AK139,AK138,AK140,AK141,AK142,AK143,AK144,AK145)</f>
        <v/>
      </c>
      <c r="AM116" s="113"/>
      <c r="AN116" s="816" t="str">
        <f>CONCATENATE(AM116,AM117,AM118,AM119,AM120,AM121,AM122,AM123,AM124,AM125,AM126,AM127,AM128,AM129,AM130,AM131,AM132,AM133,AM134,AM135,AM136,AM137,AM138,AM139,AM140,AM141,AM142,AM143,AM144,AM145)</f>
        <v/>
      </c>
      <c r="AO116" s="283">
        <v>67</v>
      </c>
    </row>
    <row r="117" spans="1:41" ht="25.5" customHeight="1">
      <c r="A117" s="986" t="s">
        <v>924</v>
      </c>
      <c r="B117" s="42" t="s">
        <v>925</v>
      </c>
      <c r="C117" s="18" t="s">
        <v>246</v>
      </c>
      <c r="D117" s="145"/>
      <c r="E117" s="24"/>
      <c r="F117" s="24"/>
      <c r="G117" s="24"/>
      <c r="H117" s="64"/>
      <c r="I117" s="23"/>
      <c r="J117" s="24"/>
      <c r="K117" s="24"/>
      <c r="L117" s="25"/>
      <c r="M117" s="25"/>
      <c r="N117" s="25"/>
      <c r="O117" s="25"/>
      <c r="P117" s="25"/>
      <c r="Q117" s="25"/>
      <c r="R117" s="25"/>
      <c r="S117" s="25"/>
      <c r="T117" s="25"/>
      <c r="U117" s="25"/>
      <c r="V117" s="25"/>
      <c r="W117" s="25"/>
      <c r="X117" s="25"/>
      <c r="Y117" s="25"/>
      <c r="Z117" s="25"/>
      <c r="AA117" s="83"/>
      <c r="AB117" s="240"/>
      <c r="AC117" s="727"/>
      <c r="AD117" s="727"/>
      <c r="AE117" s="727"/>
      <c r="AF117" s="727"/>
      <c r="AG117" s="727"/>
      <c r="AH117" s="727"/>
      <c r="AI117" s="268"/>
      <c r="AJ117" s="382">
        <f t="shared" ref="AJ117:AJ123" si="121">SUM(J117:AA117)</f>
        <v>0</v>
      </c>
      <c r="AK117" s="274"/>
      <c r="AL117" s="823"/>
      <c r="AM117" s="113"/>
      <c r="AN117" s="817"/>
      <c r="AO117" s="283">
        <v>68</v>
      </c>
    </row>
    <row r="118" spans="1:41">
      <c r="A118" s="987"/>
      <c r="B118" s="26" t="s">
        <v>249</v>
      </c>
      <c r="C118" s="27" t="s">
        <v>250</v>
      </c>
      <c r="D118" s="92"/>
      <c r="E118" s="29"/>
      <c r="F118" s="29"/>
      <c r="G118" s="29"/>
      <c r="H118" s="67"/>
      <c r="I118" s="28"/>
      <c r="J118" s="29"/>
      <c r="K118" s="29"/>
      <c r="L118" s="30"/>
      <c r="M118" s="30"/>
      <c r="N118" s="30"/>
      <c r="O118" s="30"/>
      <c r="P118" s="30"/>
      <c r="Q118" s="30"/>
      <c r="R118" s="30"/>
      <c r="S118" s="30"/>
      <c r="T118" s="30"/>
      <c r="U118" s="30"/>
      <c r="V118" s="30"/>
      <c r="W118" s="30"/>
      <c r="X118" s="30"/>
      <c r="Y118" s="30"/>
      <c r="Z118" s="30"/>
      <c r="AA118" s="87"/>
      <c r="AB118" s="240"/>
      <c r="AC118" s="727"/>
      <c r="AD118" s="727"/>
      <c r="AE118" s="727"/>
      <c r="AF118" s="727"/>
      <c r="AG118" s="727"/>
      <c r="AH118" s="727"/>
      <c r="AI118" s="268"/>
      <c r="AJ118" s="382">
        <f t="shared" si="121"/>
        <v>0</v>
      </c>
      <c r="AK118" s="274"/>
      <c r="AL118" s="823"/>
      <c r="AM118" s="113"/>
      <c r="AN118" s="817"/>
      <c r="AO118" s="283">
        <v>69</v>
      </c>
    </row>
    <row r="119" spans="1:41">
      <c r="A119" s="987"/>
      <c r="B119" s="26" t="s">
        <v>210</v>
      </c>
      <c r="C119" s="27" t="s">
        <v>252</v>
      </c>
      <c r="D119" s="92"/>
      <c r="E119" s="29"/>
      <c r="F119" s="29"/>
      <c r="G119" s="29"/>
      <c r="H119" s="67"/>
      <c r="I119" s="28"/>
      <c r="J119" s="29"/>
      <c r="K119" s="29"/>
      <c r="L119" s="30"/>
      <c r="M119" s="29"/>
      <c r="N119" s="30"/>
      <c r="O119" s="29"/>
      <c r="P119" s="30"/>
      <c r="Q119" s="29"/>
      <c r="R119" s="30"/>
      <c r="S119" s="29"/>
      <c r="T119" s="30"/>
      <c r="U119" s="29"/>
      <c r="V119" s="30"/>
      <c r="W119" s="29"/>
      <c r="X119" s="30"/>
      <c r="Y119" s="29"/>
      <c r="Z119" s="30"/>
      <c r="AA119" s="67"/>
      <c r="AB119" s="240"/>
      <c r="AC119" s="727"/>
      <c r="AD119" s="727"/>
      <c r="AE119" s="727"/>
      <c r="AF119" s="727"/>
      <c r="AG119" s="727"/>
      <c r="AH119" s="727"/>
      <c r="AI119" s="268"/>
      <c r="AJ119" s="762">
        <f t="shared" si="121"/>
        <v>0</v>
      </c>
      <c r="AK119" s="274"/>
      <c r="AL119" s="823"/>
      <c r="AM119" s="113"/>
      <c r="AN119" s="817"/>
      <c r="AO119" s="283">
        <v>70</v>
      </c>
    </row>
    <row r="120" spans="1:41">
      <c r="A120" s="987"/>
      <c r="B120" s="26" t="s">
        <v>204</v>
      </c>
      <c r="C120" s="27" t="s">
        <v>254</v>
      </c>
      <c r="D120" s="92"/>
      <c r="E120" s="29"/>
      <c r="F120" s="29"/>
      <c r="G120" s="29"/>
      <c r="H120" s="67"/>
      <c r="I120" s="28"/>
      <c r="J120" s="29"/>
      <c r="K120" s="29"/>
      <c r="L120" s="29"/>
      <c r="M120" s="30"/>
      <c r="N120" s="29"/>
      <c r="O120" s="30"/>
      <c r="P120" s="29"/>
      <c r="Q120" s="30"/>
      <c r="R120" s="29"/>
      <c r="S120" s="30"/>
      <c r="T120" s="29"/>
      <c r="U120" s="30"/>
      <c r="V120" s="29"/>
      <c r="W120" s="30"/>
      <c r="X120" s="29"/>
      <c r="Y120" s="30"/>
      <c r="Z120" s="29"/>
      <c r="AA120" s="87"/>
      <c r="AB120" s="240"/>
      <c r="AC120" s="727"/>
      <c r="AD120" s="727"/>
      <c r="AE120" s="727"/>
      <c r="AF120" s="727"/>
      <c r="AG120" s="727"/>
      <c r="AH120" s="727"/>
      <c r="AI120" s="268"/>
      <c r="AJ120" s="763">
        <f t="shared" si="121"/>
        <v>0</v>
      </c>
      <c r="AK120" s="274"/>
      <c r="AL120" s="823"/>
      <c r="AM120" s="113"/>
      <c r="AN120" s="817"/>
      <c r="AO120" s="283">
        <v>72</v>
      </c>
    </row>
    <row r="121" spans="1:41" ht="31.5" thickBot="1">
      <c r="A121" s="987"/>
      <c r="B121" s="194" t="s">
        <v>256</v>
      </c>
      <c r="C121" s="27" t="s">
        <v>257</v>
      </c>
      <c r="D121" s="92"/>
      <c r="E121" s="29"/>
      <c r="F121" s="29"/>
      <c r="G121" s="29"/>
      <c r="H121" s="67"/>
      <c r="I121" s="28"/>
      <c r="J121" s="29"/>
      <c r="K121" s="29"/>
      <c r="L121" s="29"/>
      <c r="M121" s="30"/>
      <c r="N121" s="29"/>
      <c r="O121" s="30"/>
      <c r="P121" s="29"/>
      <c r="Q121" s="29"/>
      <c r="R121" s="29"/>
      <c r="S121" s="29"/>
      <c r="T121" s="29"/>
      <c r="U121" s="29"/>
      <c r="V121" s="29"/>
      <c r="W121" s="29"/>
      <c r="X121" s="29"/>
      <c r="Y121" s="29"/>
      <c r="Z121" s="29"/>
      <c r="AA121" s="67"/>
      <c r="AB121" s="240"/>
      <c r="AC121" s="727"/>
      <c r="AD121" s="727"/>
      <c r="AE121" s="727"/>
      <c r="AF121" s="727"/>
      <c r="AG121" s="727"/>
      <c r="AH121" s="727"/>
      <c r="AI121" s="268"/>
      <c r="AJ121" s="612">
        <f t="shared" si="121"/>
        <v>0</v>
      </c>
      <c r="AK121" s="274"/>
      <c r="AL121" s="823"/>
      <c r="AM121" s="113"/>
      <c r="AN121" s="817"/>
      <c r="AO121" s="283">
        <v>73</v>
      </c>
    </row>
    <row r="122" spans="1:41" ht="25.5" customHeight="1">
      <c r="A122" s="987"/>
      <c r="B122" s="42" t="s">
        <v>926</v>
      </c>
      <c r="C122" s="27" t="s">
        <v>260</v>
      </c>
      <c r="D122" s="92"/>
      <c r="E122" s="29"/>
      <c r="F122" s="29"/>
      <c r="G122" s="29"/>
      <c r="H122" s="67"/>
      <c r="I122" s="28"/>
      <c r="J122" s="29"/>
      <c r="K122" s="29"/>
      <c r="L122" s="30"/>
      <c r="M122" s="29"/>
      <c r="N122" s="30"/>
      <c r="O122" s="29"/>
      <c r="P122" s="30"/>
      <c r="Q122" s="29"/>
      <c r="R122" s="30"/>
      <c r="S122" s="29"/>
      <c r="T122" s="30"/>
      <c r="U122" s="29"/>
      <c r="V122" s="30"/>
      <c r="W122" s="29"/>
      <c r="X122" s="30"/>
      <c r="Y122" s="29"/>
      <c r="Z122" s="30"/>
      <c r="AA122" s="67"/>
      <c r="AB122" s="240"/>
      <c r="AC122" s="727"/>
      <c r="AD122" s="727"/>
      <c r="AE122" s="727"/>
      <c r="AF122" s="727"/>
      <c r="AG122" s="727"/>
      <c r="AH122" s="727"/>
      <c r="AI122" s="268"/>
      <c r="AJ122" s="109">
        <f t="shared" si="121"/>
        <v>0</v>
      </c>
      <c r="AK122" s="282"/>
      <c r="AL122" s="823"/>
      <c r="AM122" s="113"/>
      <c r="AN122" s="817"/>
      <c r="AO122" s="283">
        <v>74</v>
      </c>
    </row>
    <row r="123" spans="1:41" ht="31.5" thickBot="1">
      <c r="A123" s="987"/>
      <c r="B123" s="26" t="s">
        <v>262</v>
      </c>
      <c r="C123" s="27" t="s">
        <v>263</v>
      </c>
      <c r="D123" s="92"/>
      <c r="E123" s="29"/>
      <c r="F123" s="29"/>
      <c r="G123" s="29"/>
      <c r="H123" s="67"/>
      <c r="I123" s="28"/>
      <c r="J123" s="29"/>
      <c r="K123" s="29"/>
      <c r="L123" s="29"/>
      <c r="M123" s="30"/>
      <c r="N123" s="29"/>
      <c r="O123" s="30"/>
      <c r="P123" s="29"/>
      <c r="Q123" s="30"/>
      <c r="R123" s="29"/>
      <c r="S123" s="30"/>
      <c r="T123" s="29"/>
      <c r="U123" s="30"/>
      <c r="V123" s="29"/>
      <c r="W123" s="30"/>
      <c r="X123" s="29"/>
      <c r="Y123" s="30"/>
      <c r="Z123" s="29"/>
      <c r="AA123" s="87"/>
      <c r="AB123" s="240"/>
      <c r="AC123" s="727"/>
      <c r="AD123" s="727"/>
      <c r="AE123" s="727"/>
      <c r="AF123" s="727"/>
      <c r="AG123" s="727"/>
      <c r="AH123" s="727"/>
      <c r="AI123" s="268"/>
      <c r="AJ123" s="382">
        <f t="shared" si="121"/>
        <v>0</v>
      </c>
      <c r="AK123" s="274"/>
      <c r="AL123" s="823"/>
      <c r="AM123" s="113"/>
      <c r="AN123" s="817"/>
      <c r="AO123" s="283">
        <v>75</v>
      </c>
    </row>
    <row r="124" spans="1:41" ht="31.5" thickBot="1">
      <c r="A124" s="988"/>
      <c r="B124" s="188" t="s">
        <v>962</v>
      </c>
      <c r="C124" s="187" t="s">
        <v>266</v>
      </c>
      <c r="D124" s="148"/>
      <c r="E124" s="61"/>
      <c r="F124" s="61"/>
      <c r="G124" s="61"/>
      <c r="H124" s="196"/>
      <c r="I124" s="50"/>
      <c r="J124" s="51"/>
      <c r="K124" s="213">
        <f>SUM(K125:K126)</f>
        <v>0</v>
      </c>
      <c r="L124" s="51"/>
      <c r="M124" s="213">
        <f>SUM(M125:M126)</f>
        <v>0</v>
      </c>
      <c r="N124" s="51"/>
      <c r="O124" s="213">
        <f>SUM(O125:O126)</f>
        <v>0</v>
      </c>
      <c r="P124" s="51"/>
      <c r="Q124" s="213">
        <f>SUM(Q125:Q126)</f>
        <v>0</v>
      </c>
      <c r="R124" s="51"/>
      <c r="S124" s="213">
        <f>SUM(S125:S126)</f>
        <v>0</v>
      </c>
      <c r="T124" s="51"/>
      <c r="U124" s="213">
        <f>SUM(U125:U126)</f>
        <v>0</v>
      </c>
      <c r="V124" s="51"/>
      <c r="W124" s="213">
        <f>SUM(W125:W126)</f>
        <v>0</v>
      </c>
      <c r="X124" s="51"/>
      <c r="Y124" s="213">
        <f>SUM(Y125:Y126)</f>
        <v>0</v>
      </c>
      <c r="Z124" s="51"/>
      <c r="AA124" s="765">
        <f>SUM(AA125:AA126)</f>
        <v>0</v>
      </c>
      <c r="AB124" s="240"/>
      <c r="AC124" s="727"/>
      <c r="AD124" s="727"/>
      <c r="AE124" s="727"/>
      <c r="AF124" s="727"/>
      <c r="AG124" s="727"/>
      <c r="AH124" s="727"/>
      <c r="AI124" s="268"/>
      <c r="AJ124" s="382">
        <f t="shared" ref="AJ124:AJ132" si="122">SUM(J124:AA124)</f>
        <v>0</v>
      </c>
      <c r="AK124" s="274"/>
      <c r="AL124" s="823"/>
      <c r="AM124" s="113"/>
      <c r="AN124" s="817"/>
      <c r="AO124" s="283">
        <v>76</v>
      </c>
    </row>
    <row r="125" spans="1:41" ht="30.75" customHeight="1">
      <c r="A125" s="941" t="s">
        <v>268</v>
      </c>
      <c r="B125" s="197" t="s">
        <v>269</v>
      </c>
      <c r="C125" s="18" t="s">
        <v>270</v>
      </c>
      <c r="D125" s="198"/>
      <c r="E125" s="199"/>
      <c r="F125" s="199"/>
      <c r="G125" s="199"/>
      <c r="H125" s="199"/>
      <c r="I125" s="199"/>
      <c r="J125" s="199"/>
      <c r="K125" s="199"/>
      <c r="L125" s="199"/>
      <c r="M125" s="214"/>
      <c r="N125" s="199"/>
      <c r="O125" s="214"/>
      <c r="P125" s="199"/>
      <c r="Q125" s="214"/>
      <c r="R125" s="199"/>
      <c r="S125" s="214"/>
      <c r="T125" s="199"/>
      <c r="U125" s="214"/>
      <c r="V125" s="199"/>
      <c r="W125" s="214"/>
      <c r="X125" s="199"/>
      <c r="Y125" s="214"/>
      <c r="Z125" s="199"/>
      <c r="AA125" s="766"/>
      <c r="AB125" s="240"/>
      <c r="AC125" s="727"/>
      <c r="AD125" s="727"/>
      <c r="AE125" s="727"/>
      <c r="AF125" s="727"/>
      <c r="AG125" s="727"/>
      <c r="AH125" s="727"/>
      <c r="AI125" s="268"/>
      <c r="AJ125" s="382">
        <f t="shared" si="122"/>
        <v>0</v>
      </c>
      <c r="AK125" s="274"/>
      <c r="AL125" s="823"/>
      <c r="AM125" s="113"/>
      <c r="AN125" s="817"/>
      <c r="AO125" s="283"/>
    </row>
    <row r="126" spans="1:41" ht="31.5" thickBot="1">
      <c r="A126" s="943"/>
      <c r="B126" s="201" t="s">
        <v>272</v>
      </c>
      <c r="C126" s="202" t="s">
        <v>273</v>
      </c>
      <c r="D126" s="203"/>
      <c r="E126" s="204"/>
      <c r="F126" s="204"/>
      <c r="G126" s="204"/>
      <c r="H126" s="204"/>
      <c r="I126" s="204"/>
      <c r="J126" s="204"/>
      <c r="K126" s="204"/>
      <c r="L126" s="204"/>
      <c r="M126" s="215"/>
      <c r="N126" s="204"/>
      <c r="O126" s="215"/>
      <c r="P126" s="204"/>
      <c r="Q126" s="215"/>
      <c r="R126" s="204"/>
      <c r="S126" s="215"/>
      <c r="T126" s="204"/>
      <c r="U126" s="215"/>
      <c r="V126" s="204"/>
      <c r="W126" s="215"/>
      <c r="X126" s="204"/>
      <c r="Y126" s="215"/>
      <c r="Z126" s="204"/>
      <c r="AA126" s="767"/>
      <c r="AB126" s="240"/>
      <c r="AC126" s="727"/>
      <c r="AD126" s="727"/>
      <c r="AE126" s="727"/>
      <c r="AF126" s="727"/>
      <c r="AG126" s="727"/>
      <c r="AH126" s="727"/>
      <c r="AI126" s="268"/>
      <c r="AJ126" s="382">
        <f t="shared" si="122"/>
        <v>0</v>
      </c>
      <c r="AK126" s="274"/>
      <c r="AL126" s="823"/>
      <c r="AM126" s="113"/>
      <c r="AN126" s="817"/>
      <c r="AO126" s="283"/>
    </row>
    <row r="127" spans="1:41">
      <c r="A127" s="941" t="s">
        <v>927</v>
      </c>
      <c r="B127" s="197" t="s">
        <v>276</v>
      </c>
      <c r="C127" s="18" t="s">
        <v>277</v>
      </c>
      <c r="D127" s="198"/>
      <c r="E127" s="199"/>
      <c r="F127" s="199"/>
      <c r="G127" s="199"/>
      <c r="H127" s="199"/>
      <c r="I127" s="199"/>
      <c r="J127" s="199"/>
      <c r="K127" s="199"/>
      <c r="L127" s="214"/>
      <c r="M127" s="214"/>
      <c r="N127" s="214"/>
      <c r="O127" s="214"/>
      <c r="P127" s="214"/>
      <c r="Q127" s="214"/>
      <c r="R127" s="214"/>
      <c r="S127" s="214"/>
      <c r="T127" s="214"/>
      <c r="U127" s="214"/>
      <c r="V127" s="214"/>
      <c r="W127" s="214"/>
      <c r="X127" s="214"/>
      <c r="Y127" s="214"/>
      <c r="Z127" s="214"/>
      <c r="AA127" s="766"/>
      <c r="AB127" s="240"/>
      <c r="AC127" s="727"/>
      <c r="AD127" s="727"/>
      <c r="AE127" s="727"/>
      <c r="AF127" s="727"/>
      <c r="AG127" s="727"/>
      <c r="AH127" s="727"/>
      <c r="AI127" s="268"/>
      <c r="AJ127" s="382">
        <f t="shared" si="122"/>
        <v>0</v>
      </c>
      <c r="AK127" s="274" t="str">
        <f>CONCATENATE(IF(D116&lt;&gt;(D127+D128)," * "&amp;A127&amp;" "&amp;$D$6&amp;" "&amp;$D$7&amp;" should be equal to "&amp;B116&amp;""&amp;CHAR(10),""),IF(E116&lt;&gt;(E127+E128)," * "&amp;A127&amp;" "&amp;$D$6&amp;" "&amp;$E$7&amp;" should be equal to "&amp;B116&amp;""&amp;CHAR(10),""),IF(F116&lt;&gt;(F127+F128)," * "&amp;A127&amp;" "&amp;$F$6&amp;" "&amp;$F$7&amp;" should be equal to "&amp;B116&amp;""&amp;CHAR(10),""),IF(G116&lt;&gt;(G127+G128)," * "&amp;A127&amp;" "&amp;$F$6&amp;" "&amp;$G$7&amp;" should be equal to "&amp;B116&amp;""&amp;CHAR(10),""),IF(H116&lt;&gt;(H127+H128)," * "&amp;A127&amp;" "&amp;$H$6&amp;" "&amp;$H$7&amp;" should be equal to "&amp;B116&amp;""&amp;CHAR(10),""),IF(I116&lt;&gt;(I127+I128)," * "&amp;A127&amp;" "&amp;$H$6&amp;" "&amp;$I$7&amp;" should be equal to "&amp;B116&amp;""&amp;CHAR(10),""),IF(J116&lt;&gt;(J127+J128)," * "&amp;A127&amp;" "&amp;$J$6&amp;" "&amp;$J$7&amp;" should be equal to "&amp;B116&amp;""&amp;CHAR(10),""),IF(K116&lt;&gt;(K127+K128)," * "&amp;A127&amp;" "&amp;$J$6&amp;" "&amp;$K$7&amp;" should be equal to "&amp;B116&amp;""&amp;CHAR(10),""),IF(L116&lt;&gt;(L127+L128)," * "&amp;A127&amp;" "&amp;$L$6&amp;" "&amp;$L$7&amp;" should be equal to "&amp;B116&amp;""&amp;CHAR(10),""),IF(M116&lt;&gt;(M127+M128)," * "&amp;A127&amp;" "&amp;$L$6&amp;" "&amp;$M$7&amp;" should be equal to "&amp;B116&amp;""&amp;CHAR(10),""),IF(N116&lt;&gt;(N127+N128)," * "&amp;A127&amp;" "&amp;$N$6&amp;" "&amp;$N$7&amp;" should be equal to "&amp;B116&amp;""&amp;CHAR(10),""),IF(O116&lt;&gt;(O127+O128)," * "&amp;A127&amp;" "&amp;$N$6&amp;" "&amp;$O$7&amp;" should be equal to "&amp;B116&amp;""&amp;CHAR(10),""),IF(P116&lt;&gt;(P127+P128)," * "&amp;A127&amp;" "&amp;$P$6&amp;" "&amp;$P$7&amp;" should be equal to "&amp;B116&amp;""&amp;CHAR(10),""),IF(Q116&lt;&gt;(Q127+Q128)," * "&amp;A127&amp;" "&amp;$P$6&amp;" "&amp;$Q$7&amp;" should be equal to "&amp;B116&amp;""&amp;CHAR(10),""),IF(R116&lt;&gt;(R127+R128)," * "&amp;A127&amp;" "&amp;$R$6&amp;" "&amp;$R$7&amp;" should be equal to "&amp;B116&amp;""&amp;CHAR(10),""),IF(S116&lt;&gt;(S127+S128)," * "&amp;A127&amp;" "&amp;$R$6&amp;" "&amp;$S$7&amp;" should be equal to "&amp;B116&amp;""&amp;CHAR(10),""),IF(T116&lt;&gt;(T127+T128)," * "&amp;A127&amp;" "&amp;$T$6&amp;" "&amp;$T$7&amp;" should be equal to "&amp;B116&amp;""&amp;CHAR(10),""),IF(U116&lt;&gt;(U127+U128)," * "&amp;A127&amp;" "&amp;$T$6&amp;" "&amp;$U$7&amp;" should be equal to "&amp;B116&amp;""&amp;CHAR(10),""),IF(V116&lt;&gt;(V127+V128)," * "&amp;A127&amp;" "&amp;$V$6&amp;" "&amp;$V$7&amp;" should be equal to "&amp;B116&amp;""&amp;CHAR(10),""),IF(W116&lt;&gt;(W127+W128)," * "&amp;A127&amp;" "&amp;$V$6&amp;" "&amp;$W$7&amp;" should be equal to "&amp;B116&amp;""&amp;CHAR(10),""),IF(X116&lt;&gt;(X127+X128)," * "&amp;A127&amp;" "&amp;$X$6&amp;" "&amp;$X$7&amp;" should be equal to "&amp;B116&amp;""&amp;CHAR(10),""),IF(Y116&lt;&gt;(Y127+Y128)," * "&amp;A127&amp;" "&amp;$X$6&amp;" "&amp;$Y$7&amp;" should be equal to "&amp;B116&amp;""&amp;CHAR(10),""),IF(Z116&lt;&gt;(Z127+Z128)," * "&amp;A127&amp;" "&amp;$Z$6&amp;" "&amp;$Z$7&amp;" should be equal to "&amp;B116&amp;""&amp;CHAR(10),""),IF(AA116&lt;&gt;(AA127+AA128)," * "&amp;A127&amp;" "&amp;$Z$6&amp;" "&amp;$AA$7&amp;" should be equal to "&amp;B116&amp;""&amp;CHAR(10),""))</f>
        <v/>
      </c>
      <c r="AL127" s="823"/>
      <c r="AM127" s="113"/>
      <c r="AN127" s="817"/>
      <c r="AO127" s="283"/>
    </row>
    <row r="128" spans="1:41" ht="31.5" thickBot="1">
      <c r="A128" s="943"/>
      <c r="B128" s="201" t="s">
        <v>279</v>
      </c>
      <c r="C128" s="202" t="s">
        <v>280</v>
      </c>
      <c r="D128" s="203"/>
      <c r="E128" s="204"/>
      <c r="F128" s="204"/>
      <c r="G128" s="204"/>
      <c r="H128" s="204"/>
      <c r="I128" s="204"/>
      <c r="J128" s="204"/>
      <c r="K128" s="204"/>
      <c r="L128" s="1049"/>
      <c r="M128" s="1049"/>
      <c r="N128" s="1049"/>
      <c r="O128" s="1049"/>
      <c r="P128" s="1049"/>
      <c r="Q128" s="1049"/>
      <c r="R128" s="1049"/>
      <c r="S128" s="1049"/>
      <c r="T128" s="1049"/>
      <c r="U128" s="1049"/>
      <c r="V128" s="1049"/>
      <c r="W128" s="1049"/>
      <c r="X128" s="1049"/>
      <c r="Y128" s="1049"/>
      <c r="Z128" s="1049"/>
      <c r="AA128" s="1050"/>
      <c r="AB128" s="240"/>
      <c r="AC128" s="727"/>
      <c r="AD128" s="727"/>
      <c r="AE128" s="727"/>
      <c r="AF128" s="727"/>
      <c r="AG128" s="727"/>
      <c r="AH128" s="727"/>
      <c r="AI128" s="268"/>
      <c r="AJ128" s="382">
        <f t="shared" si="122"/>
        <v>0</v>
      </c>
      <c r="AK128" s="274"/>
      <c r="AL128" s="823"/>
      <c r="AM128" s="113"/>
      <c r="AN128" s="817"/>
      <c r="AO128" s="283"/>
    </row>
    <row r="129" spans="1:41">
      <c r="A129" s="941" t="s">
        <v>928</v>
      </c>
      <c r="B129" s="197" t="s">
        <v>283</v>
      </c>
      <c r="C129" s="18" t="s">
        <v>284</v>
      </c>
      <c r="D129" s="198"/>
      <c r="E129" s="199"/>
      <c r="F129" s="199"/>
      <c r="G129" s="199"/>
      <c r="H129" s="199"/>
      <c r="I129" s="199"/>
      <c r="J129" s="199"/>
      <c r="K129" s="1048"/>
      <c r="L129" s="222"/>
      <c r="M129" s="153"/>
      <c r="N129" s="153"/>
      <c r="O129" s="153"/>
      <c r="P129" s="153"/>
      <c r="Q129" s="153"/>
      <c r="R129" s="153"/>
      <c r="S129" s="153"/>
      <c r="T129" s="153"/>
      <c r="U129" s="153"/>
      <c r="V129" s="153"/>
      <c r="W129" s="153"/>
      <c r="X129" s="153"/>
      <c r="Y129" s="153"/>
      <c r="Z129" s="153"/>
      <c r="AA129" s="219"/>
      <c r="AB129" s="727"/>
      <c r="AC129" s="727"/>
      <c r="AD129" s="727"/>
      <c r="AE129" s="727"/>
      <c r="AF129" s="727"/>
      <c r="AG129" s="727"/>
      <c r="AH129" s="727"/>
      <c r="AI129" s="268"/>
      <c r="AJ129" s="382">
        <f t="shared" si="122"/>
        <v>0</v>
      </c>
      <c r="AK129" s="274" t="str">
        <f>CONCATENATE(IF(D116&lt;&gt;(D129+D130+D131)," * Total "&amp;A129&amp;" "&amp;$D$6&amp;" "&amp;$D$7&amp;" should be equal to "&amp;B116&amp;""&amp;CHAR(10),""),IF(E116&lt;&gt;(E129+E130+E131)," * Total "&amp;A129&amp;" "&amp;$D$6&amp;" "&amp;$E$7&amp;" should be equal to "&amp;B116&amp;""&amp;CHAR(10),""),IF(F116&lt;&gt;(F129+F130+F131)," * Total "&amp;A129&amp;" "&amp;$F$6&amp;" "&amp;$F$7&amp;" should be equal to "&amp;B116&amp;""&amp;CHAR(10),""),IF(G116&lt;&gt;(G129+G130+G131)," * Total "&amp;A129&amp;" "&amp;$F$6&amp;" "&amp;$G$7&amp;" should be equal to "&amp;B116&amp;""&amp;CHAR(10),""),IF(H116&lt;&gt;(H129+H130+H131)," * Total "&amp;A129&amp;" "&amp;$H$6&amp;" "&amp;$H$7&amp;" should be equal to "&amp;B116&amp;""&amp;CHAR(10),""),IF(I116&lt;&gt;(I129+I130+I131)," * Total "&amp;A129&amp;" "&amp;$H$6&amp;" "&amp;$I$7&amp;" should be equal to "&amp;B116&amp;""&amp;CHAR(10),""),IF(J116&lt;&gt;(J129+J130+J131)," * Total "&amp;A129&amp;" "&amp;$J$6&amp;" "&amp;$J$7&amp;" should be equal to "&amp;B116&amp;""&amp;CHAR(10),""),IF(K116&lt;&gt;(K129+K130+K131)," * Total "&amp;A129&amp;" "&amp;$J$6&amp;" "&amp;$K$7&amp;" should be equal to "&amp;B116&amp;""&amp;CHAR(10),""),IF(L116&lt;&gt;(L129+L130+L131)," * Total "&amp;A129&amp;" "&amp;$L$6&amp;" "&amp;$L$7&amp;" should be equal to "&amp;B116&amp;""&amp;CHAR(10),""),IF(M116&lt;&gt;(M129+M130+M131)," * Total "&amp;A129&amp;" "&amp;$L$6&amp;" "&amp;$M$7&amp;" should be equal to "&amp;B116&amp;""&amp;CHAR(10),""),IF(N116&lt;&gt;(N129+N130+N131)," * Total "&amp;A129&amp;" "&amp;$N$6&amp;" "&amp;$N$7&amp;" should be equal to "&amp;B116&amp;""&amp;CHAR(10),""),IF(O116&lt;&gt;(O129+O130+O131)," * Total "&amp;A129&amp;" "&amp;$N$6&amp;" "&amp;$O$7&amp;" should be equal to "&amp;B116&amp;""&amp;CHAR(10),""),IF(P116&lt;&gt;(P129+P130+P131)," * Total "&amp;A129&amp;" "&amp;$P$6&amp;" "&amp;$P$7&amp;" should be equal to "&amp;B116&amp;""&amp;CHAR(10),""),IF(Q116&lt;&gt;(Q129+Q130+Q131)," * Total "&amp;A129&amp;" "&amp;$P$6&amp;" "&amp;$Q$7&amp;" should be equal to "&amp;B116&amp;""&amp;CHAR(10),""),IF(R116&lt;&gt;(R129+R130+R131)," * Total "&amp;A129&amp;" "&amp;$R$6&amp;" "&amp;$R$7&amp;" should be equal to "&amp;B116&amp;""&amp;CHAR(10),""),IF(S116&lt;&gt;(S129+S130+S131)," * Total "&amp;A129&amp;" "&amp;$R$6&amp;" "&amp;$S$7&amp;" should be equal to "&amp;B116&amp;""&amp;CHAR(10),""),IF(T116&lt;&gt;(T129+T130+T131)," * Total "&amp;A129&amp;" "&amp;$T$6&amp;" "&amp;$T$7&amp;" should be equal to "&amp;B116&amp;""&amp;CHAR(10),""),IF(U116&lt;&gt;(U129+U130+U131)," * Total "&amp;A129&amp;" "&amp;$T$6&amp;" "&amp;$U$7&amp;" should be equal to "&amp;B116&amp;""&amp;CHAR(10),""),IF(V116&lt;&gt;(V129+V130+V131)," * Total "&amp;A129&amp;" "&amp;$V$6&amp;" "&amp;$V$7&amp;" should be equal to "&amp;B116&amp;""&amp;CHAR(10),""),IF(W116&lt;&gt;(W129+W130+W131)," * Total "&amp;A129&amp;" "&amp;$V$6&amp;" "&amp;$W$7&amp;" should be equal to "&amp;B116&amp;""&amp;CHAR(10),""),IF(X116&lt;&gt;(X129+X130+X131)," * Total "&amp;A129&amp;" "&amp;$X$6&amp;" "&amp;$X$7&amp;" should be equal to "&amp;B116&amp;""&amp;CHAR(10),""),IF(Y116&lt;&gt;(Y129+Y130+Y131)," * Total "&amp;A129&amp;" "&amp;$X$6&amp;" "&amp;$Y$7&amp;" should be equal to "&amp;B116&amp;""&amp;CHAR(10),""),IF(Z116&lt;&gt;(Z129+Z130+Z131)," * Total "&amp;A129&amp;" "&amp;$Z$6&amp;" "&amp;$Z$7&amp;" should be equal to "&amp;B116&amp;""&amp;CHAR(10),""),IF(AA116&lt;&gt;(AA129+AA130+AA131)," * Total "&amp;A129&amp;" "&amp;$Z$6&amp;" "&amp;$AA$7&amp;" should be equal to "&amp;B116&amp;""&amp;CHAR(10),""))</f>
        <v/>
      </c>
      <c r="AL129" s="823"/>
      <c r="AM129" s="113"/>
      <c r="AN129" s="817"/>
      <c r="AO129" s="283"/>
    </row>
    <row r="130" spans="1:41" ht="31.5" thickBot="1">
      <c r="A130" s="942"/>
      <c r="B130" s="284" t="s">
        <v>287</v>
      </c>
      <c r="C130" s="40" t="s">
        <v>288</v>
      </c>
      <c r="D130" s="285"/>
      <c r="E130" s="286"/>
      <c r="F130" s="286"/>
      <c r="G130" s="286"/>
      <c r="H130" s="286"/>
      <c r="I130" s="286"/>
      <c r="J130" s="286"/>
      <c r="K130" s="768"/>
      <c r="L130" s="359"/>
      <c r="M130" s="360"/>
      <c r="N130" s="360"/>
      <c r="O130" s="360"/>
      <c r="P130" s="360"/>
      <c r="Q130" s="360"/>
      <c r="R130" s="360"/>
      <c r="S130" s="360"/>
      <c r="T130" s="360"/>
      <c r="U130" s="360"/>
      <c r="V130" s="360"/>
      <c r="W130" s="360"/>
      <c r="X130" s="360"/>
      <c r="Y130" s="360"/>
      <c r="Z130" s="360"/>
      <c r="AA130" s="397"/>
      <c r="AB130" s="727"/>
      <c r="AC130" s="727"/>
      <c r="AD130" s="727"/>
      <c r="AE130" s="727"/>
      <c r="AF130" s="727"/>
      <c r="AG130" s="727"/>
      <c r="AH130" s="727"/>
      <c r="AI130" s="268"/>
      <c r="AJ130" s="382">
        <f t="shared" si="122"/>
        <v>0</v>
      </c>
      <c r="AK130" s="274"/>
      <c r="AL130" s="823"/>
      <c r="AM130" s="113"/>
      <c r="AN130" s="817"/>
      <c r="AO130" s="283"/>
    </row>
    <row r="131" spans="1:41" ht="31.5" thickBot="1">
      <c r="A131" s="943"/>
      <c r="B131" s="201" t="s">
        <v>290</v>
      </c>
      <c r="C131" s="202" t="s">
        <v>291</v>
      </c>
      <c r="D131" s="203"/>
      <c r="E131" s="204"/>
      <c r="F131" s="204"/>
      <c r="G131" s="204"/>
      <c r="H131" s="204"/>
      <c r="I131" s="204"/>
      <c r="J131" s="204"/>
      <c r="K131" s="204"/>
      <c r="L131" s="1051"/>
      <c r="M131" s="1051"/>
      <c r="N131" s="1051"/>
      <c r="O131" s="1051"/>
      <c r="P131" s="1051"/>
      <c r="Q131" s="1051"/>
      <c r="R131" s="1051"/>
      <c r="S131" s="1051"/>
      <c r="T131" s="1051"/>
      <c r="U131" s="1051"/>
      <c r="V131" s="1051"/>
      <c r="W131" s="1051"/>
      <c r="X131" s="1051"/>
      <c r="Y131" s="1051"/>
      <c r="Z131" s="1051"/>
      <c r="AA131" s="1052"/>
      <c r="AB131" s="240"/>
      <c r="AC131" s="727"/>
      <c r="AD131" s="727"/>
      <c r="AE131" s="727"/>
      <c r="AF131" s="727"/>
      <c r="AG131" s="727"/>
      <c r="AH131" s="727"/>
      <c r="AI131" s="268"/>
      <c r="AJ131" s="382">
        <f t="shared" si="122"/>
        <v>0</v>
      </c>
      <c r="AK131" s="274"/>
      <c r="AL131" s="823"/>
      <c r="AM131" s="113"/>
      <c r="AN131" s="817"/>
      <c r="AO131" s="283"/>
    </row>
    <row r="132" spans="1:41" ht="69.95" customHeight="1" thickBot="1">
      <c r="A132" s="200" t="s">
        <v>293</v>
      </c>
      <c r="B132" s="197" t="s">
        <v>294</v>
      </c>
      <c r="C132" s="18" t="s">
        <v>295</v>
      </c>
      <c r="D132" s="198"/>
      <c r="E132" s="199"/>
      <c r="F132" s="199"/>
      <c r="G132" s="199"/>
      <c r="H132" s="199"/>
      <c r="I132" s="199"/>
      <c r="J132" s="24"/>
      <c r="K132" s="24"/>
      <c r="L132" s="214"/>
      <c r="M132" s="214"/>
      <c r="N132" s="214"/>
      <c r="O132" s="214"/>
      <c r="P132" s="214"/>
      <c r="Q132" s="214"/>
      <c r="R132" s="214"/>
      <c r="S132" s="214"/>
      <c r="T132" s="214"/>
      <c r="U132" s="214"/>
      <c r="V132" s="214"/>
      <c r="W132" s="214"/>
      <c r="X132" s="214"/>
      <c r="Y132" s="214"/>
      <c r="Z132" s="214"/>
      <c r="AA132" s="766"/>
      <c r="AB132" s="240"/>
      <c r="AC132" s="727"/>
      <c r="AD132" s="727"/>
      <c r="AE132" s="727"/>
      <c r="AF132" s="727"/>
      <c r="AG132" s="727"/>
      <c r="AH132" s="727"/>
      <c r="AI132" s="268"/>
      <c r="AJ132" s="382">
        <f t="shared" si="122"/>
        <v>0</v>
      </c>
      <c r="AK132" s="274" t="str">
        <f>CONCATENATE(IF(D132&gt;D116," * Newly Initiated on Event-Driven Prep For age "&amp;$D$6&amp;" "&amp;$D$7&amp;" Should not be more than Initiated(New) on Prep"&amp;CHAR(10),""),IF(E132&gt;E116," * Newly Initiated on Event-Driven Prep For age "&amp;$D$6&amp;" "&amp;$E$7&amp;" Should not be more than Initiated(New) on Prep"&amp;CHAR(10),""),IF(F132&gt;F116," * Newly Initiated on Event-Driven Prep For age "&amp;$F$6&amp;" "&amp;$F$7&amp;" Should not be more than Initiated(New) on Prep"&amp;CHAR(10),""),IF(G132&gt;G116," * Newly Initiated on Event-Driven Prep For age "&amp;$F$6&amp;" "&amp;$G$7&amp;" Should not be more than Initiated(New) on Prep"&amp;CHAR(10),""),IF(H132&gt;H116," * Newly Initiated on Event-Driven Prep For age "&amp;$H$6&amp;" "&amp;$H$7&amp;" Should not be more than Initiated(New) on Prep"&amp;CHAR(10),""),IF(I132&gt;I116," * Newly Initiated on Event-Driven Prep For age "&amp;$H$6&amp;" "&amp;$I$7&amp;" Should not be more than Initiated(New) on Prep"&amp;CHAR(10),""),IF(J132&gt;J116," * Newly Initiated on Event-Driven Prep For age "&amp;$J$6&amp;" "&amp;$J$7&amp;" Should not be more than Initiated(New) on Prep"&amp;CHAR(10),""),IF(K132&gt;K116," * Newly Initiated on Event-Driven Prep For age "&amp;$J$6&amp;" "&amp;$K$7&amp;" Should not be more than Initiated(New) on Prep"&amp;CHAR(10),""),IF(L132&gt;L116," * Newly Initiated on Event-Driven Prep For age "&amp;$L$6&amp;" "&amp;$L$7&amp;" Should not be more than Initiated(New) on Prep"&amp;CHAR(10),""),IF(M132&gt;M116," * Newly Initiated on Event-Driven Prep For age "&amp;$L$6&amp;" "&amp;$M$7&amp;" Should not be more than Initiated(New) on Prep"&amp;CHAR(10),""),IF(N132&gt;N116," * Newly Initiated on Event-Driven Prep For age "&amp;$N$6&amp;" "&amp;$N$7&amp;" Should not be more than Initiated(New) on Prep"&amp;CHAR(10),""),IF(O132&gt;O116," * Newly Initiated on Event-Driven Prep For age "&amp;$N$6&amp;" "&amp;$O$7&amp;" Should not be more than Initiated(New) on Prep"&amp;CHAR(10),""),IF(P132&gt;P116," * Newly Initiated on Event-Driven Prep For age "&amp;$P$6&amp;" "&amp;$P$7&amp;" Should not be more than Initiated(New) on Prep"&amp;CHAR(10),""),IF(Q132&gt;Q116," * Newly Initiated on Event-Driven Prep For age "&amp;$P$6&amp;" "&amp;$Q$7&amp;" Should not be more than Initiated(New) on Prep"&amp;CHAR(10),""),IF(R132&gt;R116," * Newly Initiated on Event-Driven Prep For age "&amp;$R$6&amp;" "&amp;$R$7&amp;" Should not be more than Initiated(New) on Prep"&amp;CHAR(10),""),IF(S132&gt;S116," * Newly Initiated on Event-Driven Prep For age "&amp;$R$6&amp;" "&amp;$S$7&amp;" Should not be more than Initiated(New) on Prep"&amp;CHAR(10),""),IF(T132&gt;T116," * Newly Initiated on Event-Driven Prep For age "&amp;$T$6&amp;" "&amp;$T$7&amp;" Should not be more than Initiated(New) on Prep"&amp;CHAR(10),""),IF(U132&gt;U116," * Newly Initiated on Event-Driven Prep For age "&amp;$T$6&amp;" "&amp;$U$7&amp;" Should not be more than Initiated(New) on Prep"&amp;CHAR(10),""),IF(V132&gt;V116," * Newly Initiated on Event-Driven Prep For age "&amp;$V$6&amp;" "&amp;$V$7&amp;" Should not be more than Initiated(New) on Prep"&amp;CHAR(10),""),IF(W132&gt;W116," * Newly Initiated on Event-Driven Prep For age "&amp;$V$6&amp;" "&amp;$W$7&amp;" Should not be more than Initiated(New) on Prep"&amp;CHAR(10),""),IF(X132&gt;X116," * Newly Initiated on Event-Driven Prep For age "&amp;$X$6&amp;" "&amp;$X$7&amp;" Should not be more than Initiated(New) on Prep"&amp;CHAR(10),""),IF(Y132&gt;Y116," * Newly Initiated on Event-Driven Prep For age "&amp;$X$6&amp;" "&amp;$Y$7&amp;" Should not be more than Initiated(New) on Prep"&amp;CHAR(10),""),IF(Z132&gt;Z116," * Newly Initiated on Event-Driven Prep For age "&amp;$Z$6&amp;" "&amp;$Z$7&amp;" Should not be more than Initiated(New) on Prep"&amp;CHAR(10),""),IF(AA132&gt;AA116," * Newly Initiated on Event-Driven Prep For age "&amp;$Z$6&amp;" "&amp;$AA$7&amp;" Should not be more than Initiated(New) on Prep"&amp;CHAR(10),""))</f>
        <v/>
      </c>
      <c r="AL132" s="823"/>
      <c r="AM132" s="113"/>
      <c r="AN132" s="817"/>
      <c r="AO132" s="283"/>
    </row>
    <row r="133" spans="1:41" ht="139.5" customHeight="1" thickBot="1">
      <c r="A133" s="195" t="s">
        <v>298</v>
      </c>
      <c r="B133" s="701" t="s">
        <v>968</v>
      </c>
      <c r="C133" s="287" t="s">
        <v>300</v>
      </c>
      <c r="D133" s="728"/>
      <c r="E133" s="288"/>
      <c r="F133" s="288"/>
      <c r="G133" s="288"/>
      <c r="H133" s="288"/>
      <c r="I133" s="288"/>
      <c r="J133" s="288"/>
      <c r="K133" s="288"/>
      <c r="L133" s="335"/>
      <c r="M133" s="335"/>
      <c r="N133" s="335"/>
      <c r="O133" s="335"/>
      <c r="P133" s="335"/>
      <c r="Q133" s="335"/>
      <c r="R133" s="335"/>
      <c r="S133" s="335"/>
      <c r="T133" s="335"/>
      <c r="U133" s="335"/>
      <c r="V133" s="335"/>
      <c r="W133" s="335"/>
      <c r="X133" s="335"/>
      <c r="Y133" s="335"/>
      <c r="Z133" s="335"/>
      <c r="AA133" s="335"/>
      <c r="AB133" s="240"/>
      <c r="AC133" s="727"/>
      <c r="AD133" s="727"/>
      <c r="AE133" s="727"/>
      <c r="AF133" s="727"/>
      <c r="AG133" s="727"/>
      <c r="AH133" s="727"/>
      <c r="AI133" s="268"/>
      <c r="AJ133" s="382">
        <f t="shared" ref="AJ133" si="123">SUM(J133:AA133)</f>
        <v>0</v>
      </c>
      <c r="AK133" s="119"/>
      <c r="AL133" s="823"/>
      <c r="AM133" s="113"/>
      <c r="AN133" s="817"/>
      <c r="AO133" s="283"/>
    </row>
    <row r="134" spans="1:41">
      <c r="A134" s="946" t="s">
        <v>929</v>
      </c>
      <c r="B134" s="289" t="s">
        <v>304</v>
      </c>
      <c r="C134" s="18" t="s">
        <v>305</v>
      </c>
      <c r="D134" s="145"/>
      <c r="E134" s="24"/>
      <c r="F134" s="24"/>
      <c r="G134" s="24"/>
      <c r="H134" s="24"/>
      <c r="I134" s="24"/>
      <c r="J134" s="24"/>
      <c r="K134" s="24"/>
      <c r="L134" s="25"/>
      <c r="M134" s="25"/>
      <c r="N134" s="25"/>
      <c r="O134" s="25"/>
      <c r="P134" s="25"/>
      <c r="Q134" s="25"/>
      <c r="R134" s="25"/>
      <c r="S134" s="25"/>
      <c r="T134" s="25"/>
      <c r="U134" s="25"/>
      <c r="V134" s="25"/>
      <c r="W134" s="25"/>
      <c r="X134" s="25"/>
      <c r="Y134" s="25"/>
      <c r="Z134" s="25"/>
      <c r="AA134" s="25"/>
      <c r="AB134" s="240"/>
      <c r="AC134" s="727"/>
      <c r="AD134" s="727"/>
      <c r="AE134" s="727"/>
      <c r="AF134" s="727"/>
      <c r="AG134" s="727"/>
      <c r="AH134" s="727"/>
      <c r="AI134" s="268"/>
      <c r="AJ134" s="109">
        <f t="shared" ref="AJ134:AJ145" si="124">SUM(D134:AA134)</f>
        <v>0</v>
      </c>
      <c r="AK134" s="282" t="str">
        <f>CONCATENATE(IF(D134&gt;D133," * Tested for HIV while on Prep_CT for Age "&amp;D6&amp;" "&amp;D7&amp;" is more than Prep_CT"&amp;CHAR(10),""),IF(E134&gt;E133," * Tested for HIV while on Prep_CT for Age "&amp;D6&amp;" "&amp;E7&amp;" is more than Prep_CT"&amp;CHAR(10),""),IF(F134&gt;F133," * Tested for HIV while on Prep_CT for Age "&amp;F6&amp;" "&amp;F7&amp;" is more than Prep_CT"&amp;CHAR(10),""),IF(G134&gt;G133," * Tested for HIV while on Prep_CT for Age "&amp;F6&amp;" "&amp;G7&amp;" is more than Prep_CT"&amp;CHAR(10),""),IF(H134&gt;H133," * Tested for HIV while on Prep_CT for Age "&amp;H6&amp;" "&amp;H7&amp;" is more than Prep_CT"&amp;CHAR(10),""),IF(I134&gt;I133," * Tested for HIV while on Prep_CT for Age "&amp;H6&amp;" "&amp;I7&amp;" is more than Prep_CT"&amp;CHAR(10),""),IF(J134&gt;J133," * Tested for HIV while on Prep_CT for Age "&amp;J6&amp;" "&amp;J7&amp;" is more than Prep_CT"&amp;CHAR(10),""),IF(K134&gt;K133," * Tested for HIV while on Prep_CT for Age "&amp;J6&amp;" "&amp;K7&amp;" is more than Prep_CT"&amp;CHAR(10),""),IF(L134&gt;L133," * Tested for HIV while on Prep_CT for Age "&amp;L6&amp;" "&amp;L7&amp;" is more than Prep_CT"&amp;CHAR(10),""),IF(M134&gt;M133," * Tested for HIV while on Prep_CT for Age "&amp;L6&amp;" "&amp;M7&amp;" is more than Prep_CT"&amp;CHAR(10),""),IF(N134&gt;N133," * Tested for HIV while on Prep_CT for Age "&amp;N6&amp;" "&amp;N7&amp;" is more than Prep_CT"&amp;CHAR(10),""),IF(O134&gt;O133," * Tested for HIV while on Prep_CT for Age "&amp;N6&amp;" "&amp;O7&amp;" is more than Prep_CT"&amp;CHAR(10),""),IF(P134&gt;P133," * Tested for HIV while on Prep_CT for Age "&amp;P6&amp;" "&amp;P7&amp;" is more than Prep_CT"&amp;CHAR(10),""),IF(Q134&gt;Q133," * Tested for HIV while on Prep_CT for Age "&amp;P6&amp;" "&amp;Q7&amp;" is more than Prep_CT"&amp;CHAR(10),""),IF(R134&gt;R133," * Tested for HIV while on Prep_CT for Age "&amp;R6&amp;" "&amp;R7&amp;" is more than Prep_CT"&amp;CHAR(10),""),IF(S134&gt;S133," * Tested for HIV while on Prep_CT for Age "&amp;R6&amp;" "&amp;S7&amp;" is more than Prep_CT"&amp;CHAR(10),""),IF(T134&gt;T133," * Tested for HIV while on Prep_CT for Age "&amp;T6&amp;" "&amp;T7&amp;" is more than Prep_CT"&amp;CHAR(10),""),IF(U134&gt;U133," * Tested for HIV while on Prep_CT for Age "&amp;T6&amp;" "&amp;U7&amp;" is more than Prep_CT"&amp;CHAR(10),""),IF(V134&gt;V133," * Tested for HIV while on Prep_CT for Age "&amp;V6&amp;" "&amp;V7&amp;" is more than Prep_CT"&amp;CHAR(10),""),IF(W134&gt;W133," * Tested for HIV while on Prep_CT for Age "&amp;V6&amp;" "&amp;W7&amp;" is more than Prep_CT"&amp;CHAR(10),""),IF(X134&gt;X133," * Tested for HIV while on Prep_CT for Age "&amp;X6&amp;" "&amp;X7&amp;" is more than Prep_CT"&amp;CHAR(10),""),IF(Y134&gt;Y133," * Tested for HIV while on Prep_CT for Age "&amp;X6&amp;" "&amp;Y7&amp;" is more than Prep_CT"&amp;CHAR(10),""),IF(Z134&gt;Z133," * Tested for HIV while on Prep_CT for Age "&amp;Z6&amp;" "&amp;Z7&amp;" is more than Prep_CT"&amp;CHAR(10),""),IF(AA134&gt;AA133," * Tested for HIV while on Prep_CT for Age "&amp;Z6&amp;" "&amp;AA7&amp;" is more than Prep_CT"&amp;CHAR(10),""),IF(AJ134&gt;AJ133," * Total Tested for HIV while on Prep_CT is more than Total Prep_CT"&amp;CHAR(10),""))</f>
        <v/>
      </c>
      <c r="AL134" s="823"/>
      <c r="AM134" s="113"/>
      <c r="AN134" s="817"/>
      <c r="AO134" s="283">
        <v>85</v>
      </c>
    </row>
    <row r="135" spans="1:41" ht="31.5" thickBot="1">
      <c r="A135" s="947"/>
      <c r="B135" s="290" t="s">
        <v>308</v>
      </c>
      <c r="C135" s="19" t="s">
        <v>309</v>
      </c>
      <c r="D135" s="291"/>
      <c r="E135" s="51"/>
      <c r="F135" s="51"/>
      <c r="G135" s="51"/>
      <c r="H135" s="51"/>
      <c r="I135" s="51"/>
      <c r="J135" s="51"/>
      <c r="K135" s="51"/>
      <c r="L135" s="336"/>
      <c r="M135" s="336"/>
      <c r="N135" s="336"/>
      <c r="O135" s="336"/>
      <c r="P135" s="336"/>
      <c r="Q135" s="336"/>
      <c r="R135" s="336"/>
      <c r="S135" s="336"/>
      <c r="T135" s="336"/>
      <c r="U135" s="336"/>
      <c r="V135" s="336"/>
      <c r="W135" s="336"/>
      <c r="X135" s="336"/>
      <c r="Y135" s="336"/>
      <c r="Z135" s="336"/>
      <c r="AA135" s="588"/>
      <c r="AB135" s="240"/>
      <c r="AC135" s="727"/>
      <c r="AD135" s="727"/>
      <c r="AE135" s="727"/>
      <c r="AF135" s="727"/>
      <c r="AG135" s="727"/>
      <c r="AH135" s="727"/>
      <c r="AI135" s="268"/>
      <c r="AJ135" s="382">
        <f>SUM(D135:AA135)</f>
        <v>0</v>
      </c>
      <c r="AK135" s="282"/>
      <c r="AL135" s="823"/>
      <c r="AM135" s="113"/>
      <c r="AN135" s="817"/>
      <c r="AO135" s="283">
        <v>86</v>
      </c>
    </row>
    <row r="136" spans="1:41">
      <c r="A136" s="894" t="s">
        <v>930</v>
      </c>
      <c r="B136" s="295" t="s">
        <v>269</v>
      </c>
      <c r="C136" s="191" t="s">
        <v>312</v>
      </c>
      <c r="D136" s="24"/>
      <c r="E136" s="24"/>
      <c r="F136" s="24"/>
      <c r="G136" s="24"/>
      <c r="H136" s="24"/>
      <c r="I136" s="24"/>
      <c r="J136" s="24"/>
      <c r="K136" s="24"/>
      <c r="L136" s="24"/>
      <c r="M136" s="44"/>
      <c r="N136" s="24"/>
      <c r="O136" s="44"/>
      <c r="P136" s="24"/>
      <c r="Q136" s="44"/>
      <c r="R136" s="24"/>
      <c r="S136" s="44"/>
      <c r="T136" s="24"/>
      <c r="U136" s="44"/>
      <c r="V136" s="24"/>
      <c r="W136" s="44"/>
      <c r="X136" s="24"/>
      <c r="Y136" s="44"/>
      <c r="Z136" s="24"/>
      <c r="AA136" s="126"/>
      <c r="AB136" s="240"/>
      <c r="AC136" s="727"/>
      <c r="AD136" s="727"/>
      <c r="AE136" s="727"/>
      <c r="AF136" s="727"/>
      <c r="AG136" s="727"/>
      <c r="AH136" s="727"/>
      <c r="AI136" s="268"/>
      <c r="AJ136" s="382">
        <f>SUM(D136:AA136)</f>
        <v>0</v>
      </c>
      <c r="AK136" s="274"/>
      <c r="AL136" s="823"/>
      <c r="AM136" s="113"/>
      <c r="AN136" s="817"/>
      <c r="AO136" s="283"/>
    </row>
    <row r="137" spans="1:41" ht="31.5" thickBot="1">
      <c r="A137" s="896"/>
      <c r="B137" s="292" t="s">
        <v>272</v>
      </c>
      <c r="C137" s="19" t="s">
        <v>315</v>
      </c>
      <c r="D137" s="293"/>
      <c r="E137" s="294"/>
      <c r="F137" s="294"/>
      <c r="G137" s="294"/>
      <c r="H137" s="294"/>
      <c r="I137" s="294"/>
      <c r="J137" s="294"/>
      <c r="K137" s="294"/>
      <c r="L137" s="51"/>
      <c r="M137" s="337"/>
      <c r="N137" s="51"/>
      <c r="O137" s="337"/>
      <c r="P137" s="51"/>
      <c r="Q137" s="337"/>
      <c r="R137" s="51"/>
      <c r="S137" s="337"/>
      <c r="T137" s="51"/>
      <c r="U137" s="337"/>
      <c r="V137" s="51"/>
      <c r="W137" s="337"/>
      <c r="X137" s="51"/>
      <c r="Y137" s="337"/>
      <c r="Z137" s="51"/>
      <c r="AA137" s="769"/>
      <c r="AB137" s="240"/>
      <c r="AC137" s="727"/>
      <c r="AD137" s="727"/>
      <c r="AE137" s="727"/>
      <c r="AF137" s="727"/>
      <c r="AG137" s="727"/>
      <c r="AH137" s="727"/>
      <c r="AI137" s="268"/>
      <c r="AJ137" s="382">
        <f t="shared" si="124"/>
        <v>0</v>
      </c>
      <c r="AK137" s="274"/>
      <c r="AL137" s="823"/>
      <c r="AM137" s="113"/>
      <c r="AN137" s="817"/>
      <c r="AO137" s="283"/>
    </row>
    <row r="138" spans="1:41" ht="31.5" thickBot="1">
      <c r="A138" s="894" t="s">
        <v>931</v>
      </c>
      <c r="B138" s="295" t="s">
        <v>204</v>
      </c>
      <c r="C138" s="296" t="s">
        <v>318</v>
      </c>
      <c r="D138" s="297"/>
      <c r="E138" s="298"/>
      <c r="F138" s="298"/>
      <c r="G138" s="298"/>
      <c r="H138" s="298"/>
      <c r="I138" s="298"/>
      <c r="J138" s="298"/>
      <c r="K138" s="298"/>
      <c r="L138" s="298"/>
      <c r="M138" s="338"/>
      <c r="N138" s="298"/>
      <c r="O138" s="338"/>
      <c r="P138" s="298"/>
      <c r="Q138" s="338"/>
      <c r="R138" s="298"/>
      <c r="S138" s="338"/>
      <c r="T138" s="298"/>
      <c r="U138" s="338"/>
      <c r="V138" s="298"/>
      <c r="W138" s="338"/>
      <c r="X138" s="298"/>
      <c r="Y138" s="338"/>
      <c r="Z138" s="298"/>
      <c r="AA138" s="338"/>
      <c r="AB138" s="240"/>
      <c r="AC138" s="727"/>
      <c r="AD138" s="727"/>
      <c r="AE138" s="727"/>
      <c r="AF138" s="727"/>
      <c r="AG138" s="727"/>
      <c r="AH138" s="727"/>
      <c r="AI138" s="268"/>
      <c r="AJ138" s="382">
        <f>SUM(D138:AA138)</f>
        <v>0</v>
      </c>
      <c r="AK138" s="760"/>
      <c r="AL138" s="823"/>
      <c r="AM138" s="383"/>
      <c r="AN138" s="817"/>
      <c r="AO138" s="283"/>
    </row>
    <row r="139" spans="1:41" ht="31.5" thickBot="1">
      <c r="A139" s="896"/>
      <c r="B139" s="292" t="s">
        <v>210</v>
      </c>
      <c r="C139" s="299" t="s">
        <v>320</v>
      </c>
      <c r="D139" s="145"/>
      <c r="E139" s="300"/>
      <c r="F139" s="300"/>
      <c r="G139" s="300"/>
      <c r="H139" s="300"/>
      <c r="I139" s="300"/>
      <c r="J139" s="300"/>
      <c r="K139" s="300"/>
      <c r="L139" s="339"/>
      <c r="M139" s="300"/>
      <c r="N139" s="339"/>
      <c r="O139" s="300"/>
      <c r="P139" s="339"/>
      <c r="Q139" s="300"/>
      <c r="R139" s="339"/>
      <c r="S139" s="300"/>
      <c r="T139" s="339"/>
      <c r="U139" s="300"/>
      <c r="V139" s="339"/>
      <c r="W139" s="300"/>
      <c r="X139" s="339"/>
      <c r="Y139" s="300"/>
      <c r="Z139" s="339"/>
      <c r="AA139" s="770"/>
      <c r="AB139" s="240"/>
      <c r="AC139" s="727"/>
      <c r="AD139" s="727"/>
      <c r="AE139" s="727"/>
      <c r="AF139" s="727"/>
      <c r="AG139" s="727"/>
      <c r="AH139" s="727"/>
      <c r="AI139" s="268"/>
      <c r="AJ139" s="382">
        <f>SUM(D139:AA139)</f>
        <v>0</v>
      </c>
      <c r="AK139" s="760"/>
      <c r="AL139" s="823"/>
      <c r="AM139" s="383"/>
      <c r="AN139" s="817"/>
      <c r="AO139" s="283"/>
    </row>
    <row r="140" spans="1:41">
      <c r="A140" s="986" t="s">
        <v>932</v>
      </c>
      <c r="B140" s="289" t="s">
        <v>276</v>
      </c>
      <c r="C140" s="18" t="s">
        <v>323</v>
      </c>
      <c r="D140" s="301"/>
      <c r="E140" s="199"/>
      <c r="F140" s="199"/>
      <c r="G140" s="199"/>
      <c r="H140" s="199"/>
      <c r="I140" s="199"/>
      <c r="J140" s="199"/>
      <c r="K140" s="199"/>
      <c r="L140" s="214"/>
      <c r="M140" s="214"/>
      <c r="N140" s="214"/>
      <c r="O140" s="214"/>
      <c r="P140" s="214"/>
      <c r="Q140" s="214"/>
      <c r="R140" s="214"/>
      <c r="S140" s="214"/>
      <c r="T140" s="214"/>
      <c r="U140" s="214"/>
      <c r="V140" s="214"/>
      <c r="W140" s="214"/>
      <c r="X140" s="214"/>
      <c r="Y140" s="214"/>
      <c r="Z140" s="214"/>
      <c r="AA140" s="766"/>
      <c r="AB140" s="240"/>
      <c r="AC140" s="727"/>
      <c r="AD140" s="727"/>
      <c r="AE140" s="727"/>
      <c r="AF140" s="727"/>
      <c r="AG140" s="727"/>
      <c r="AH140" s="727"/>
      <c r="AI140" s="268"/>
      <c r="AJ140" s="382">
        <f>SUM(D140:AA140)</f>
        <v>0</v>
      </c>
      <c r="AK140" s="274" t="str">
        <f>CONCATENATE(IF(D133&lt;&gt;(D140+D141)," * "&amp;A140&amp;" "&amp;$D$6&amp;" "&amp;$D$7&amp;" should be equal to Total "&amp;A133&amp;""&amp;CHAR(10),""),IF(E133&lt;&gt;(E140+E141)," * "&amp;A140&amp;" "&amp;$D$6&amp;" "&amp;$E$7&amp;" should be equal to Total  "&amp;A133&amp;""&amp;CHAR(10),""),IF(F133&lt;&gt;(F140+F141)," * "&amp;A140&amp;" "&amp;$F$6&amp;" "&amp;$F$7&amp;" should be equal to Total  "&amp;A133&amp;""&amp;CHAR(10),""),IF(G133&lt;&gt;(G140+G141)," * "&amp;A140&amp;" "&amp;$F$6&amp;" "&amp;$G$7&amp;" should be equal to Total  "&amp;A133&amp;""&amp;CHAR(10),""),IF(H133&lt;&gt;(H140+H141)," * "&amp;A140&amp;" "&amp;$H$6&amp;" "&amp;$H$7&amp;" should be equal to Total  "&amp;A133&amp;""&amp;CHAR(10),""),IF(I133&lt;&gt;(I140+I141)," * "&amp;A140&amp;" "&amp;$H$6&amp;" "&amp;$I$7&amp;" should be equal to Total  "&amp;A133&amp;""&amp;CHAR(10),""),IF(J133&lt;&gt;(J140+J141)," * "&amp;A140&amp;" "&amp;$J$6&amp;" "&amp;$J$7&amp;" should be equal to Total  "&amp;A133&amp;""&amp;CHAR(10),""),IF(K133&lt;&gt;(K140+K141)," * "&amp;A140&amp;" "&amp;$J$6&amp;" "&amp;$K$7&amp;" should be equal to Total  "&amp;A133&amp;""&amp;CHAR(10),""),IF(L133&lt;&gt;(L140+L141)," * "&amp;A140&amp;" "&amp;$L$6&amp;" "&amp;$L$7&amp;" should be equal to Total  "&amp;A133&amp;""&amp;CHAR(10),""),IF(M133&lt;&gt;(M140+M141)," * "&amp;A140&amp;" "&amp;$L$6&amp;" "&amp;$M$7&amp;" should be equal to Total  "&amp;A133&amp;""&amp;CHAR(10),""),IF(N133&lt;&gt;(N140+N141)," * "&amp;A140&amp;" "&amp;$N$6&amp;" "&amp;$N$7&amp;" should be equal to Total  "&amp;A133&amp;""&amp;CHAR(10),""),IF(O133&lt;&gt;(O140+O141)," * "&amp;A140&amp;" "&amp;$N$6&amp;" "&amp;$O$7&amp;" should be equal to Total  "&amp;A133&amp;""&amp;CHAR(10),""),IF(P133&lt;&gt;(P140+P141)," * "&amp;A140&amp;" "&amp;$P$6&amp;" "&amp;$P$7&amp;" should be equal to Total  "&amp;A133&amp;""&amp;CHAR(10),""),IF(Q133&lt;&gt;(Q140+Q141)," * "&amp;A140&amp;" "&amp;$P$6&amp;" "&amp;$Q$7&amp;" should be equal to Total  "&amp;A133&amp;""&amp;CHAR(10),""),IF(R133&lt;&gt;(R140+R141)," * "&amp;A140&amp;" "&amp;$R$6&amp;" "&amp;$R$7&amp;" should be equal to Total  "&amp;A133&amp;""&amp;CHAR(10),""),IF(S133&lt;&gt;(S140+S141)," * "&amp;A140&amp;" "&amp;$R$6&amp;" "&amp;$S$7&amp;" should be equal to Total  "&amp;A133&amp;""&amp;CHAR(10),""),IF(T133&lt;&gt;(T140+T141)," * "&amp;A140&amp;" "&amp;$T$6&amp;" "&amp;$T$7&amp;" should be equal to Total  "&amp;A133&amp;""&amp;CHAR(10),""),IF(U133&lt;&gt;(U140+U141)," * "&amp;A140&amp;" "&amp;$T$6&amp;" "&amp;$U$7&amp;" should be equal to Total  "&amp;A133&amp;""&amp;CHAR(10),""),IF(V133&lt;&gt;(V140+V141)," * "&amp;A140&amp;" "&amp;$V$6&amp;" "&amp;$V$7&amp;" should be equal to Total  "&amp;A133&amp;""&amp;CHAR(10),""),IF(W133&lt;&gt;(W140+W141)," * "&amp;A140&amp;" "&amp;$V$6&amp;" "&amp;$W$7&amp;" should be equal to Total  "&amp;A133&amp;""&amp;CHAR(10),""),IF(X133&lt;&gt;(X140+X141)," * "&amp;A140&amp;" "&amp;$X$6&amp;" "&amp;$X$7&amp;" should be equal to Total  "&amp;A133&amp;""&amp;CHAR(10),""),IF(Y133&lt;&gt;(Y140+Y141)," * "&amp;A140&amp;" "&amp;$X$6&amp;" "&amp;$Y$7&amp;" should be equal to Total  "&amp;A133&amp;""&amp;CHAR(10),""),IF(Z133&lt;&gt;(Z140+Z141)," * "&amp;A140&amp;" "&amp;$Z$6&amp;" "&amp;$Z$7&amp;" should be equal to Total  "&amp;A133&amp;""&amp;CHAR(10),""),IF(AA133&lt;&gt;(AA140+AA141)," * "&amp;A140&amp;" "&amp;$Z$6&amp;" "&amp;$AA$7&amp;" should be equal to Total  "&amp;A133&amp;""&amp;CHAR(10),""))</f>
        <v/>
      </c>
      <c r="AL140" s="823"/>
      <c r="AM140" s="113"/>
      <c r="AN140" s="817"/>
      <c r="AO140" s="283"/>
    </row>
    <row r="141" spans="1:41" ht="31.5" thickBot="1">
      <c r="A141" s="988"/>
      <c r="B141" s="290" t="s">
        <v>279</v>
      </c>
      <c r="C141" s="202" t="s">
        <v>325</v>
      </c>
      <c r="D141" s="302"/>
      <c r="E141" s="204"/>
      <c r="F141" s="204"/>
      <c r="G141" s="204"/>
      <c r="H141" s="204"/>
      <c r="I141" s="204"/>
      <c r="J141" s="204"/>
      <c r="K141" s="204"/>
      <c r="L141" s="1049"/>
      <c r="M141" s="1049"/>
      <c r="N141" s="1049"/>
      <c r="O141" s="1049"/>
      <c r="P141" s="1049"/>
      <c r="Q141" s="1049"/>
      <c r="R141" s="1049"/>
      <c r="S141" s="1049"/>
      <c r="T141" s="1049"/>
      <c r="U141" s="1049"/>
      <c r="V141" s="1049"/>
      <c r="W141" s="1049"/>
      <c r="X141" s="1049"/>
      <c r="Y141" s="1049"/>
      <c r="Z141" s="1049"/>
      <c r="AA141" s="1050"/>
      <c r="AB141" s="240"/>
      <c r="AC141" s="727"/>
      <c r="AD141" s="727"/>
      <c r="AE141" s="727"/>
      <c r="AF141" s="727"/>
      <c r="AG141" s="727"/>
      <c r="AH141" s="727"/>
      <c r="AI141" s="268"/>
      <c r="AJ141" s="382">
        <f>SUM(D141:AA141)</f>
        <v>0</v>
      </c>
      <c r="AK141" s="274"/>
      <c r="AL141" s="823"/>
      <c r="AM141" s="113"/>
      <c r="AN141" s="817"/>
      <c r="AO141" s="283"/>
    </row>
    <row r="142" spans="1:41">
      <c r="A142" s="986" t="s">
        <v>322</v>
      </c>
      <c r="B142" s="289" t="s">
        <v>283</v>
      </c>
      <c r="C142" s="18" t="s">
        <v>327</v>
      </c>
      <c r="D142" s="301"/>
      <c r="E142" s="199"/>
      <c r="F142" s="199"/>
      <c r="G142" s="199"/>
      <c r="H142" s="199"/>
      <c r="I142" s="199"/>
      <c r="J142" s="199"/>
      <c r="K142" s="1048"/>
      <c r="L142" s="222"/>
      <c r="M142" s="153"/>
      <c r="N142" s="153"/>
      <c r="O142" s="153"/>
      <c r="P142" s="153"/>
      <c r="Q142" s="153"/>
      <c r="R142" s="153"/>
      <c r="S142" s="153"/>
      <c r="T142" s="153"/>
      <c r="U142" s="153"/>
      <c r="V142" s="153"/>
      <c r="W142" s="153"/>
      <c r="X142" s="153"/>
      <c r="Y142" s="153"/>
      <c r="Z142" s="153"/>
      <c r="AA142" s="219"/>
      <c r="AB142" s="727"/>
      <c r="AC142" s="727"/>
      <c r="AD142" s="727"/>
      <c r="AE142" s="727"/>
      <c r="AF142" s="727"/>
      <c r="AG142" s="727"/>
      <c r="AH142" s="727"/>
      <c r="AI142" s="268"/>
      <c r="AJ142" s="382">
        <f t="shared" si="124"/>
        <v>0</v>
      </c>
      <c r="AK142" s="274" t="str">
        <f>CONCATENATE(IF(D133&lt;&gt;(D142+D143+D144)," * Total "&amp;A142&amp;" "&amp;$D$6&amp;" "&amp;$D$7&amp;" should be equal to Total "&amp;A133&amp;""&amp;CHAR(10),""),IF(E133&lt;&gt;(E142+E143+E144)," * Total "&amp;A142&amp;" "&amp;$D$6&amp;" "&amp;$E$7&amp;" should be equal to Total  "&amp;A133&amp;""&amp;CHAR(10),""),IF(F133&lt;&gt;(F142+F143+F144)," * Total "&amp;A142&amp;" "&amp;$F$6&amp;" "&amp;$F$7&amp;" should be equal to Total  "&amp;A133&amp;""&amp;CHAR(10),""),IF(G133&lt;&gt;(G142+G143+G144)," * Total "&amp;A142&amp;" "&amp;$F$6&amp;" "&amp;$G$7&amp;" should be equal to Total  "&amp;A133&amp;""&amp;CHAR(10),""),IF(H133&lt;&gt;(H142+H143+H144)," * Total "&amp;A142&amp;" "&amp;$H$6&amp;" "&amp;$H$7&amp;" should be equal to Total  "&amp;A133&amp;""&amp;CHAR(10),""),IF(I133&lt;&gt;(I142+I143+I144)," * Total "&amp;A142&amp;" "&amp;$H$6&amp;" "&amp;$I$7&amp;" should be equal to Total  "&amp;A133&amp;""&amp;CHAR(10),""),IF(J133&lt;&gt;(J142+J143+J144)," * Total "&amp;A142&amp;" "&amp;$J$6&amp;" "&amp;$J$7&amp;" should be equal to Total  "&amp;A133&amp;""&amp;CHAR(10),""),IF(K133&lt;&gt;(K142+K143+K144)," * Total "&amp;A142&amp;" "&amp;$J$6&amp;" "&amp;$K$7&amp;" should be equal to Total  "&amp;A133&amp;""&amp;CHAR(10),""),IF(L133&lt;&gt;(L142+L143+L144)," * Total "&amp;A142&amp;" "&amp;$L$6&amp;" "&amp;$L$7&amp;" should be equal to Total  "&amp;A133&amp;""&amp;CHAR(10),""),IF(M133&lt;&gt;(M142+M143+M144)," * Total "&amp;A142&amp;" "&amp;$L$6&amp;" "&amp;$M$7&amp;" should be equal to Total  "&amp;A133&amp;""&amp;CHAR(10),""),IF(N133&lt;&gt;(N142+N143+N144)," * Total "&amp;A142&amp;" "&amp;$N$6&amp;" "&amp;$N$7&amp;" should be equal to Total  "&amp;A133&amp;""&amp;CHAR(10),""),IF(O133&lt;&gt;(O142+O143+O144)," * Total "&amp;A142&amp;" "&amp;$N$6&amp;" "&amp;$O$7&amp;" should be equal to Total  "&amp;A133&amp;""&amp;CHAR(10),""),IF(P133&lt;&gt;(P142+P143+P144)," * Total "&amp;A142&amp;" "&amp;$P$6&amp;" "&amp;$P$7&amp;" should be equal to Total  "&amp;A133&amp;""&amp;CHAR(10),""),IF(Q133&lt;&gt;(Q142+Q143+Q144)," * Total "&amp;A142&amp;" "&amp;$P$6&amp;" "&amp;$Q$7&amp;" should be equal to Total  "&amp;A133&amp;""&amp;CHAR(10),""),IF(R133&lt;&gt;(R142+R143+R144)," * Total "&amp;A142&amp;" "&amp;$R$6&amp;" "&amp;$R$7&amp;" should be equal to Total  "&amp;A133&amp;""&amp;CHAR(10),""),IF(S133&lt;&gt;(S142+S143+S144)," * Total "&amp;A142&amp;" "&amp;$R$6&amp;" "&amp;$S$7&amp;" should be equal to Total  "&amp;A133&amp;""&amp;CHAR(10),""),IF(T133&lt;&gt;(T142+T143+T144)," * Total "&amp;A142&amp;" "&amp;$T$6&amp;" "&amp;$T$7&amp;" should be equal to Total  "&amp;A133&amp;""&amp;CHAR(10),""),IF(U133&lt;&gt;(U142+U143+U144)," * Total "&amp;A142&amp;" "&amp;$T$6&amp;" "&amp;$U$7&amp;" should be equal to Total  "&amp;A133&amp;""&amp;CHAR(10),""),IF(V133&lt;&gt;(V142+V143+V144)," * Total "&amp;A142&amp;" "&amp;$V$6&amp;" "&amp;$V$7&amp;" should be equal to Total  "&amp;A133&amp;""&amp;CHAR(10),""),IF(W133&lt;&gt;(W142+W143+W144)," * Total "&amp;A142&amp;" "&amp;$V$6&amp;" "&amp;$W$7&amp;" should be equal to Total  "&amp;A133&amp;""&amp;CHAR(10),""),IF(X133&lt;&gt;(X142+X143+X144)," * Total "&amp;A142&amp;" "&amp;$X$6&amp;" "&amp;$X$7&amp;" should be equal to Total  "&amp;A133&amp;""&amp;CHAR(10),""),IF(Y133&lt;&gt;(Y142+Y143+Y144)," * Total "&amp;A142&amp;" "&amp;$X$6&amp;" "&amp;$Y$7&amp;" should be equal to Total  "&amp;A133&amp;""&amp;CHAR(10),""),IF(Z133&lt;&gt;(Z142+Z143+Z144)," * Total "&amp;A142&amp;" "&amp;$Z$6&amp;" "&amp;$Z$7&amp;" should be equal to Total  "&amp;A133&amp;""&amp;CHAR(10),""),IF(AA133&lt;&gt;(AA142+AA143+AA144)," * Total "&amp;A142&amp;" "&amp;$Z$6&amp;" "&amp;$AA$7&amp;" should be equal to Total  "&amp;A133&amp;""&amp;CHAR(10),""))</f>
        <v/>
      </c>
      <c r="AL142" s="823"/>
      <c r="AM142" s="113"/>
      <c r="AN142" s="817"/>
      <c r="AO142" s="283"/>
    </row>
    <row r="143" spans="1:41" ht="31.5" thickBot="1">
      <c r="A143" s="987"/>
      <c r="B143" s="303" t="s">
        <v>287</v>
      </c>
      <c r="C143" s="40" t="s">
        <v>330</v>
      </c>
      <c r="D143" s="304"/>
      <c r="E143" s="286"/>
      <c r="F143" s="286"/>
      <c r="G143" s="286"/>
      <c r="H143" s="286"/>
      <c r="I143" s="286"/>
      <c r="J143" s="286"/>
      <c r="K143" s="768"/>
      <c r="L143" s="359"/>
      <c r="M143" s="360"/>
      <c r="N143" s="360"/>
      <c r="O143" s="360"/>
      <c r="P143" s="360"/>
      <c r="Q143" s="360"/>
      <c r="R143" s="360"/>
      <c r="S143" s="360"/>
      <c r="T143" s="360"/>
      <c r="U143" s="360"/>
      <c r="V143" s="360"/>
      <c r="W143" s="360"/>
      <c r="X143" s="360"/>
      <c r="Y143" s="360"/>
      <c r="Z143" s="360"/>
      <c r="AA143" s="397"/>
      <c r="AB143" s="727"/>
      <c r="AC143" s="727"/>
      <c r="AD143" s="727"/>
      <c r="AE143" s="727"/>
      <c r="AF143" s="727"/>
      <c r="AG143" s="727"/>
      <c r="AH143" s="727"/>
      <c r="AI143" s="268"/>
      <c r="AJ143" s="382">
        <f t="shared" si="124"/>
        <v>0</v>
      </c>
      <c r="AK143" s="274"/>
      <c r="AL143" s="823"/>
      <c r="AM143" s="113"/>
      <c r="AN143" s="817"/>
      <c r="AO143" s="283"/>
    </row>
    <row r="144" spans="1:41" ht="31.5" thickBot="1">
      <c r="A144" s="988"/>
      <c r="B144" s="290" t="s">
        <v>290</v>
      </c>
      <c r="C144" s="202" t="s">
        <v>332</v>
      </c>
      <c r="D144" s="302"/>
      <c r="E144" s="204"/>
      <c r="F144" s="204"/>
      <c r="G144" s="204"/>
      <c r="H144" s="204"/>
      <c r="I144" s="204"/>
      <c r="J144" s="204"/>
      <c r="K144" s="204"/>
      <c r="L144" s="1051"/>
      <c r="M144" s="1051"/>
      <c r="N144" s="1051"/>
      <c r="O144" s="1051"/>
      <c r="P144" s="1051"/>
      <c r="Q144" s="1051"/>
      <c r="R144" s="1051"/>
      <c r="S144" s="1051"/>
      <c r="T144" s="1051"/>
      <c r="U144" s="1051"/>
      <c r="V144" s="1051"/>
      <c r="W144" s="1051"/>
      <c r="X144" s="1051"/>
      <c r="Y144" s="1051"/>
      <c r="Z144" s="1051"/>
      <c r="AA144" s="1052"/>
      <c r="AB144" s="240"/>
      <c r="AC144" s="727"/>
      <c r="AD144" s="727"/>
      <c r="AE144" s="727"/>
      <c r="AF144" s="727"/>
      <c r="AG144" s="727"/>
      <c r="AH144" s="727"/>
      <c r="AI144" s="268"/>
      <c r="AJ144" s="382">
        <f t="shared" si="124"/>
        <v>0</v>
      </c>
      <c r="AK144" s="274"/>
      <c r="AL144" s="823"/>
      <c r="AM144" s="113"/>
      <c r="AN144" s="817"/>
      <c r="AO144" s="283"/>
    </row>
    <row r="145" spans="1:41" ht="50.25" customHeight="1" thickBot="1">
      <c r="A145" s="195" t="s">
        <v>933</v>
      </c>
      <c r="B145" s="305" t="s">
        <v>335</v>
      </c>
      <c r="C145" s="287" t="s">
        <v>336</v>
      </c>
      <c r="D145" s="301"/>
      <c r="E145" s="199"/>
      <c r="F145" s="199"/>
      <c r="G145" s="199"/>
      <c r="H145" s="199"/>
      <c r="I145" s="199"/>
      <c r="J145" s="29"/>
      <c r="K145" s="29"/>
      <c r="L145" s="214"/>
      <c r="M145" s="29"/>
      <c r="N145" s="214"/>
      <c r="O145" s="29"/>
      <c r="P145" s="214"/>
      <c r="Q145" s="29"/>
      <c r="R145" s="214"/>
      <c r="S145" s="29"/>
      <c r="T145" s="214"/>
      <c r="U145" s="29"/>
      <c r="V145" s="214"/>
      <c r="W145" s="29"/>
      <c r="X145" s="214"/>
      <c r="Y145" s="29"/>
      <c r="Z145" s="214"/>
      <c r="AA145" s="67"/>
      <c r="AB145" s="589"/>
      <c r="AC145" s="590"/>
      <c r="AD145" s="590"/>
      <c r="AE145" s="590"/>
      <c r="AF145" s="590"/>
      <c r="AG145" s="590"/>
      <c r="AH145" s="590"/>
      <c r="AI145" s="618"/>
      <c r="AJ145" s="612">
        <f t="shared" si="124"/>
        <v>0</v>
      </c>
      <c r="AK145" s="274" t="str">
        <f>CONCATENATE(IF(D145&gt;D133," * PrEP_CT Event-Driven Prep For age "&amp;$D$6&amp;" "&amp;$D$7&amp;" Should not be more than Total PrEP_CT"&amp;CHAR(10),""),IF(E145&gt;E133," * PrEP_CT Event-Driven Prep For age "&amp;$D$6&amp;" "&amp;$E$7&amp;" Should not be more than Total PrEP_CT"&amp;CHAR(10),""),IF(F145&gt;F133," * PrEP_CT Event-Driven Prep For age "&amp;$F$6&amp;" "&amp;$F$7&amp;" Should not be more than Total PrEP_CT"&amp;CHAR(10),""),IF(G145&gt;G133," * PrEP_CT Event-Driven Prep For age "&amp;$F$6&amp;" "&amp;$G$7&amp;" Should not be more than Total PrEP_CT"&amp;CHAR(10),""),IF(H145&gt;H133," * PrEP_CT Event-Driven Prep For age "&amp;$H$6&amp;" "&amp;$H$7&amp;" Should not be more than Total PrEP_CT"&amp;CHAR(10),""),IF(I145&gt;I133," * PrEP_CT Event-Driven Prep For age "&amp;$H$6&amp;" "&amp;$I$7&amp;" Should not be more than Total PrEP_CT"&amp;CHAR(10),""),IF(J145&gt;J133," * PrEP_CT Event-Driven Prep For age "&amp;$J$6&amp;" "&amp;$J$7&amp;" Should not be more than Total PrEP_CT"&amp;CHAR(10),""),IF(K145&gt;K133," * PrEP_CT Event-Driven Prep For age "&amp;$J$6&amp;" "&amp;$K$7&amp;" Should not be more than Total PrEP_CT"&amp;CHAR(10),""),IF(L145&gt;L133," * PrEP_CT Event-Driven Prep For age "&amp;$L$6&amp;" "&amp;$L$7&amp;" Should not be more than Total PrEP_CT"&amp;CHAR(10),""),IF(M145&gt;M133," * PrEP_CT Event-Driven Prep For age "&amp;$L$6&amp;" "&amp;$M$7&amp;" Should not be more than Total PrEP_CT"&amp;CHAR(10),""),IF(N145&gt;N133," * PrEP_CT Event-Driven Prep For age "&amp;$N$6&amp;" "&amp;$N$7&amp;" Should not be more than Total PrEP_CT"&amp;CHAR(10),""),IF(O145&gt;O133," * PrEP_CT Event-Driven Prep For age "&amp;$N$6&amp;" "&amp;$O$7&amp;" Should not be more than Total PrEP_CT"&amp;CHAR(10),""),IF(P145&gt;P133," * PrEP_CT Event-Driven Prep For age "&amp;$P$6&amp;" "&amp;$P$7&amp;" Should not be more than Total PrEP_CT"&amp;CHAR(10),""),IF(Q145&gt;Q133," * PrEP_CT Event-Driven Prep For age "&amp;$P$6&amp;" "&amp;$Q$7&amp;" Should not be more than Total PrEP_CT"&amp;CHAR(10),""),IF(R145&gt;R133," * PrEP_CT Event-Driven Prep For age "&amp;$R$6&amp;" "&amp;$R$7&amp;" Should not be more than Total PrEP_CT"&amp;CHAR(10),""),IF(S145&gt;S133," * PrEP_CT Event-Driven Prep For age "&amp;$R$6&amp;" "&amp;$S$7&amp;" Should not be more than Total PrEP_CT"&amp;CHAR(10),""),IF(T145&gt;T133," * PrEP_CT Event-Driven Prep For age "&amp;$T$6&amp;" "&amp;$T$7&amp;" Should not be more than Total PrEP_CT"&amp;CHAR(10),""),IF(U145&gt;U133," * PrEP_CT Event-Driven Prep For age "&amp;$T$6&amp;" "&amp;$U$7&amp;" Should not be more than Total PrEP_CT"&amp;CHAR(10),""),IF(V145&gt;V133," * PrEP_CT Event-Driven Prep For age "&amp;$V$6&amp;" "&amp;$V$7&amp;" Should not be more than Total PrEP_CT"&amp;CHAR(10),""),IF(W145&gt;W133," * PrEP_CT Event-Driven Prep For age "&amp;$V$6&amp;" "&amp;$W$7&amp;" Should not be more than Total PrEP_CT"&amp;CHAR(10),""),IF(X145&gt;X133," * PrEP_CT Event-Driven Prep For age "&amp;$X$6&amp;" "&amp;$X$7&amp;" Should not be more than Total PrEP_CT"&amp;CHAR(10),""),IF(Y145&gt;Y133," * PrEP_CT Event-Driven Prep For age "&amp;$X$6&amp;" "&amp;$Y$7&amp;" Should not be more than Total PrEP_CT"&amp;CHAR(10),""),IF(Z145&gt;Z133," * PrEP_CT Event-Driven Prep For age "&amp;$Z$6&amp;" "&amp;$Z$7&amp;" Should not be more than Total PrEP_CT"&amp;CHAR(10),""),IF(AA145&gt;AA133," * PrEP_CT Event-Driven Prep For age "&amp;$Z$6&amp;" "&amp;$AA$7&amp;" Should not be more than Total PrEP_CT"&amp;CHAR(10),""))</f>
        <v/>
      </c>
      <c r="AL145" s="824"/>
      <c r="AM145" s="113"/>
      <c r="AN145" s="818"/>
      <c r="AO145" s="283"/>
    </row>
    <row r="146" spans="1:41" ht="31.5" thickBot="1">
      <c r="A146" s="833" t="s">
        <v>338</v>
      </c>
      <c r="B146" s="834"/>
      <c r="C146" s="834"/>
      <c r="D146" s="834"/>
      <c r="E146" s="834"/>
      <c r="F146" s="834"/>
      <c r="G146" s="834"/>
      <c r="H146" s="834"/>
      <c r="I146" s="834"/>
      <c r="J146" s="834"/>
      <c r="K146" s="834"/>
      <c r="L146" s="834"/>
      <c r="M146" s="834"/>
      <c r="N146" s="834"/>
      <c r="O146" s="834"/>
      <c r="P146" s="834"/>
      <c r="Q146" s="834"/>
      <c r="R146" s="834"/>
      <c r="S146" s="834"/>
      <c r="T146" s="834"/>
      <c r="U146" s="834"/>
      <c r="V146" s="834"/>
      <c r="W146" s="834"/>
      <c r="X146" s="834"/>
      <c r="Y146" s="834"/>
      <c r="Z146" s="834"/>
      <c r="AA146" s="834"/>
      <c r="AB146" s="843"/>
      <c r="AC146" s="843"/>
      <c r="AD146" s="843"/>
      <c r="AE146" s="843"/>
      <c r="AF146" s="843"/>
      <c r="AG146" s="843"/>
      <c r="AH146" s="843"/>
      <c r="AI146" s="843"/>
      <c r="AJ146" s="837"/>
      <c r="AK146" s="834"/>
      <c r="AL146" s="834"/>
      <c r="AM146" s="834"/>
      <c r="AN146" s="844"/>
      <c r="AO146" s="283">
        <v>193</v>
      </c>
    </row>
    <row r="147" spans="1:41">
      <c r="A147" s="833" t="s">
        <v>339</v>
      </c>
      <c r="B147" s="834"/>
      <c r="C147" s="834"/>
      <c r="D147" s="834"/>
      <c r="E147" s="834"/>
      <c r="F147" s="834"/>
      <c r="G147" s="834"/>
      <c r="H147" s="834"/>
      <c r="I147" s="834"/>
      <c r="J147" s="834"/>
      <c r="K147" s="834"/>
      <c r="L147" s="834"/>
      <c r="M147" s="834"/>
      <c r="N147" s="834"/>
      <c r="O147" s="834"/>
      <c r="P147" s="834"/>
      <c r="Q147" s="834"/>
      <c r="R147" s="834"/>
      <c r="S147" s="834"/>
      <c r="T147" s="834"/>
      <c r="U147" s="834"/>
      <c r="V147" s="834"/>
      <c r="W147" s="834"/>
      <c r="X147" s="834"/>
      <c r="Y147" s="834"/>
      <c r="Z147" s="834"/>
      <c r="AA147" s="834"/>
      <c r="AB147" s="843"/>
      <c r="AC147" s="843"/>
      <c r="AD147" s="843"/>
      <c r="AE147" s="843"/>
      <c r="AF147" s="843"/>
      <c r="AG147" s="843"/>
      <c r="AH147" s="843"/>
      <c r="AI147" s="843"/>
      <c r="AJ147" s="837"/>
      <c r="AK147" s="834"/>
      <c r="AL147" s="834"/>
      <c r="AM147" s="834"/>
      <c r="AN147" s="844"/>
      <c r="AO147" s="283">
        <v>193</v>
      </c>
    </row>
    <row r="148" spans="1:41" ht="26.25" customHeight="1">
      <c r="A148" s="979" t="s">
        <v>3</v>
      </c>
      <c r="B148" s="1004" t="s">
        <v>4</v>
      </c>
      <c r="C148" s="892" t="s">
        <v>5</v>
      </c>
      <c r="D148" s="846" t="s">
        <v>888</v>
      </c>
      <c r="E148" s="909"/>
      <c r="F148" s="909" t="s">
        <v>889</v>
      </c>
      <c r="G148" s="909"/>
      <c r="H148" s="909" t="s">
        <v>890</v>
      </c>
      <c r="I148" s="909"/>
      <c r="J148" s="909" t="s">
        <v>891</v>
      </c>
      <c r="K148" s="909"/>
      <c r="L148" s="909" t="s">
        <v>892</v>
      </c>
      <c r="M148" s="909"/>
      <c r="N148" s="909" t="s">
        <v>893</v>
      </c>
      <c r="O148" s="909"/>
      <c r="P148" s="909" t="s">
        <v>894</v>
      </c>
      <c r="Q148" s="909"/>
      <c r="R148" s="909" t="s">
        <v>895</v>
      </c>
      <c r="S148" s="909"/>
      <c r="T148" s="909" t="s">
        <v>896</v>
      </c>
      <c r="U148" s="909"/>
      <c r="V148" s="909" t="s">
        <v>897</v>
      </c>
      <c r="W148" s="909"/>
      <c r="X148" s="909" t="s">
        <v>898</v>
      </c>
      <c r="Y148" s="909"/>
      <c r="Z148" s="909" t="s">
        <v>899</v>
      </c>
      <c r="AA148" s="845"/>
      <c r="AB148" s="1006"/>
      <c r="AC148" s="906"/>
      <c r="AD148" s="906"/>
      <c r="AE148" s="906"/>
      <c r="AF148" s="906"/>
      <c r="AG148" s="906"/>
      <c r="AH148" s="906"/>
      <c r="AI148" s="907"/>
      <c r="AJ148" s="971" t="s">
        <v>904</v>
      </c>
      <c r="AK148" s="923" t="s">
        <v>905</v>
      </c>
      <c r="AL148" s="911" t="s">
        <v>906</v>
      </c>
      <c r="AM148" s="922" t="s">
        <v>907</v>
      </c>
      <c r="AN148" s="888" t="s">
        <v>907</v>
      </c>
      <c r="AO148" s="283">
        <v>194</v>
      </c>
    </row>
    <row r="149" spans="1:41" ht="27" customHeight="1" thickBot="1">
      <c r="A149" s="945"/>
      <c r="B149" s="1005"/>
      <c r="C149" s="1003"/>
      <c r="D149" s="211" t="s">
        <v>908</v>
      </c>
      <c r="E149" s="20" t="s">
        <v>909</v>
      </c>
      <c r="F149" s="20" t="s">
        <v>908</v>
      </c>
      <c r="G149" s="20" t="s">
        <v>909</v>
      </c>
      <c r="H149" s="20" t="s">
        <v>908</v>
      </c>
      <c r="I149" s="20" t="s">
        <v>909</v>
      </c>
      <c r="J149" s="20" t="s">
        <v>908</v>
      </c>
      <c r="K149" s="20" t="s">
        <v>909</v>
      </c>
      <c r="L149" s="20" t="s">
        <v>908</v>
      </c>
      <c r="M149" s="20" t="s">
        <v>909</v>
      </c>
      <c r="N149" s="20" t="s">
        <v>908</v>
      </c>
      <c r="O149" s="20" t="s">
        <v>909</v>
      </c>
      <c r="P149" s="20" t="s">
        <v>908</v>
      </c>
      <c r="Q149" s="20" t="s">
        <v>909</v>
      </c>
      <c r="R149" s="20" t="s">
        <v>908</v>
      </c>
      <c r="S149" s="20" t="s">
        <v>909</v>
      </c>
      <c r="T149" s="20" t="s">
        <v>908</v>
      </c>
      <c r="U149" s="20" t="s">
        <v>909</v>
      </c>
      <c r="V149" s="20" t="s">
        <v>908</v>
      </c>
      <c r="W149" s="20" t="s">
        <v>909</v>
      </c>
      <c r="X149" s="20" t="s">
        <v>908</v>
      </c>
      <c r="Y149" s="20" t="s">
        <v>909</v>
      </c>
      <c r="Z149" s="20" t="s">
        <v>908</v>
      </c>
      <c r="AA149" s="249" t="s">
        <v>909</v>
      </c>
      <c r="AB149" s="250"/>
      <c r="AC149" s="251"/>
      <c r="AD149" s="251"/>
      <c r="AE149" s="251"/>
      <c r="AF149" s="251"/>
      <c r="AG149" s="251"/>
      <c r="AH149" s="251"/>
      <c r="AI149" s="278"/>
      <c r="AJ149" s="972"/>
      <c r="AK149" s="924"/>
      <c r="AL149" s="912"/>
      <c r="AM149" s="922"/>
      <c r="AN149" s="889"/>
      <c r="AO149" s="283">
        <v>195</v>
      </c>
    </row>
    <row r="150" spans="1:41" ht="31.15" customHeight="1">
      <c r="A150" s="1016" t="s">
        <v>934</v>
      </c>
      <c r="B150" s="26" t="s">
        <v>341</v>
      </c>
      <c r="C150" s="306" t="s">
        <v>342</v>
      </c>
      <c r="D150" s="23"/>
      <c r="E150" s="24"/>
      <c r="F150" s="24"/>
      <c r="G150" s="24"/>
      <c r="H150" s="24"/>
      <c r="I150" s="24"/>
      <c r="J150" s="24"/>
      <c r="K150" s="340"/>
      <c r="L150" s="24"/>
      <c r="M150" s="340"/>
      <c r="N150" s="24"/>
      <c r="O150" s="340"/>
      <c r="P150" s="24"/>
      <c r="Q150" s="340"/>
      <c r="R150" s="24"/>
      <c r="S150" s="340"/>
      <c r="T150" s="24"/>
      <c r="U150" s="340"/>
      <c r="V150" s="24"/>
      <c r="W150" s="340"/>
      <c r="X150" s="24"/>
      <c r="Y150" s="340"/>
      <c r="Z150" s="24"/>
      <c r="AA150" s="206"/>
      <c r="AB150" s="246"/>
      <c r="AC150" s="246"/>
      <c r="AD150" s="246"/>
      <c r="AE150" s="246"/>
      <c r="AF150" s="246"/>
      <c r="AG150" s="246"/>
      <c r="AH150" s="246"/>
      <c r="AI150" s="272"/>
      <c r="AJ150" s="384">
        <f>SUM(D150:AA150)</f>
        <v>0</v>
      </c>
      <c r="AK150" s="385" t="str">
        <f>CONCATENATE(IF(D150&lt;SUM(D151,D152)," * Sum of (KP at ANC1 and initial test at ANC1) for Age "&amp;D6&amp;" "&amp;D7&amp;" is more than New 1st ANC Clients"&amp;CHAR(10),""),IF(E150&lt;SUM(E151,E152,E317)," * Sum of (KP at ANC1 and initial test at ANC1) for Age "&amp;D6&amp;" "&amp;E7&amp;" is more than New 1st ANC Clients"&amp;CHAR(10),""),IF(F150&lt;SUM(F151,F152)," * Sum of (KP at ANC1 and initial test at ANC1) for Age "&amp;F6&amp;" "&amp;F7&amp;" is more than New 1st ANC Clients"&amp;CHAR(10),""),IF(G150&lt;SUM(G151,G152,G317)," * Sum of (KP at ANC1 and initial test at ANC1) for Age "&amp;F6&amp;" "&amp;G7&amp;" is more than New 1st ANC Clients"&amp;CHAR(10),""),IF(H150&lt;SUM(H151,H152)," * Sum of (KP at ANC1 and initial test at ANC1) for Age "&amp;H6&amp;" "&amp;H7&amp;" is more than New 1st ANC Clients"&amp;CHAR(10),""),IF(I150&lt;SUM(I151,I152,I317)," * Sum of (KP at ANC1 and initial test at ANC1) for Age "&amp;H6&amp;" "&amp;I7&amp;" is more than New 1st ANC Clients"&amp;CHAR(10),""),IF(J150&lt;SUM(J151,J152)," * Sum of (KP at ANC1 and initial test at ANC1) for Age "&amp;J6&amp;" "&amp;J7&amp;" is more than New 1st ANC Clients"&amp;CHAR(10),""),IF(K150&lt;SUM(K151,K152,K317)," * Sum of (KP at ANC1 and initial test at ANC1) for Age "&amp;J6&amp;" "&amp;K7&amp;" is more than New 1st ANC Clients"&amp;CHAR(10),""),IF(L150&lt;SUM(L151,L152)," * Sum of (KP at ANC1 and initial test at ANC1) for Age "&amp;L6&amp;" "&amp;L7&amp;" is more than New 1st ANC Clients"&amp;CHAR(10),""),IF(M150&lt;SUM(M151,M152,M317)," * Sum of (KP at ANC1 and initial test at ANC1) for Age "&amp;L6&amp;" "&amp;M7&amp;" is more than New 1st ANC Clients"&amp;CHAR(10),""),IF(N150&lt;SUM(N151,N152)," * Sum of (KP at ANC1 and initial test at ANC1) for Age "&amp;N6&amp;" "&amp;N7&amp;" is more than New 1st ANC Clients"&amp;CHAR(10),""),IF(O150&lt;SUM(O151,O152,O317)," * Sum of (KP at ANC1 and initial test at ANC1) for Age "&amp;N6&amp;" "&amp;O7&amp;" is more than New 1st ANC Clients"&amp;CHAR(10),""),IF(P150&lt;SUM(P151,P152)," * Sum of (KP at ANC1 and initial test at ANC1) for Age "&amp;P6&amp;" "&amp;P7&amp;" is more than New 1st ANC Clients"&amp;CHAR(10),""),IF(Q150&lt;SUM(Q151,Q152,Q317)," * Sum of (KP at ANC1 and initial test at ANC1) for Age "&amp;P6&amp;" "&amp;Q7&amp;" is more than New 1st ANC Clients"&amp;CHAR(10),""),IF(R150&lt;SUM(R151,R152)," * Sum of (KP at ANC1 and initial test at ANC1) for Age "&amp;R6&amp;" "&amp;R7&amp;" is more than New 1st ANC Clients"&amp;CHAR(10),""),IF(S150&lt;SUM(S151,S152,S317)," * Sum of (KP at ANC1 and initial test at ANC1) for Age "&amp;R6&amp;" "&amp;S7&amp;" is more than New 1st ANC Clients"&amp;CHAR(10),""),IF(T150&lt;SUM(T151,T152)," * Sum of (KP at ANC1 and initial test at ANC1) for Age "&amp;T6&amp;" "&amp;T7&amp;" is more than New 1st ANC Clients"&amp;CHAR(10),""),IF(U150&lt;SUM(U151,U152,U317)," * Sum of (KP at ANC1 and initial test at ANC1) for Age "&amp;T6&amp;" "&amp;U7&amp;" is more than New 1st ANC Clients"&amp;CHAR(10),""),IF(V150&lt;SUM(V151,V152)," * Sum of (KP at ANC1 and initial test at ANC1) for Age "&amp;V6&amp;" "&amp;V7&amp;" is more than New 1st ANC Clients"&amp;CHAR(10),""),IF(W150&lt;SUM(W151,W152,W317)," * Sum of (KP at ANC1 and initial test at ANC1) for Age "&amp;V6&amp;" "&amp;W7&amp;" is more than New 1st ANC Clients"&amp;CHAR(10),""),IF(X150&lt;SUM(X151,X152)," * Sum of (KP at ANC1 and initial test at ANC1) for Age "&amp;X6&amp;" "&amp;X7&amp;" is more than New 1st ANC Clients"&amp;CHAR(10),""),IF(Y150&lt;SUM(Y151,Y152,Y317)," * Sum of (KP at ANC1 and initial test at ANC1) for Age "&amp;X6&amp;" "&amp;Y7&amp;" is more than New 1st ANC Clients"&amp;CHAR(10),""),IF(Z150&lt;SUM(Z151,Z152)," * Sum of (KP at ANC1 and initial test at ANC1) for Age "&amp;Z6&amp;" "&amp;Z7&amp;" is more than New 1st ANC Clients"&amp;CHAR(10),""),IF(AA150&lt;SUM(AA151,AA152,AA317)," * Sum of (KP at ANC1 and initial test at ANC1) for Age "&amp;Z6&amp;" "&amp;AA7&amp;" is more than New 1st ANC Clients"&amp;CHAR(10),""),IF(AJ150&lt;SUM(AJ151,AJ152)," * Total Sum of (KP at ANC1 and initial test at ANC1) is more than New 1st ANC Clients"&amp;CHAR(10),""))</f>
        <v/>
      </c>
      <c r="AL150" s="825" t="str">
        <f>CONCATENATE(AK150,AK151,AK152,AK153,AK160,AK164,AK168,AK167,AK166,AK158,AK159,AK163,AK170,AK171,AK172,AK173,AK175,AK174,AK162,AK154,AK155,AK156,AK157,AK176,AK177,AK179,AK180)</f>
        <v/>
      </c>
      <c r="AM150" s="386"/>
      <c r="AN150" s="819" t="str">
        <f>CONCATENATE(AM150,AM151,AM152,AM153,AM160,AM161,AM164,AM165,AM168,AM169,AM158,AM159,AM162,AM163,AM166,AM167,AM170,AM171,AM172,AM173,AM154,AM155,AM156,AM174,AM175,AM176,AM177,AM178,AM179,AM180)</f>
        <v/>
      </c>
      <c r="AO150" s="283">
        <v>196</v>
      </c>
    </row>
    <row r="151" spans="1:41" ht="31.15" customHeight="1">
      <c r="A151" s="1017"/>
      <c r="B151" s="26" t="s">
        <v>345</v>
      </c>
      <c r="C151" s="27" t="s">
        <v>346</v>
      </c>
      <c r="D151" s="28"/>
      <c r="E151" s="29"/>
      <c r="F151" s="29"/>
      <c r="G151" s="29"/>
      <c r="H151" s="29"/>
      <c r="I151" s="29"/>
      <c r="J151" s="29"/>
      <c r="K151" s="341"/>
      <c r="L151" s="342"/>
      <c r="M151" s="341"/>
      <c r="N151" s="342"/>
      <c r="O151" s="341"/>
      <c r="P151" s="342"/>
      <c r="Q151" s="341"/>
      <c r="R151" s="342"/>
      <c r="S151" s="341"/>
      <c r="T151" s="342"/>
      <c r="U151" s="341"/>
      <c r="V151" s="342"/>
      <c r="W151" s="341"/>
      <c r="X151" s="342"/>
      <c r="Y151" s="341"/>
      <c r="Z151" s="29"/>
      <c r="AA151" s="91"/>
      <c r="AB151" s="241"/>
      <c r="AC151" s="241"/>
      <c r="AD151" s="241"/>
      <c r="AE151" s="241"/>
      <c r="AF151" s="241"/>
      <c r="AG151" s="241"/>
      <c r="AH151" s="241"/>
      <c r="AI151" s="268"/>
      <c r="AJ151" s="387">
        <f t="shared" ref="AJ151:AJ176" si="125">SUM(D151:AA151)</f>
        <v>0</v>
      </c>
      <c r="AK151" s="274" t="str">
        <f>CONCATENATE(IF(D185&gt;D151," * ON HAART at 1st ANC for Age "&amp;D6&amp;" "&amp;D7&amp;" is more than KP at 1st ANC "&amp;CHAR(10),""),IF(E185&gt;E151," * ON HAART at 1st ANC for Age "&amp;D6&amp;" "&amp;E7&amp;" is more than KP at 1st ANC "&amp;CHAR(10),""),IF(F185&gt;F151," * ON HAART at 1st ANC for Age "&amp;F6&amp;" "&amp;F7&amp;" is more than KP at 1st ANC "&amp;CHAR(10),""),IF(G185&gt;G151," * ON HAART at 1st ANC for Age "&amp;F6&amp;" "&amp;G7&amp;" is more than KP at 1st ANC "&amp;CHAR(10),""),IF(H185&gt;H151," * ON HAART at 1st ANC for Age "&amp;H6&amp;" "&amp;H7&amp;" is more than KP at 1st ANC "&amp;CHAR(10),""),IF(I185&gt;I151," * ON HAART at 1st ANC for Age "&amp;H6&amp;" "&amp;I7&amp;" is more than KP at 1st ANC "&amp;CHAR(10),""),IF(J185&gt;J151," * ON HAART at 1st ANC for Age "&amp;J6&amp;" "&amp;J7&amp;" is more than KP at 1st ANC "&amp;CHAR(10),""),IF(K185&gt;K151," * ON HAART at 1st ANC for Age "&amp;J6&amp;" "&amp;K7&amp;" is more than KP at 1st ANC "&amp;CHAR(10),""),IF(L185&gt;L151," * ON HAART at 1st ANC for Age "&amp;L6&amp;" "&amp;L7&amp;" is more than KP at 1st ANC "&amp;CHAR(10),""),IF(M185&gt;M151," * ON HAART at 1st ANC for Age "&amp;L6&amp;" "&amp;M7&amp;" is more than KP at 1st ANC "&amp;CHAR(10),""),IF(N185&gt;N151," * ON HAART at 1st ANC for Age "&amp;N6&amp;" "&amp;N7&amp;" is more than KP at 1st ANC "&amp;CHAR(10),""),IF(O185&gt;O151," * ON HAART at 1st ANC for Age "&amp;N6&amp;" "&amp;O7&amp;" is more than KP at 1st ANC "&amp;CHAR(10),""),IF(P185&gt;P151," * ON HAART at 1st ANC for Age "&amp;P6&amp;" "&amp;P7&amp;" is more than KP at 1st ANC "&amp;CHAR(10),""),IF(Q185&gt;Q151," * ON HAART at 1st ANC for Age "&amp;P6&amp;" "&amp;Q7&amp;" is more than KP at 1st ANC "&amp;CHAR(10),""),IF(R185&gt;R151," * ON HAART at 1st ANC for Age "&amp;R6&amp;" "&amp;R7&amp;" is more than KP at 1st ANC "&amp;CHAR(10),""),IF(S185&gt;S151," * ON HAART at 1st ANC for Age "&amp;R6&amp;" "&amp;S7&amp;" is more than KP at 1st ANC "&amp;CHAR(10),""),IF(T185&gt;T151," * ON HAART at 1st ANC for Age "&amp;T6&amp;" "&amp;T7&amp;" is more than KP at 1st ANC "&amp;CHAR(10),""),IF(U185&gt;U151," * ON HAART at 1st ANC for Age "&amp;T6&amp;" "&amp;U7&amp;" is more than KP at 1st ANC "&amp;CHAR(10),""),IF(V185&gt;V151," * ON HAART at 1st ANC for Age "&amp;V6&amp;" "&amp;V7&amp;" is more than KP at 1st ANC "&amp;CHAR(10),""),IF(W185&gt;W151," * ON HAART at 1st ANC for Age "&amp;V6&amp;" "&amp;W7&amp;" is more than KP at 1st ANC "&amp;CHAR(10),""),IF(X185&gt;X151," * ON HAART at 1st ANC for Age "&amp;X6&amp;" "&amp;X7&amp;" is more than KP at 1st ANC "&amp;CHAR(10),""),IF(Y185&gt;Y151," * ON HAART at 1st ANC for Age "&amp;X6&amp;" "&amp;Y7&amp;" is more than KP at 1st ANC "&amp;CHAR(10),""),IF(Z185&gt;Z151," * ON HAART at 1st ANC for Age "&amp;Z6&amp;" "&amp;Z7&amp;" is more than KP at 1st ANC "&amp;CHAR(10),""),IF(AA185&gt;AA151," * ON HAART at 1st ANC for Age "&amp;Z6&amp;" "&amp;AA7&amp;" is more than KP at 1st ANC "&amp;CHAR(10),""))</f>
        <v/>
      </c>
      <c r="AL151" s="826"/>
      <c r="AM151" s="388" t="str">
        <f>CONCATENATE(IF(D150&gt;SUM(D151,D152)," * Sum of (KP at ANC1 and initial test at ANC1) for Age "&amp;D6&amp;" "&amp;D7&amp;" is less than New 1st ANC Clients"&amp;CHAR(10),""),IF(E150&gt;SUM(E151,E152,E317)," * Sum of (KP at ANC1 and initial test at ANC1) for Age "&amp;D6&amp;" "&amp;E7&amp;" is less than New 1st ANC Clients"&amp;CHAR(10),""),IF(F150&gt;SUM(F151,F152)," * Sum of (KP at ANC1 and initial test at ANC1) for Age "&amp;F6&amp;" "&amp;F7&amp;" is less than New 1st ANC Clients"&amp;CHAR(10),""),IF(G150&gt;SUM(G151,G152,G317)," * Sum of (KP at ANC1 and initial test at ANC1) for Age "&amp;F6&amp;" "&amp;G7&amp;" is less than New 1st ANC Clients"&amp;CHAR(10),""),IF(H150&gt;SUM(H151,H152)," * Sum of (KP at ANC1 and initial test at ANC1) for Age "&amp;H6&amp;" "&amp;H7&amp;" is less than New 1st ANC Clients"&amp;CHAR(10),""),IF(I150&gt;SUM(I151,I152,I317)," * Sum of (KP at ANC1 and initial test at ANC1) for Age "&amp;H6&amp;" "&amp;I7&amp;" is less than New 1st ANC Clients"&amp;CHAR(10),""),IF(J150&gt;SUM(J151,J152)," * Sum of (KP at ANC1 and initial test at ANC1) for Age "&amp;J6&amp;" "&amp;J7&amp;" is less than New 1st ANC Clients"&amp;CHAR(10),""),IF(K150&gt;SUM(K151,K152,K317)," * Sum of (KP at ANC1 and initial test at ANC1) for Age "&amp;J6&amp;" "&amp;K7&amp;" is less than New 1st ANC Clients"&amp;CHAR(10),""),IF(L150&gt;SUM(L151,L152)," * Sum of (KP at ANC1 and initial test at ANC1) for Age "&amp;L6&amp;" "&amp;L7&amp;" is less than New 1st ANC Clients"&amp;CHAR(10),""),IF(M150&gt;SUM(M151,M152,M317)," * Sum of (KP at ANC1 and initial test at ANC1) for Age "&amp;L6&amp;" "&amp;M7&amp;" is less than New 1st ANC Clients"&amp;CHAR(10),""),IF(N150&gt;SUM(N151,N152)," * Sum of (KP at ANC1 and initial test at ANC1) for Age "&amp;N6&amp;" "&amp;N7&amp;" is less than New 1st ANC Clients"&amp;CHAR(10),""),IF(O150&gt;SUM(O151,O152,O317)," * Sum of (KP at ANC1 and initial test at ANC1) for Age "&amp;N6&amp;" "&amp;O7&amp;" is less than New 1st ANC Clients"&amp;CHAR(10),""),IF(P150&gt;SUM(P151,P152)," * Sum of (KP at ANC1 and initial test at ANC1) for Age "&amp;P6&amp;" "&amp;P7&amp;" is less than New 1st ANC Clients"&amp;CHAR(10),""),IF(Q150&gt;SUM(Q151,Q152,Q317)," * Sum of (KP at ANC1 and initial test at ANC1) for Age "&amp;P6&amp;" "&amp;Q7&amp;" is less than New 1st ANC Clients"&amp;CHAR(10),""),IF(R150&gt;SUM(R151,R152)," * Sum of (KP at ANC1 and initial test at ANC1) for Age "&amp;R6&amp;" "&amp;R7&amp;" is less than New 1st ANC Clients"&amp;CHAR(10),""),IF(S150&gt;SUM(S151,S152,S317)," * Sum of (KP at ANC1 and initial test at ANC1) for Age "&amp;R6&amp;" "&amp;S7&amp;" is less than New 1st ANC Clients"&amp;CHAR(10),""),IF(T150&gt;SUM(T151,T152)," * Sum of (KP at ANC1 and initial test at ANC1) for Age "&amp;T6&amp;" "&amp;T7&amp;" is less than New 1st ANC Clients"&amp;CHAR(10),""),IF(U150&gt;SUM(U151,U152,U317)," * Sum of (KP at ANC1 and initial test at ANC1) for Age "&amp;T6&amp;" "&amp;U7&amp;" is less than New 1st ANC Clients"&amp;CHAR(10),""),IF(V150&gt;SUM(V151,V152)," * Sum of (KP at ANC1 and initial test at ANC1) for Age "&amp;V6&amp;" "&amp;V7&amp;" is less than New 1st ANC Clients"&amp;CHAR(10),""),IF(W150&gt;SUM(W151,W152,W317)," * Sum of (KP at ANC1 and initial test at ANC1) for Age "&amp;V6&amp;" "&amp;W7&amp;" is less than New 1st ANC Clients"&amp;CHAR(10),""),IF(X150&gt;SUM(X151,X152)," * Sum of (KP at ANC1 and initial test at ANC1) for Age "&amp;X6&amp;" "&amp;X7&amp;" is less than New 1st ANC Clients"&amp;CHAR(10),""),IF(Y150&gt;SUM(Y151,Y152,Y317)," * Sum of (KP at ANC1 and initial test at ANC1) for Age "&amp;X6&amp;" "&amp;Y7&amp;" is less than New 1st ANC Clients"&amp;CHAR(10),""),IF(Z150&gt;SUM(Z151,Z152)," * Sum of (KP at ANC1 and initial test at ANC1) for Age "&amp;Z6&amp;" "&amp;Z7&amp;" is less than New 1st ANC Clients"&amp;CHAR(10),""),IF(AA150&gt;SUM(AA151,AA152,AA317)," * Sum of (KP at ANC1 and initial test at ANC1) for Age "&amp;Z6&amp;" "&amp;AA7&amp;" is less than New 1st ANC Clients"&amp;CHAR(10),""))</f>
        <v/>
      </c>
      <c r="AN151" s="820"/>
      <c r="AO151" s="283">
        <v>197</v>
      </c>
    </row>
    <row r="152" spans="1:41">
      <c r="A152" s="1017"/>
      <c r="B152" s="26" t="s">
        <v>349</v>
      </c>
      <c r="C152" s="27" t="s">
        <v>350</v>
      </c>
      <c r="D152" s="28"/>
      <c r="E152" s="29"/>
      <c r="F152" s="29"/>
      <c r="G152" s="29"/>
      <c r="H152" s="29"/>
      <c r="I152" s="29"/>
      <c r="J152" s="29"/>
      <c r="K152" s="30"/>
      <c r="L152" s="29"/>
      <c r="M152" s="30"/>
      <c r="N152" s="29"/>
      <c r="O152" s="30"/>
      <c r="P152" s="29"/>
      <c r="Q152" s="30"/>
      <c r="R152" s="29"/>
      <c r="S152" s="30"/>
      <c r="T152" s="29"/>
      <c r="U152" s="30"/>
      <c r="V152" s="29"/>
      <c r="W152" s="30"/>
      <c r="X152" s="29"/>
      <c r="Y152" s="30"/>
      <c r="Z152" s="29"/>
      <c r="AA152" s="91"/>
      <c r="AB152" s="241"/>
      <c r="AC152" s="241"/>
      <c r="AD152" s="241"/>
      <c r="AE152" s="241"/>
      <c r="AF152" s="241"/>
      <c r="AG152" s="241"/>
      <c r="AH152" s="241"/>
      <c r="AI152" s="268"/>
      <c r="AJ152" s="387">
        <f t="shared" si="125"/>
        <v>0</v>
      </c>
      <c r="AK152" s="274" t="str">
        <f>CONCATENATE(IF(D152&gt;D150," * F06-03 for Age "&amp;D6&amp;" "&amp;D7&amp;" is more than F06-01"&amp;CHAR(10),""),IF(E152&gt;E150," * F06-03 for Age "&amp;D6&amp;" "&amp;E7&amp;" is more than F06-01"&amp;CHAR(10),""),IF(F152&gt;F150," * F06-03 for Age "&amp;F6&amp;" "&amp;F7&amp;" is more than F06-01"&amp;CHAR(10),""),IF(G152&gt;G150," * F06-03 for Age "&amp;F6&amp;" "&amp;G7&amp;" is more than F06-01"&amp;CHAR(10),""),IF(H152&gt;H150," * F06-03 for Age "&amp;H6&amp;" "&amp;H7&amp;" is more than F06-01"&amp;CHAR(10),""),IF(I152&gt;I150," * F06-03 for Age "&amp;H6&amp;" "&amp;I7&amp;" is more than F06-01"&amp;CHAR(10),""),IF(J152&gt;J150," * F06-03 for Age "&amp;J6&amp;" "&amp;J7&amp;" is more than F06-01"&amp;CHAR(10),""),IF(K152&gt;K150," * F06-03 for Age "&amp;J6&amp;" "&amp;K7&amp;" is more than F06-01"&amp;CHAR(10),""),IF(L152&gt;L150," * F06-03 for Age "&amp;L6&amp;" "&amp;L7&amp;" is more than F06-01"&amp;CHAR(10),""),IF(M152&gt;M150," * F06-03 for Age "&amp;L6&amp;" "&amp;M7&amp;" is more than F06-01"&amp;CHAR(10),""),IF(N152&gt;N150," * F06-03 for Age "&amp;N6&amp;" "&amp;N7&amp;" is more than F06-01"&amp;CHAR(10),""),IF(O152&gt;O150," * F06-03 for Age "&amp;N6&amp;" "&amp;O7&amp;" is more than F06-01"&amp;CHAR(10),""),IF(P152&gt;P150," * F06-03 for Age "&amp;P6&amp;" "&amp;P7&amp;" is more than F06-01"&amp;CHAR(10),""),IF(Q152&gt;Q150," * F06-03 for Age "&amp;P6&amp;" "&amp;Q7&amp;" is more than F06-01"&amp;CHAR(10),""),IF(R152&gt;R150," * F06-03 for Age "&amp;R6&amp;" "&amp;R7&amp;" is more than F06-01"&amp;CHAR(10),""),IF(S152&gt;S150," * F06-03 for Age "&amp;R6&amp;" "&amp;S7&amp;" is more than F06-01"&amp;CHAR(10),""),IF(T152&gt;T150," * F06-03 for Age "&amp;T6&amp;" "&amp;T7&amp;" is more than F06-01"&amp;CHAR(10),""),IF(U152&gt;U150," * F06-03 for Age "&amp;T6&amp;" "&amp;U7&amp;" is more than F06-01"&amp;CHAR(10),""),IF(V152&gt;V150," * F06-03 for Age "&amp;V6&amp;" "&amp;V7&amp;" is more than F06-01"&amp;CHAR(10),""),IF(W152&gt;W150," * F06-03 for Age "&amp;V6&amp;" "&amp;W7&amp;" is more than F06-01"&amp;CHAR(10),""),IF(X152&gt;X150," * F06-03 for Age "&amp;X6&amp;" "&amp;X7&amp;" is more than F06-01"&amp;CHAR(10),""),IF(Y152&gt;Y150," * F06-03 for Age "&amp;X6&amp;" "&amp;Y7&amp;" is more than F06-01"&amp;CHAR(10),""),IF(Z152&gt;Z150," * F06-03 for Age "&amp;Z6&amp;" "&amp;Z7&amp;" is more than F06-01"&amp;CHAR(10),""),IF(AA152&gt;AA150," * F06-03 for Age "&amp;Z6&amp;" "&amp;AA7&amp;" is more than F06-01"&amp;CHAR(10),""),IF(AJ152&gt;AJ150," * Total F06-03 is more than Total F06-01"&amp;CHAR(10),""))</f>
        <v/>
      </c>
      <c r="AL152" s="826"/>
      <c r="AM152" s="113"/>
      <c r="AN152" s="820"/>
      <c r="AO152" s="283">
        <v>198</v>
      </c>
    </row>
    <row r="153" spans="1:41" ht="57" thickBot="1">
      <c r="A153" s="1017"/>
      <c r="B153" s="307" t="s">
        <v>352</v>
      </c>
      <c r="C153" s="187" t="s">
        <v>353</v>
      </c>
      <c r="D153" s="60"/>
      <c r="E153" s="61"/>
      <c r="F153" s="61"/>
      <c r="G153" s="61"/>
      <c r="H153" s="61"/>
      <c r="I153" s="61"/>
      <c r="J153" s="61"/>
      <c r="K153" s="343"/>
      <c r="L153" s="61"/>
      <c r="M153" s="343"/>
      <c r="N153" s="61"/>
      <c r="O153" s="343"/>
      <c r="P153" s="61"/>
      <c r="Q153" s="343"/>
      <c r="R153" s="61"/>
      <c r="S153" s="343"/>
      <c r="T153" s="61"/>
      <c r="U153" s="343"/>
      <c r="V153" s="61"/>
      <c r="W153" s="343"/>
      <c r="X153" s="61"/>
      <c r="Y153" s="343"/>
      <c r="Z153" s="61"/>
      <c r="AA153" s="208"/>
      <c r="AB153" s="241"/>
      <c r="AC153" s="241"/>
      <c r="AD153" s="241"/>
      <c r="AE153" s="241"/>
      <c r="AF153" s="241"/>
      <c r="AG153" s="241"/>
      <c r="AH153" s="241"/>
      <c r="AI153" s="268"/>
      <c r="AJ153" s="387">
        <f t="shared" si="125"/>
        <v>0</v>
      </c>
      <c r="AK153" s="112" t="str">
        <f>CONCATENATE(IF((D154+D155+D156+D157)&lt;&gt;D153," * "&amp;$A153&amp;" , "&amp;$B154&amp;" plus "&amp;$B155&amp;" plus "&amp;$B156&amp;" plus "&amp;$B157&amp;" For age "&amp;$D$6&amp;" "&amp;$D$7&amp;" should be equal to "&amp;$B153&amp;""&amp;CHAR(10),""),IF((E154+E155+E156+E157)&lt;&gt;E153," * "&amp;$A153&amp;" , "&amp;$B154&amp;" plus "&amp;$B155&amp;" plus "&amp;$B156&amp;" plus "&amp;$B157&amp;" For age "&amp;$D$6&amp;" "&amp;$E$7&amp;" should be equal to "&amp;$B153&amp;""&amp;CHAR(10),""),IF((F154+F155+F156+F157)&lt;&gt;F153," * "&amp;$A153&amp;" , "&amp;$B154&amp;" plus "&amp;$B155&amp;" plus "&amp;$B156&amp;" plus "&amp;$B157&amp;" For age "&amp;$F$6&amp;" "&amp;$F$7&amp;" should be equal to "&amp;$B153&amp;""&amp;CHAR(10),""),IF((G154+G155+G156+G157)&lt;&gt;G153," * "&amp;$A153&amp;" , "&amp;$B154&amp;" plus "&amp;$B155&amp;" plus "&amp;$B156&amp;" plus "&amp;$B157&amp;" For age "&amp;$F$6&amp;" "&amp;$G$7&amp;" should be equal to "&amp;$B153&amp;""&amp;CHAR(10),""),IF((H154+H155+H156+H157)&lt;&gt;H153," * "&amp;$A153&amp;" , "&amp;$B154&amp;" plus "&amp;$B155&amp;" plus "&amp;$B156&amp;" plus "&amp;$B157&amp;" For age "&amp;$H$6&amp;" "&amp;$H$7&amp;" should be equal to "&amp;$B153&amp;""&amp;CHAR(10),""),IF((I154+I155+I156+I157)&lt;&gt;I153," * "&amp;$A153&amp;" , "&amp;$B154&amp;" plus "&amp;$B155&amp;" plus "&amp;$B156&amp;" plus "&amp;$B157&amp;" For age "&amp;$H$6&amp;" "&amp;$I$7&amp;" should be equal to "&amp;$B153&amp;""&amp;CHAR(10),""),IF((J154+J155+J156+J157)&lt;&gt;J153," * "&amp;$A153&amp;" , "&amp;$B154&amp;" plus "&amp;$B155&amp;" plus "&amp;$B156&amp;" plus "&amp;$B157&amp;" For age "&amp;$J$6&amp;" "&amp;$J$7&amp;" should be equal to "&amp;$B153&amp;""&amp;CHAR(10),""),IF((K154+K155+K156+K157)&lt;&gt;K153," * "&amp;$A153&amp;" , "&amp;$B154&amp;" plus "&amp;$B155&amp;" plus "&amp;$B156&amp;" plus "&amp;$B157&amp;" For age "&amp;$J$6&amp;" "&amp;$K$7&amp;" should be equal to "&amp;$B153&amp;""&amp;CHAR(10),""),IF((L154+L155+L156+L157)&lt;&gt;L153," * "&amp;$A153&amp;" , "&amp;$B154&amp;" plus "&amp;$B155&amp;" plus "&amp;$B156&amp;" plus "&amp;$B157&amp;" For age "&amp;$L$6&amp;" "&amp;$L$7&amp;" should be equal to "&amp;$B153&amp;""&amp;CHAR(10),""),IF((M154+M155+M156+M157)&lt;&gt;M153," * "&amp;$A153&amp;" , "&amp;$B154&amp;" plus "&amp;$B155&amp;" plus "&amp;$B156&amp;" plus "&amp;$B157&amp;" For age "&amp;$L$6&amp;" "&amp;$M$7&amp;" should be equal to "&amp;$B153&amp;""&amp;CHAR(10),""),IF((N154+N155+N156+N157)&lt;&gt;N153," * "&amp;$A153&amp;" , "&amp;$B154&amp;" plus "&amp;$B155&amp;" plus "&amp;$B156&amp;" plus "&amp;$B157&amp;" For age "&amp;$N$6&amp;" "&amp;$N$7&amp;" should be equal to "&amp;$B153&amp;""&amp;CHAR(10),""),IF((O154+O155+O156+O157)&lt;&gt;O153," * "&amp;$A153&amp;" , "&amp;$B154&amp;" plus "&amp;$B155&amp;" plus "&amp;$B156&amp;" plus "&amp;$B157&amp;" For age "&amp;$N$6&amp;" "&amp;$O$7&amp;" should be equal to "&amp;$B153&amp;""&amp;CHAR(10),""),IF((P154+P155+P156+P157)&lt;&gt;P153," * "&amp;$A153&amp;" , "&amp;$B154&amp;" plus "&amp;$B155&amp;" plus "&amp;$B156&amp;" plus "&amp;$B157&amp;" For age "&amp;$P$6&amp;" "&amp;$P$7&amp;" should be equal to "&amp;$B153&amp;""&amp;CHAR(10),""),IF((Q154+Q155+Q156+Q157)&lt;&gt;Q153," * "&amp;$A153&amp;" , "&amp;$B154&amp;" plus "&amp;$B155&amp;" plus "&amp;$B156&amp;" plus "&amp;$B157&amp;" For age "&amp;$P$6&amp;" "&amp;$Q$7&amp;" should be equal to "&amp;$B153&amp;""&amp;CHAR(10),""),IF((R154+R155+R156+R157)&lt;&gt;R153," * "&amp;$A153&amp;" , "&amp;$B154&amp;" plus "&amp;$B155&amp;" plus "&amp;$B156&amp;" plus "&amp;$B157&amp;" For age "&amp;$R$6&amp;" "&amp;$R$7&amp;" should be equal to "&amp;$B153&amp;""&amp;CHAR(10),""),IF((S154+S155+S156+S157)&lt;&gt;S153," * "&amp;$A153&amp;" , "&amp;$B154&amp;" plus "&amp;$B155&amp;" plus "&amp;$B156&amp;" plus "&amp;$B157&amp;" For age "&amp;$R$6&amp;" "&amp;$S$7&amp;" should be equal to "&amp;$B153&amp;""&amp;CHAR(10),""),IF((T154+T155+T156+T157)&lt;&gt;T153," * "&amp;$A153&amp;" , "&amp;$B154&amp;" plus "&amp;$B155&amp;" plus "&amp;$B156&amp;" plus "&amp;$B157&amp;" For age "&amp;$T$6&amp;" "&amp;$T$7&amp;" should be equal to "&amp;$B153&amp;""&amp;CHAR(10),""),IF((U154+U155+U156+U157)&lt;&gt;U153," * "&amp;$A153&amp;" , "&amp;$B154&amp;" plus "&amp;$B155&amp;" plus "&amp;$B156&amp;" plus "&amp;$B157&amp;" For age "&amp;$T$6&amp;" "&amp;$U$7&amp;" should be equal to "&amp;$B153&amp;""&amp;CHAR(10),""),IF((V154+V155+V156+V157)&lt;&gt;V153," * "&amp;$A153&amp;" , "&amp;$B154&amp;" plus "&amp;$B155&amp;" plus "&amp;$B156&amp;" plus "&amp;$B157&amp;" For age "&amp;$V$6&amp;" "&amp;$V$7&amp;" should be equal to "&amp;$B153&amp;""&amp;CHAR(10),""),IF((W154+W155+W156+W157)&lt;&gt;W153," * "&amp;$A153&amp;" , "&amp;$B154&amp;" plus "&amp;$B155&amp;" plus "&amp;$B156&amp;" plus "&amp;$B157&amp;" For age "&amp;$V$6&amp;" "&amp;$W$7&amp;" should be equal to "&amp;$B153&amp;""&amp;CHAR(10),""),IF((X154+X155+X156+X157)&lt;&gt;X153," * "&amp;$A153&amp;" , "&amp;$B154&amp;" plus "&amp;$B155&amp;" plus "&amp;$B156&amp;" plus "&amp;$B157&amp;" For age "&amp;$X$6&amp;" "&amp;$X$7&amp;" should be equal to "&amp;$B153&amp;""&amp;CHAR(10),""),IF((Y154+Y155+Y156+Y157)&lt;&gt;Y153," * "&amp;$A153&amp;" , "&amp;$B154&amp;" plus "&amp;$B155&amp;" plus "&amp;$B156&amp;" plus "&amp;$B157&amp;" For age "&amp;$X$6&amp;" "&amp;$Y$7&amp;" should be equal to "&amp;$B153&amp;""&amp;CHAR(10),""),IF((Z154+Z155+Z156+Z157)&lt;&gt;Z153," * "&amp;$A153&amp;" , "&amp;$B154&amp;" plus "&amp;$B155&amp;" plus "&amp;$B156&amp;" plus "&amp;$B157&amp;" For age "&amp;$Z$6&amp;" "&amp;$Z$7&amp;" should be equal to "&amp;$B153&amp;""&amp;CHAR(10),""),IF((AA154+AA155+AA156+AA157)&lt;&gt;AA153," * "&amp;$A153&amp;" , "&amp;$B154&amp;" plus "&amp;$B155&amp;" plus "&amp;$B156&amp;" plus "&amp;$B157&amp;" For age "&amp;$Z$6&amp;" "&amp;$AA$7&amp;" should be equal to "&amp;$B153&amp;""&amp;CHAR(10),""))</f>
        <v/>
      </c>
      <c r="AL153" s="826"/>
      <c r="AM153" s="113"/>
      <c r="AN153" s="820"/>
      <c r="AO153" s="283">
        <v>199</v>
      </c>
    </row>
    <row r="154" spans="1:41">
      <c r="A154" s="1017"/>
      <c r="B154" s="308" t="s">
        <v>37</v>
      </c>
      <c r="C154" s="150" t="s">
        <v>356</v>
      </c>
      <c r="D154" s="23"/>
      <c r="E154" s="24"/>
      <c r="F154" s="24"/>
      <c r="G154" s="24"/>
      <c r="H154" s="24"/>
      <c r="I154" s="24"/>
      <c r="J154" s="24"/>
      <c r="K154" s="344"/>
      <c r="L154" s="345"/>
      <c r="M154" s="344"/>
      <c r="N154" s="345"/>
      <c r="O154" s="344"/>
      <c r="P154" s="345"/>
      <c r="Q154" s="344"/>
      <c r="R154" s="345"/>
      <c r="S154" s="344"/>
      <c r="T154" s="345"/>
      <c r="U154" s="344"/>
      <c r="V154" s="345"/>
      <c r="W154" s="344"/>
      <c r="X154" s="345"/>
      <c r="Y154" s="344"/>
      <c r="Z154" s="345"/>
      <c r="AA154" s="206"/>
      <c r="AB154" s="352"/>
      <c r="AC154" s="241"/>
      <c r="AD154" s="346"/>
      <c r="AE154" s="241"/>
      <c r="AF154" s="346"/>
      <c r="AG154" s="241"/>
      <c r="AH154" s="346"/>
      <c r="AI154" s="268"/>
      <c r="AJ154" s="256">
        <f t="shared" ref="AJ154:AJ157" si="126">SUM(D154:AA154)</f>
        <v>0</v>
      </c>
      <c r="AK154" s="119"/>
      <c r="AL154" s="826"/>
      <c r="AM154" s="113"/>
      <c r="AN154" s="820"/>
      <c r="AO154" s="283"/>
    </row>
    <row r="155" spans="1:41">
      <c r="A155" s="1017"/>
      <c r="B155" s="309" t="s">
        <v>41</v>
      </c>
      <c r="C155" s="146" t="s">
        <v>358</v>
      </c>
      <c r="D155" s="28"/>
      <c r="E155" s="29"/>
      <c r="F155" s="29"/>
      <c r="G155" s="29"/>
      <c r="H155" s="29"/>
      <c r="I155" s="29"/>
      <c r="J155" s="29"/>
      <c r="K155" s="33"/>
      <c r="L155" s="346"/>
      <c r="M155" s="33"/>
      <c r="N155" s="346"/>
      <c r="O155" s="33"/>
      <c r="P155" s="346"/>
      <c r="Q155" s="33"/>
      <c r="R155" s="346"/>
      <c r="S155" s="33"/>
      <c r="T155" s="346"/>
      <c r="U155" s="33"/>
      <c r="V155" s="346"/>
      <c r="W155" s="33"/>
      <c r="X155" s="346"/>
      <c r="Y155" s="33"/>
      <c r="Z155" s="346"/>
      <c r="AA155" s="91"/>
      <c r="AB155" s="352"/>
      <c r="AC155" s="241"/>
      <c r="AD155" s="346"/>
      <c r="AE155" s="241"/>
      <c r="AF155" s="346"/>
      <c r="AG155" s="241"/>
      <c r="AH155" s="346"/>
      <c r="AI155" s="268"/>
      <c r="AJ155" s="111">
        <f t="shared" si="126"/>
        <v>0</v>
      </c>
      <c r="AK155" s="119" t="str">
        <f>CONCATENATE(IF(D153&gt;D152," * New positive at ANC1 for Age "&amp;D6&amp;" "&amp;D7&amp;" is more than initial test at ANC1"&amp;CHAR(10),""),IF(E153&gt;E152," * New positive at ANC1 for Age "&amp;D6&amp;" "&amp;E7&amp;" is more than initial test at ANC1"&amp;CHAR(10),""),IF(F153&gt;F152," * New positive at ANC1 for Age "&amp;F6&amp;" "&amp;F7&amp;" is more than initial test at ANC1"&amp;CHAR(10),""),IF(G153&gt;G152," * New positive at ANC1 for Age "&amp;F6&amp;" "&amp;G7&amp;" is more than initial test at ANC1"&amp;CHAR(10),""),IF(H153&gt;H152," * New positive at ANC1 for Age "&amp;H6&amp;" "&amp;H7&amp;" is more than initial test at ANC1"&amp;CHAR(10),""),IF(I153&gt;I152," * New positive at ANC1 for Age "&amp;H6&amp;" "&amp;I7&amp;" is more than initial test at ANC1"&amp;CHAR(10),""),IF(J153&gt;J152," * New positive at ANC1 for Age "&amp;J6&amp;" "&amp;J7&amp;" is more than initial test at ANC1"&amp;CHAR(10),""),IF(K153&gt;K152," * New positive at ANC1 for Age "&amp;J6&amp;" "&amp;K7&amp;" is more than initial test at ANC1"&amp;CHAR(10),""),IF(L153&gt;L152," * New positive at ANC1 for Age "&amp;L6&amp;" "&amp;L7&amp;" is more than initial test at ANC1"&amp;CHAR(10),""),IF(M153&gt;M152," * New positive at ANC1 for Age "&amp;L6&amp;" "&amp;M7&amp;" is more than initial test at ANC1"&amp;CHAR(10),""),IF(N153&gt;N152," * New positive at ANC1 for Age "&amp;N6&amp;" "&amp;N7&amp;" is more than initial test at ANC1"&amp;CHAR(10),""),IF(O153&gt;O152," * New positive at ANC1 for Age "&amp;N6&amp;" "&amp;O7&amp;" is more than initial test at ANC1"&amp;CHAR(10),""),IF(P153&gt;P152," * New positive at ANC1 for Age "&amp;P6&amp;" "&amp;P7&amp;" is more than initial test at ANC1"&amp;CHAR(10),""),IF(Q153&gt;Q152," * New positive at ANC1 for Age "&amp;P6&amp;" "&amp;Q7&amp;" is more than initial test at ANC1"&amp;CHAR(10),""),IF(R153&gt;R152," * New positive at ANC1 for Age "&amp;R6&amp;" "&amp;R7&amp;" is more than initial test at ANC1"&amp;CHAR(10),""),IF(S153&gt;S152," * New positive at ANC1 for Age "&amp;R6&amp;" "&amp;S7&amp;" is more than initial test at ANC1"&amp;CHAR(10),""),IF(T153&gt;T152," * New positive at ANC1 for Age "&amp;T6&amp;" "&amp;T7&amp;" is more than initial test at ANC1"&amp;CHAR(10),""),IF(U153&gt;U152," * New positive at ANC1 for Age "&amp;T6&amp;" "&amp;U7&amp;" is more than initial test at ANC1"&amp;CHAR(10),""),IF(V153&gt;V152," * New positive at ANC1 for Age "&amp;V6&amp;" "&amp;V7&amp;" is more than initial test at ANC1"&amp;CHAR(10),""),IF(W153&gt;W152," * New positive at ANC1 for Age "&amp;V6&amp;" "&amp;W7&amp;" is more than initial test at ANC1"&amp;CHAR(10),""),IF(X153&gt;X152," * New positive at ANC1 for Age "&amp;X6&amp;" "&amp;X7&amp;" is more than initial test at ANC1"&amp;CHAR(10),""),IF(Y153&gt;Y152," * New positive at ANC1 for Age "&amp;X6&amp;" "&amp;Y7&amp;" is more than initial test at ANC1"&amp;CHAR(10),""),IF(Z153&gt;Z152," * New positive at ANC1 for Age "&amp;Z6&amp;" "&amp;Z7&amp;" is more than initial test at ANC1"&amp;CHAR(10),""),IF(AA153&gt;AA152," * New positive at ANC1 for Age "&amp;Z6&amp;" "&amp;AA7&amp;" is more than initial test at ANC1"&amp;CHAR(10),""),IF(AJ153&gt;AJ152," * Total New positive at ANC1 is more than Total initial test at ANC1"&amp;CHAR(10),""))</f>
        <v/>
      </c>
      <c r="AL155" s="826"/>
      <c r="AM155" s="113"/>
      <c r="AN155" s="820"/>
      <c r="AO155" s="283"/>
    </row>
    <row r="156" spans="1:41">
      <c r="A156" s="1017"/>
      <c r="B156" s="309" t="s">
        <v>44</v>
      </c>
      <c r="C156" s="146" t="s">
        <v>360</v>
      </c>
      <c r="D156" s="28"/>
      <c r="E156" s="29"/>
      <c r="F156" s="29"/>
      <c r="G156" s="29"/>
      <c r="H156" s="29"/>
      <c r="I156" s="29"/>
      <c r="J156" s="29"/>
      <c r="K156" s="33"/>
      <c r="L156" s="346"/>
      <c r="M156" s="33"/>
      <c r="N156" s="346"/>
      <c r="O156" s="33"/>
      <c r="P156" s="346"/>
      <c r="Q156" s="33"/>
      <c r="R156" s="346"/>
      <c r="S156" s="33"/>
      <c r="T156" s="346"/>
      <c r="U156" s="33"/>
      <c r="V156" s="346"/>
      <c r="W156" s="33"/>
      <c r="X156" s="346"/>
      <c r="Y156" s="33"/>
      <c r="Z156" s="346"/>
      <c r="AA156" s="91"/>
      <c r="AB156" s="352"/>
      <c r="AC156" s="241"/>
      <c r="AD156" s="346"/>
      <c r="AE156" s="241"/>
      <c r="AF156" s="346"/>
      <c r="AG156" s="241"/>
      <c r="AH156" s="346"/>
      <c r="AI156" s="268"/>
      <c r="AJ156" s="111">
        <f t="shared" si="126"/>
        <v>0</v>
      </c>
      <c r="AK156" s="121"/>
      <c r="AL156" s="826"/>
      <c r="AM156" s="113"/>
      <c r="AN156" s="820"/>
      <c r="AO156" s="283"/>
    </row>
    <row r="157" spans="1:41" ht="31.5" thickBot="1">
      <c r="A157" s="1017"/>
      <c r="B157" s="310" t="s">
        <v>47</v>
      </c>
      <c r="C157" s="147" t="s">
        <v>362</v>
      </c>
      <c r="D157" s="50"/>
      <c r="E157" s="51"/>
      <c r="F157" s="51"/>
      <c r="G157" s="51"/>
      <c r="H157" s="51"/>
      <c r="I157" s="51"/>
      <c r="J157" s="51"/>
      <c r="K157" s="37"/>
      <c r="L157" s="347"/>
      <c r="M157" s="37"/>
      <c r="N157" s="347"/>
      <c r="O157" s="37"/>
      <c r="P157" s="347"/>
      <c r="Q157" s="37"/>
      <c r="R157" s="347"/>
      <c r="S157" s="37"/>
      <c r="T157" s="347"/>
      <c r="U157" s="37"/>
      <c r="V157" s="347"/>
      <c r="W157" s="37"/>
      <c r="X157" s="347"/>
      <c r="Y157" s="37"/>
      <c r="Z157" s="347"/>
      <c r="AA157" s="362"/>
      <c r="AB157" s="363"/>
      <c r="AC157" s="241"/>
      <c r="AD157" s="364"/>
      <c r="AE157" s="241"/>
      <c r="AF157" s="364"/>
      <c r="AG157" s="241"/>
      <c r="AH157" s="364"/>
      <c r="AI157" s="268"/>
      <c r="AJ157" s="117">
        <f t="shared" si="126"/>
        <v>0</v>
      </c>
      <c r="AK157" s="121"/>
      <c r="AL157" s="826"/>
      <c r="AM157" s="113"/>
      <c r="AN157" s="820"/>
      <c r="AO157" s="283"/>
    </row>
    <row r="158" spans="1:41">
      <c r="A158" s="1017"/>
      <c r="B158" s="311" t="s">
        <v>935</v>
      </c>
      <c r="C158" s="306" t="s">
        <v>365</v>
      </c>
      <c r="D158" s="312"/>
      <c r="E158" s="313"/>
      <c r="F158" s="313"/>
      <c r="G158" s="313"/>
      <c r="H158" s="313"/>
      <c r="I158" s="313"/>
      <c r="J158" s="313"/>
      <c r="K158" s="348">
        <f>K152+K151</f>
        <v>0</v>
      </c>
      <c r="L158" s="313"/>
      <c r="M158" s="348">
        <f>M152+M151</f>
        <v>0</v>
      </c>
      <c r="N158" s="313"/>
      <c r="O158" s="348">
        <f>O152+O151</f>
        <v>0</v>
      </c>
      <c r="P158" s="313"/>
      <c r="Q158" s="348">
        <f>Q152+Q151</f>
        <v>0</v>
      </c>
      <c r="R158" s="313"/>
      <c r="S158" s="348">
        <f>S152+S151</f>
        <v>0</v>
      </c>
      <c r="T158" s="313"/>
      <c r="U158" s="348">
        <f>U152+U151</f>
        <v>0</v>
      </c>
      <c r="V158" s="313"/>
      <c r="W158" s="348">
        <f>W152+W151</f>
        <v>0</v>
      </c>
      <c r="X158" s="313"/>
      <c r="Y158" s="348">
        <f>Y152+Y151</f>
        <v>0</v>
      </c>
      <c r="Z158" s="313"/>
      <c r="AA158" s="365"/>
      <c r="AB158" s="241"/>
      <c r="AC158" s="241"/>
      <c r="AD158" s="241"/>
      <c r="AE158" s="241"/>
      <c r="AF158" s="241"/>
      <c r="AG158" s="241"/>
      <c r="AH158" s="241"/>
      <c r="AI158" s="268"/>
      <c r="AJ158" s="387">
        <f t="shared" si="125"/>
        <v>0</v>
      </c>
      <c r="AK158" s="274"/>
      <c r="AL158" s="826"/>
      <c r="AM158" s="113"/>
      <c r="AN158" s="820"/>
      <c r="AO158" s="283">
        <v>200</v>
      </c>
    </row>
    <row r="159" spans="1:41" ht="31.5" thickBot="1">
      <c r="A159" s="1018"/>
      <c r="B159" s="314" t="s">
        <v>367</v>
      </c>
      <c r="C159" s="19" t="s">
        <v>368</v>
      </c>
      <c r="D159" s="50"/>
      <c r="E159" s="51"/>
      <c r="F159" s="51"/>
      <c r="G159" s="51"/>
      <c r="H159" s="51"/>
      <c r="I159" s="51"/>
      <c r="J159" s="51"/>
      <c r="K159" s="349">
        <f>K153+K151</f>
        <v>0</v>
      </c>
      <c r="L159" s="51"/>
      <c r="M159" s="349">
        <f>M153+M151</f>
        <v>0</v>
      </c>
      <c r="N159" s="51"/>
      <c r="O159" s="349">
        <f>O153+O151</f>
        <v>0</v>
      </c>
      <c r="P159" s="51"/>
      <c r="Q159" s="349">
        <f>Q153+Q151</f>
        <v>0</v>
      </c>
      <c r="R159" s="51"/>
      <c r="S159" s="349">
        <f>S153+S151</f>
        <v>0</v>
      </c>
      <c r="T159" s="51"/>
      <c r="U159" s="349">
        <f>U153+U151</f>
        <v>0</v>
      </c>
      <c r="V159" s="51"/>
      <c r="W159" s="349">
        <f>W153+W151</f>
        <v>0</v>
      </c>
      <c r="X159" s="51"/>
      <c r="Y159" s="349">
        <f>Y153+Y151</f>
        <v>0</v>
      </c>
      <c r="Z159" s="51"/>
      <c r="AA159" s="362"/>
      <c r="AB159" s="241"/>
      <c r="AC159" s="241"/>
      <c r="AD159" s="241"/>
      <c r="AE159" s="241"/>
      <c r="AF159" s="241"/>
      <c r="AG159" s="241"/>
      <c r="AH159" s="241"/>
      <c r="AI159" s="268"/>
      <c r="AJ159" s="389">
        <f t="shared" si="125"/>
        <v>0</v>
      </c>
      <c r="AK159" s="274"/>
      <c r="AL159" s="826"/>
      <c r="AM159" s="113"/>
      <c r="AN159" s="820"/>
      <c r="AO159" s="283">
        <v>201</v>
      </c>
    </row>
    <row r="160" spans="1:41">
      <c r="A160" s="946" t="s">
        <v>978</v>
      </c>
      <c r="B160" s="315" t="s">
        <v>371</v>
      </c>
      <c r="C160" s="18" t="s">
        <v>372</v>
      </c>
      <c r="D160" s="145"/>
      <c r="E160" s="24"/>
      <c r="F160" s="24"/>
      <c r="G160" s="24"/>
      <c r="H160" s="24"/>
      <c r="I160" s="24"/>
      <c r="J160" s="24"/>
      <c r="K160" s="25"/>
      <c r="L160" s="24"/>
      <c r="M160" s="25"/>
      <c r="N160" s="24"/>
      <c r="O160" s="25"/>
      <c r="P160" s="24"/>
      <c r="Q160" s="25"/>
      <c r="R160" s="24"/>
      <c r="S160" s="25"/>
      <c r="T160" s="24"/>
      <c r="U160" s="25"/>
      <c r="V160" s="24"/>
      <c r="W160" s="25"/>
      <c r="X160" s="24"/>
      <c r="Y160" s="25"/>
      <c r="Z160" s="24"/>
      <c r="AA160" s="64"/>
      <c r="AB160" s="240"/>
      <c r="AC160" s="241"/>
      <c r="AD160" s="241"/>
      <c r="AE160" s="241"/>
      <c r="AF160" s="241"/>
      <c r="AG160" s="241"/>
      <c r="AH160" s="241"/>
      <c r="AI160" s="268"/>
      <c r="AJ160" s="390">
        <f t="shared" si="125"/>
        <v>0</v>
      </c>
      <c r="AK160" s="910" t="str">
        <f>CONCATENATE(IF(D161&gt;D160," * Initial positive results at ANC 2 and above for Age "&amp;D6&amp;" "&amp;D7&amp;" is more than Initial test at ANC 2 and above"&amp;CHAR(10),""),IF(E161&gt;E160," * Initial positive results at ANC 2 and above for Age "&amp;D6&amp;" "&amp;E7&amp;" is more than Initial test at ANC 2 and above"&amp;CHAR(10),""),IF(F161&gt;F160," * Initial positive results at ANC 2 and above for Age "&amp;F6&amp;" "&amp;F7&amp;" is more than Initial test at ANC 2 and above"&amp;CHAR(10),""),IF(G161&gt;G160," * Initial positive results at ANC 2 and above for Age "&amp;F6&amp;" "&amp;G7&amp;" is more than Initial test at ANC 2 and above"&amp;CHAR(10),""),IF(H161&gt;H160," * Initial positive results at ANC 2 and above for Age "&amp;H6&amp;" "&amp;H7&amp;" is more than Initial test at ANC 2 and above"&amp;CHAR(10),""),IF(I161&gt;I160," * Initial positive results at ANC 2 and above for Age "&amp;H6&amp;" "&amp;I7&amp;" is more than Initial test at ANC 2 and above"&amp;CHAR(10),""),IF(J161&gt;J160," * Initial positive results at ANC 2 and above for Age "&amp;J6&amp;" "&amp;J7&amp;" is more than Initial test at ANC 2 and above"&amp;CHAR(10),""),IF(K161&gt;K160," * Initial positive results at ANC 2 and above for Age "&amp;J6&amp;" "&amp;K7&amp;" is more than Initial test at ANC 2 and above"&amp;CHAR(10),""),IF(L161&gt;L160," * Initial positive results at ANC 2 and above for Age "&amp;L6&amp;" "&amp;L7&amp;" is more than Initial test at ANC 2 and above"&amp;CHAR(10),""),IF(M161&gt;M160," * Initial positive results at ANC 2 and above for Age "&amp;L6&amp;" "&amp;M7&amp;" is more than Initial test at ANC 2 and above"&amp;CHAR(10),""),IF(N161&gt;N160," * Initial positive results at ANC 2 and above for Age "&amp;N6&amp;" "&amp;N7&amp;" is more than Initial test at ANC 2 and above"&amp;CHAR(10),""),IF(O161&gt;O160," * Initial positive results at ANC 2 and above for Age "&amp;N6&amp;" "&amp;O7&amp;" is more than Initial test at ANC 2 and above"&amp;CHAR(10),""),IF(P161&gt;P160," * Initial positive results at ANC 2 and above for Age "&amp;P6&amp;" "&amp;P7&amp;" is more than Initial test at ANC 2 and above"&amp;CHAR(10),""),IF(Q161&gt;Q160," * Initial positive results at ANC 2 and above for Age "&amp;P6&amp;" "&amp;Q7&amp;" is more than Initial test at ANC 2 and above"&amp;CHAR(10),""),IF(R161&gt;R160," * Initial positive results at ANC 2 and above for Age "&amp;R6&amp;" "&amp;R7&amp;" is more than Initial test at ANC 2 and above"&amp;CHAR(10),""),IF(S161&gt;S160," * Initial positive results at ANC 2 and above for Age "&amp;R6&amp;" "&amp;S7&amp;" is more than Initial test at ANC 2 and above"&amp;CHAR(10),""),IF(T161&gt;T160," * Initial positive results at ANC 2 and above for Age "&amp;T6&amp;" "&amp;T7&amp;" is more than Initial test at ANC 2 and above"&amp;CHAR(10),""),IF(U161&gt;U160," * Initial positive results at ANC 2 and above for Age "&amp;T6&amp;" "&amp;U7&amp;" is more than Initial test at ANC 2 and above"&amp;CHAR(10),""),IF(V161&gt;V160," * Initial positive results at ANC 2 and above for Age "&amp;V6&amp;" "&amp;V7&amp;" is more than Initial test at ANC 2 and above"&amp;CHAR(10),""),IF(W161&gt;W160," * Initial positive results at ANC 2 and above for Age "&amp;V6&amp;" "&amp;W7&amp;" is more than Initial test at ANC 2 and above"&amp;CHAR(10),""),IF(X161&gt;X160," * Initial positive results at ANC 2 and above for Age "&amp;X6&amp;" "&amp;X7&amp;" is more than Initial test at ANC 2 and above"&amp;CHAR(10),""),IF(Y161&gt;Y160," * Initial positive results at ANC 2 and above for Age "&amp;X6&amp;" "&amp;Y7&amp;" is more than Initial test at ANC 2 and above"&amp;CHAR(10),""),IF(Z161&gt;Z160," * Initial positive results at ANC 2 and above for Age "&amp;Z6&amp;" "&amp;Z7&amp;" is more than Initial test at ANC 2 and above"&amp;CHAR(10),""),IF(AA161&gt;AA160," * Initial positive results at ANC 2 and above for Age "&amp;Z6&amp;" "&amp;AA7&amp;" is more than Initial test at ANC 2 and above"&amp;CHAR(10),""))</f>
        <v/>
      </c>
      <c r="AL160" s="826"/>
      <c r="AM160" s="113"/>
      <c r="AN160" s="820"/>
      <c r="AO160" s="283">
        <v>202</v>
      </c>
    </row>
    <row r="161" spans="1:41">
      <c r="A161" s="947"/>
      <c r="B161" s="31" t="s">
        <v>374</v>
      </c>
      <c r="C161" s="27" t="s">
        <v>375</v>
      </c>
      <c r="D161" s="92"/>
      <c r="E161" s="29"/>
      <c r="F161" s="29"/>
      <c r="G161" s="29"/>
      <c r="H161" s="29"/>
      <c r="I161" s="29"/>
      <c r="J161" s="29"/>
      <c r="K161" s="341"/>
      <c r="L161" s="342"/>
      <c r="M161" s="341"/>
      <c r="N161" s="342"/>
      <c r="O161" s="341"/>
      <c r="P161" s="342"/>
      <c r="Q161" s="341"/>
      <c r="R161" s="342"/>
      <c r="S161" s="341"/>
      <c r="T161" s="342"/>
      <c r="U161" s="341"/>
      <c r="V161" s="342"/>
      <c r="W161" s="341"/>
      <c r="X161" s="342"/>
      <c r="Y161" s="341"/>
      <c r="Z161" s="29"/>
      <c r="AA161" s="67"/>
      <c r="AB161" s="240"/>
      <c r="AC161" s="241"/>
      <c r="AD161" s="241"/>
      <c r="AE161" s="241"/>
      <c r="AF161" s="241"/>
      <c r="AG161" s="241"/>
      <c r="AH161" s="241"/>
      <c r="AI161" s="268"/>
      <c r="AJ161" s="387">
        <f t="shared" si="125"/>
        <v>0</v>
      </c>
      <c r="AK161" s="910"/>
      <c r="AL161" s="826"/>
      <c r="AM161" s="113"/>
      <c r="AN161" s="820"/>
      <c r="AO161" s="283">
        <v>203</v>
      </c>
    </row>
    <row r="162" spans="1:41" ht="31.15" customHeight="1">
      <c r="A162" s="947"/>
      <c r="B162" s="26" t="s">
        <v>377</v>
      </c>
      <c r="C162" s="27" t="s">
        <v>378</v>
      </c>
      <c r="D162" s="92"/>
      <c r="E162" s="29"/>
      <c r="F162" s="29"/>
      <c r="G162" s="29"/>
      <c r="H162" s="29"/>
      <c r="I162" s="29"/>
      <c r="J162" s="29"/>
      <c r="K162" s="30"/>
      <c r="L162" s="29"/>
      <c r="M162" s="30"/>
      <c r="N162" s="29"/>
      <c r="O162" s="30"/>
      <c r="P162" s="29"/>
      <c r="Q162" s="30"/>
      <c r="R162" s="29"/>
      <c r="S162" s="30"/>
      <c r="T162" s="29"/>
      <c r="U162" s="30"/>
      <c r="V162" s="29"/>
      <c r="W162" s="30"/>
      <c r="X162" s="29"/>
      <c r="Y162" s="30"/>
      <c r="Z162" s="29"/>
      <c r="AA162" s="67"/>
      <c r="AB162" s="240"/>
      <c r="AC162" s="241"/>
      <c r="AD162" s="241"/>
      <c r="AE162" s="241"/>
      <c r="AF162" s="241"/>
      <c r="AG162" s="241"/>
      <c r="AH162" s="241"/>
      <c r="AI162" s="268"/>
      <c r="AJ162" s="387">
        <f t="shared" si="125"/>
        <v>0</v>
      </c>
      <c r="AK162" s="119" t="str">
        <f>CONCATENATE(IF(D163&gt;D162," * Retesting at ANC 2 and above For age "&amp;$D$6&amp;" "&amp;$D$7&amp;" is less than  than Retesting positive result at ANC 2 and above"&amp;CHAR(10),""),IF(E163&gt;E162," * Retesting at ANC 2 and above For age "&amp;$D$6&amp;" "&amp;$E$7&amp;" is less than  than Retesting positive result at ANC 2 and above"&amp;CHAR(10),""),IF(F163&gt;F162," * Retesting at ANC 2 and above For age "&amp;$F$6&amp;" "&amp;$F$7&amp;" is less than  than Retesting positive result at ANC 2 and above"&amp;CHAR(10),""),IF(G163&gt;G162," * Retesting at ANC 2 and above For age "&amp;$F$6&amp;" "&amp;$G$7&amp;" is less than  than Retesting positive result at ANC 2 and above"&amp;CHAR(10),""),IF(H163&gt;H162," * Retesting at ANC 2 and above For age "&amp;$H$6&amp;" "&amp;$H$7&amp;" is less than  than Retesting positive result at ANC 2 and above"&amp;CHAR(10),""),IF(I163&gt;I162," * Retesting at ANC 2 and above For age "&amp;$H$6&amp;" "&amp;$I$7&amp;" is less than  than Retesting positive result at ANC 2 and above"&amp;CHAR(10),""),IF(J163&gt;J162," * Retesting at ANC 2 and above For age "&amp;$J$6&amp;" "&amp;$J$7&amp;" is less than  than Retesting positive result at ANC 2 and above"&amp;CHAR(10),""),IF(K163&gt;K162," * Retesting at ANC 2 and above For age "&amp;$J$6&amp;" "&amp;$K$7&amp;" is less than  than Retesting positive result at ANC 2 and above"&amp;CHAR(10),""),IF(L163&gt;L162," * Retesting at ANC 2 and above For age "&amp;$L$6&amp;" "&amp;$L$7&amp;" is less than  than Retesting positive result at ANC 2 and above"&amp;CHAR(10),""),IF(M163&gt;M162," * Retesting at ANC 2 and above For age "&amp;$L$6&amp;" "&amp;$M$7&amp;" is less than  than Retesting positive result at ANC 2 and above"&amp;CHAR(10),""),IF(N163&gt;N162," * Retesting at ANC 2 and above For age "&amp;$N$6&amp;" "&amp;$N$7&amp;" is less than  than Retesting positive result at ANC 2 and above"&amp;CHAR(10),""),IF(O163&gt;O162," * Retesting at ANC 2 and above For age "&amp;$N$6&amp;" "&amp;$O$7&amp;" is less than  than Retesting positive result at ANC 2 and above"&amp;CHAR(10),""),IF(P163&gt;P162," * Retesting at ANC 2 and above For age "&amp;$P$6&amp;" "&amp;$P$7&amp;" is less than  than Retesting positive result at ANC 2 and above"&amp;CHAR(10),""),IF(Q163&gt;Q162," * Retesting at ANC 2 and above For age "&amp;$P$6&amp;" "&amp;$Q$7&amp;" is less than  than Retesting positive result at ANC 2 and above"&amp;CHAR(10),""),IF(R163&gt;R162," * Retesting at ANC 2 and above For age "&amp;$R$6&amp;" "&amp;$R$7&amp;" is less than  than Retesting positive result at ANC 2 and above"&amp;CHAR(10),""),IF(S163&gt;S162," * Retesting at ANC 2 and above For age "&amp;$R$6&amp;" "&amp;$S$7&amp;" is less than  than Retesting positive result at ANC 2 and above"&amp;CHAR(10),""),IF(T163&gt;T162," * Retesting at ANC 2 and above For age "&amp;$T$6&amp;" "&amp;$T$7&amp;" is less than  than Retesting positive result at ANC 2 and above"&amp;CHAR(10),""),IF(U163&gt;U162," * Retesting at ANC 2 and above For age "&amp;$T$6&amp;" "&amp;$U$7&amp;" is less than  than Retesting positive result at ANC 2 and above"&amp;CHAR(10),""),IF(V163&gt;V162," * Retesting at ANC 2 and above For age "&amp;$V$6&amp;" "&amp;$V$7&amp;" is less than  than Retesting positive result at ANC 2 and above"&amp;CHAR(10),""),IF(W163&gt;W162," * Retesting at ANC 2 and above For age "&amp;$V$6&amp;" "&amp;$W$7&amp;" is less than  than Retesting positive result at ANC 2 and above"&amp;CHAR(10),""),IF(X163&gt;X162," * Retesting at ANC 2 and above For age "&amp;$X$6&amp;" "&amp;$X$7&amp;" is less than  than Retesting positive result at ANC 2 and above"&amp;CHAR(10),""),IF(Y163&gt;Y162," * Retesting at ANC 2 and above For age "&amp;$X$6&amp;" "&amp;$Y$7&amp;" is less than  than Retesting positive result at ANC 2 and above"&amp;CHAR(10),""),IF(Z163&gt;Z162," * Retesting at ANC 2 and above For age "&amp;$Z$6&amp;" "&amp;$Z$7&amp;" is less than  than Retesting positive result at ANC 2 and above"&amp;CHAR(10),""),IF(AA163&gt;AA162," * Retesting at ANC 2 and above For age "&amp;$Z$6&amp;" "&amp;$AA$7&amp;" is less than  than Retesting positive result at ANC 2 and above"&amp;CHAR(10),""))</f>
        <v/>
      </c>
      <c r="AL162" s="826"/>
      <c r="AM162" s="113"/>
      <c r="AN162" s="820"/>
      <c r="AO162" s="283">
        <v>204</v>
      </c>
    </row>
    <row r="163" spans="1:41" ht="31.5" thickBot="1">
      <c r="A163" s="948"/>
      <c r="B163" s="186" t="s">
        <v>380</v>
      </c>
      <c r="C163" s="19" t="s">
        <v>381</v>
      </c>
      <c r="D163" s="291"/>
      <c r="E163" s="51"/>
      <c r="F163" s="51"/>
      <c r="G163" s="51"/>
      <c r="H163" s="51"/>
      <c r="I163" s="51"/>
      <c r="J163" s="320"/>
      <c r="K163" s="350"/>
      <c r="L163" s="320"/>
      <c r="M163" s="350"/>
      <c r="N163" s="320"/>
      <c r="O163" s="350"/>
      <c r="P163" s="320"/>
      <c r="Q163" s="350"/>
      <c r="R163" s="320"/>
      <c r="S163" s="350"/>
      <c r="T163" s="320"/>
      <c r="U163" s="350"/>
      <c r="V163" s="320"/>
      <c r="W163" s="350"/>
      <c r="X163" s="320"/>
      <c r="Y163" s="350"/>
      <c r="Z163" s="51"/>
      <c r="AA163" s="69"/>
      <c r="AB163" s="240"/>
      <c r="AC163" s="241"/>
      <c r="AD163" s="241"/>
      <c r="AE163" s="241"/>
      <c r="AF163" s="241"/>
      <c r="AG163" s="241"/>
      <c r="AH163" s="241"/>
      <c r="AI163" s="268"/>
      <c r="AJ163" s="389">
        <f t="shared" si="125"/>
        <v>0</v>
      </c>
      <c r="AK163" s="282"/>
      <c r="AL163" s="826"/>
      <c r="AM163" s="113"/>
      <c r="AN163" s="820"/>
      <c r="AO163" s="283">
        <v>205</v>
      </c>
    </row>
    <row r="164" spans="1:41">
      <c r="A164" s="1001" t="s">
        <v>936</v>
      </c>
      <c r="B164" s="42" t="s">
        <v>384</v>
      </c>
      <c r="C164" s="18" t="s">
        <v>385</v>
      </c>
      <c r="D164" s="145"/>
      <c r="E164" s="24"/>
      <c r="F164" s="24"/>
      <c r="G164" s="24"/>
      <c r="H164" s="24"/>
      <c r="I164" s="24"/>
      <c r="J164" s="24"/>
      <c r="K164" s="25"/>
      <c r="L164" s="24"/>
      <c r="M164" s="25"/>
      <c r="N164" s="24"/>
      <c r="O164" s="25"/>
      <c r="P164" s="24"/>
      <c r="Q164" s="25"/>
      <c r="R164" s="24"/>
      <c r="S164" s="25"/>
      <c r="T164" s="24"/>
      <c r="U164" s="25"/>
      <c r="V164" s="24"/>
      <c r="W164" s="25"/>
      <c r="X164" s="24"/>
      <c r="Y164" s="25"/>
      <c r="Z164" s="24"/>
      <c r="AA164" s="64"/>
      <c r="AB164" s="240"/>
      <c r="AC164" s="241"/>
      <c r="AD164" s="241"/>
      <c r="AE164" s="241"/>
      <c r="AF164" s="241"/>
      <c r="AG164" s="241"/>
      <c r="AH164" s="241"/>
      <c r="AI164" s="268"/>
      <c r="AJ164" s="390">
        <f t="shared" si="125"/>
        <v>0</v>
      </c>
      <c r="AK164" s="910" t="str">
        <f>CONCATENATE(IF(D165&gt;D164," * F06-08 for Age "&amp;D6&amp;" "&amp;D7&amp;" is more than F06-07"&amp;CHAR(10),""),IF(E165&gt;E164," * F06-08 for Age "&amp;D6&amp;" "&amp;E7&amp;" is more than F06-07"&amp;CHAR(10),""),IF(F165&gt;F164," * F06-08 for Age "&amp;F6&amp;" "&amp;F7&amp;" is more than F06-07"&amp;CHAR(10),""),IF(G165&gt;G164," * F06-08 for Age "&amp;F6&amp;" "&amp;G7&amp;" is more than F06-07"&amp;CHAR(10),""),IF(H165&gt;H164," * F06-08 for Age "&amp;H6&amp;" "&amp;H7&amp;" is more than F06-07"&amp;CHAR(10),""),IF(I165&gt;I164," * F06-08 for Age "&amp;H6&amp;" "&amp;I7&amp;" is more than F06-07"&amp;CHAR(10),""),IF(J165&gt;J164," * F06-08 for Age "&amp;J6&amp;" "&amp;J7&amp;" is more than F06-07"&amp;CHAR(10),""),IF(K165&gt;K164," * F06-08 for Age "&amp;J6&amp;" "&amp;K7&amp;" is more than F06-07"&amp;CHAR(10),""),IF(L165&gt;L164," * F06-08 for Age "&amp;L6&amp;" "&amp;L7&amp;" is more than F06-07"&amp;CHAR(10),""),IF(M165&gt;M164," * F06-08 for Age "&amp;L6&amp;" "&amp;M7&amp;" is more than F06-07"&amp;CHAR(10),""),IF(N165&gt;N164," * F06-08 for Age "&amp;N6&amp;" "&amp;N7&amp;" is more than F06-07"&amp;CHAR(10),""),IF(O165&gt;O164," * F06-08 for Age "&amp;N6&amp;" "&amp;O7&amp;" is more than F06-07"&amp;CHAR(10),""),IF(P165&gt;P164," * F06-08 for Age "&amp;P6&amp;" "&amp;P7&amp;" is more than F06-07"&amp;CHAR(10),""),IF(Q165&gt;Q164," * F06-08 for Age "&amp;P6&amp;" "&amp;Q7&amp;" is more than F06-07"&amp;CHAR(10),""),IF(R165&gt;R164," * F06-08 for Age "&amp;R6&amp;" "&amp;R7&amp;" is more than F06-07"&amp;CHAR(10),""),IF(S165&gt;S164," * F06-08 for Age "&amp;R6&amp;" "&amp;S7&amp;" is more than F06-07"&amp;CHAR(10),""),IF(T165&gt;T164," * F06-08 for Age "&amp;T6&amp;" "&amp;T7&amp;" is more than F06-07"&amp;CHAR(10),""),IF(U165&gt;U164," * F06-08 for Age "&amp;T6&amp;" "&amp;U7&amp;" is more than F06-07"&amp;CHAR(10),""),IF(V165&gt;V164," * F06-08 for Age "&amp;V6&amp;" "&amp;V7&amp;" is more than F06-07"&amp;CHAR(10),""),IF(W165&gt;W164," * F06-08 for Age "&amp;V6&amp;" "&amp;W7&amp;" is more than F06-07"&amp;CHAR(10),""),IF(X165&gt;X164," * F06-08 for Age "&amp;X6&amp;" "&amp;X7&amp;" is more than F06-07"&amp;CHAR(10),""),IF(Y165&gt;Y164," * F06-08 for Age "&amp;X6&amp;" "&amp;Y7&amp;" is more than F06-07"&amp;CHAR(10),""),IF(Z165&gt;Z164," * F06-08 for Age "&amp;Z6&amp;" "&amp;Z7&amp;" is more than F06-07"&amp;CHAR(10),""),IF(AA165&gt;AA164," * F06-08 for Age "&amp;Z6&amp;" "&amp;AA7&amp;" is more than F06-07"&amp;CHAR(10),""),IF(AJ165&gt;AJ164," * Total F06-08 is more than Total F06-07"&amp;CHAR(10),""))</f>
        <v/>
      </c>
      <c r="AL164" s="826"/>
      <c r="AM164" s="113"/>
      <c r="AN164" s="820"/>
      <c r="AO164" s="283">
        <v>206</v>
      </c>
    </row>
    <row r="165" spans="1:41">
      <c r="A165" s="939"/>
      <c r="B165" s="31" t="s">
        <v>388</v>
      </c>
      <c r="C165" s="27" t="s">
        <v>389</v>
      </c>
      <c r="D165" s="92"/>
      <c r="E165" s="29"/>
      <c r="F165" s="29"/>
      <c r="G165" s="29"/>
      <c r="H165" s="29"/>
      <c r="I165" s="29"/>
      <c r="J165" s="29"/>
      <c r="K165" s="341"/>
      <c r="L165" s="342"/>
      <c r="M165" s="341"/>
      <c r="N165" s="342"/>
      <c r="O165" s="341"/>
      <c r="P165" s="342"/>
      <c r="Q165" s="341"/>
      <c r="R165" s="342"/>
      <c r="S165" s="341"/>
      <c r="T165" s="342"/>
      <c r="U165" s="341"/>
      <c r="V165" s="342"/>
      <c r="W165" s="341"/>
      <c r="X165" s="342"/>
      <c r="Y165" s="341"/>
      <c r="Z165" s="342"/>
      <c r="AA165" s="67"/>
      <c r="AB165" s="240"/>
      <c r="AC165" s="241"/>
      <c r="AD165" s="241"/>
      <c r="AE165" s="241"/>
      <c r="AF165" s="241"/>
      <c r="AG165" s="241"/>
      <c r="AH165" s="241"/>
      <c r="AI165" s="268"/>
      <c r="AJ165" s="387">
        <f t="shared" si="125"/>
        <v>0</v>
      </c>
      <c r="AK165" s="910"/>
      <c r="AL165" s="826"/>
      <c r="AM165" s="113"/>
      <c r="AN165" s="820"/>
      <c r="AO165" s="283">
        <v>207</v>
      </c>
    </row>
    <row r="166" spans="1:41">
      <c r="A166" s="939"/>
      <c r="B166" s="26" t="s">
        <v>391</v>
      </c>
      <c r="C166" s="27" t="s">
        <v>392</v>
      </c>
      <c r="D166" s="92"/>
      <c r="E166" s="29"/>
      <c r="F166" s="29"/>
      <c r="G166" s="29"/>
      <c r="H166" s="29"/>
      <c r="I166" s="29"/>
      <c r="J166" s="29"/>
      <c r="K166" s="30"/>
      <c r="L166" s="29"/>
      <c r="M166" s="30"/>
      <c r="N166" s="29"/>
      <c r="O166" s="30"/>
      <c r="P166" s="29"/>
      <c r="Q166" s="30"/>
      <c r="R166" s="29"/>
      <c r="S166" s="30"/>
      <c r="T166" s="29"/>
      <c r="U166" s="30"/>
      <c r="V166" s="29"/>
      <c r="W166" s="30"/>
      <c r="X166" s="29"/>
      <c r="Y166" s="30"/>
      <c r="Z166" s="29"/>
      <c r="AA166" s="67"/>
      <c r="AB166" s="240"/>
      <c r="AC166" s="241"/>
      <c r="AD166" s="241"/>
      <c r="AE166" s="241"/>
      <c r="AF166" s="241"/>
      <c r="AG166" s="241"/>
      <c r="AH166" s="241"/>
      <c r="AI166" s="268"/>
      <c r="AJ166" s="387">
        <f t="shared" si="125"/>
        <v>0</v>
      </c>
      <c r="AK166" s="119" t="str">
        <f>CONCATENATE(IF(D167&gt;D166," * Retesting at L&amp;D For age "&amp;$D$6&amp;" "&amp;$D$7&amp;" is less than  than Retesting positive result at L&amp;D"&amp;CHAR(10),""),IF(E167&gt;E166," * Retesting at L&amp;D For age "&amp;$D$6&amp;" "&amp;$E$7&amp;" is less than  than Retesting positive result at L&amp;D"&amp;CHAR(10),""),IF(F167&gt;F166," * Retesting at L&amp;D For age "&amp;$F$6&amp;" "&amp;$F$7&amp;" is less than  than Retesting positive result at L&amp;D"&amp;CHAR(10),""),IF(G167&gt;G166," * Retesting at L&amp;D For age "&amp;$F$6&amp;" "&amp;$G$7&amp;" is less than  than Retesting positive result at L&amp;D"&amp;CHAR(10),""),IF(H167&gt;H166," * Retesting at L&amp;D For age "&amp;$H$6&amp;" "&amp;$H$7&amp;" is less than  than Retesting positive result at L&amp;D"&amp;CHAR(10),""),IF(I167&gt;I166," * Retesting at L&amp;D For age "&amp;$H$6&amp;" "&amp;$I$7&amp;" is less than  than Retesting positive result at L&amp;D"&amp;CHAR(10),""),IF(J167&gt;J166," * Retesting at L&amp;D For age "&amp;$J$6&amp;" "&amp;$J$7&amp;" is less than  than Retesting positive result at L&amp;D"&amp;CHAR(10),""),IF(K167&gt;K166," * Retesting at L&amp;D For age "&amp;$J$6&amp;" "&amp;$K$7&amp;" is less than  than Retesting positive result at L&amp;D"&amp;CHAR(10),""),IF(L167&gt;L166," * Retesting at L&amp;D For age "&amp;$L$6&amp;" "&amp;$L$7&amp;" is less than  than Retesting positive result at L&amp;D"&amp;CHAR(10),""),IF(M167&gt;M166," * Retesting at L&amp;D For age "&amp;$L$6&amp;" "&amp;$M$7&amp;" is less than  than Retesting positive result at L&amp;D"&amp;CHAR(10),""),IF(N167&gt;N166," * Retesting at L&amp;D For age "&amp;$N$6&amp;" "&amp;$N$7&amp;" is less than  than Retesting positive result at L&amp;D"&amp;CHAR(10),""),IF(O167&gt;O166," * Retesting at L&amp;D For age "&amp;$N$6&amp;" "&amp;$O$7&amp;" is less than  than Retesting positive result at L&amp;D"&amp;CHAR(10),""),IF(P167&gt;P166," * Retesting at L&amp;D For age "&amp;$P$6&amp;" "&amp;$P$7&amp;" is less than  than Retesting positive result at L&amp;D"&amp;CHAR(10),""),IF(Q167&gt;Q166," * Retesting at L&amp;D For age "&amp;$P$6&amp;" "&amp;$Q$7&amp;" is less than  than Retesting positive result at L&amp;D"&amp;CHAR(10),""),IF(R167&gt;R166," * Retesting at L&amp;D For age "&amp;$R$6&amp;" "&amp;$R$7&amp;" is less than  than Retesting positive result at L&amp;D"&amp;CHAR(10),""),IF(S167&gt;S166," * Retesting at L&amp;D For age "&amp;$R$6&amp;" "&amp;$S$7&amp;" is less than  than Retesting positive result at L&amp;D"&amp;CHAR(10),""),IF(T167&gt;T166," * Retesting at L&amp;D For age "&amp;$T$6&amp;" "&amp;$T$7&amp;" is less than  than Retesting positive result at L&amp;D"&amp;CHAR(10),""),IF(U167&gt;U166," * Retesting at L&amp;D For age "&amp;$T$6&amp;" "&amp;$U$7&amp;" is less than  than Retesting positive result at L&amp;D"&amp;CHAR(10),""),IF(V167&gt;V166," * Retesting at L&amp;D For age "&amp;$V$6&amp;" "&amp;$V$7&amp;" is less than  than Retesting positive result at L&amp;D"&amp;CHAR(10),""),IF(W167&gt;W166," * Retesting at L&amp;D For age "&amp;$V$6&amp;" "&amp;$W$7&amp;" is less than  than Retesting positive result at L&amp;D"&amp;CHAR(10),""),IF(X167&gt;X166," * Retesting at L&amp;D For age "&amp;$X$6&amp;" "&amp;$X$7&amp;" is less than  than Retesting positive result at L&amp;D"&amp;CHAR(10),""),IF(Y167&gt;Y166," * Retesting at L&amp;D For age "&amp;$X$6&amp;" "&amp;$Y$7&amp;" is less than  than Retesting positive result at L&amp;D"&amp;CHAR(10),""),IF(Z167&gt;Z166," * Retesting at L&amp;D For age "&amp;$Z$6&amp;" "&amp;$Z$7&amp;" is less than  than Retesting positive result at L&amp;D"&amp;CHAR(10),""),IF(AA167&gt;AA166," * Retesting at L&amp;D For age "&amp;$Z$6&amp;" "&amp;$AA$7&amp;" is less than  than Retesting positive result at L&amp;D"&amp;CHAR(10),""))</f>
        <v/>
      </c>
      <c r="AL166" s="826"/>
      <c r="AM166" s="113"/>
      <c r="AN166" s="820"/>
      <c r="AO166" s="283">
        <v>208</v>
      </c>
    </row>
    <row r="167" spans="1:41" ht="31.5" thickBot="1">
      <c r="A167" s="1002"/>
      <c r="B167" s="186" t="s">
        <v>394</v>
      </c>
      <c r="C167" s="19" t="s">
        <v>395</v>
      </c>
      <c r="D167" s="291"/>
      <c r="E167" s="51"/>
      <c r="F167" s="51"/>
      <c r="G167" s="51"/>
      <c r="H167" s="51"/>
      <c r="I167" s="51"/>
      <c r="J167" s="51"/>
      <c r="K167" s="350"/>
      <c r="L167" s="320"/>
      <c r="M167" s="350"/>
      <c r="N167" s="320"/>
      <c r="O167" s="350"/>
      <c r="P167" s="320"/>
      <c r="Q167" s="350"/>
      <c r="R167" s="320"/>
      <c r="S167" s="350"/>
      <c r="T167" s="320"/>
      <c r="U167" s="350"/>
      <c r="V167" s="320"/>
      <c r="W167" s="350"/>
      <c r="X167" s="320"/>
      <c r="Y167" s="350"/>
      <c r="Z167" s="320"/>
      <c r="AA167" s="69"/>
      <c r="AB167" s="240"/>
      <c r="AC167" s="241"/>
      <c r="AD167" s="241"/>
      <c r="AE167" s="241"/>
      <c r="AF167" s="241"/>
      <c r="AG167" s="241"/>
      <c r="AH167" s="241"/>
      <c r="AI167" s="268"/>
      <c r="AJ167" s="387">
        <f t="shared" si="125"/>
        <v>0</v>
      </c>
      <c r="AK167" s="274"/>
      <c r="AL167" s="826"/>
      <c r="AM167" s="113"/>
      <c r="AN167" s="820"/>
      <c r="AO167" s="283">
        <v>209</v>
      </c>
    </row>
    <row r="168" spans="1:41">
      <c r="A168" s="934" t="s">
        <v>937</v>
      </c>
      <c r="B168" s="42" t="s">
        <v>398</v>
      </c>
      <c r="C168" s="18" t="s">
        <v>399</v>
      </c>
      <c r="D168" s="145"/>
      <c r="E168" s="24"/>
      <c r="F168" s="24"/>
      <c r="G168" s="24"/>
      <c r="H168" s="24"/>
      <c r="I168" s="24"/>
      <c r="J168" s="24"/>
      <c r="K168" s="25"/>
      <c r="L168" s="24"/>
      <c r="M168" s="25"/>
      <c r="N168" s="24"/>
      <c r="O168" s="25"/>
      <c r="P168" s="24"/>
      <c r="Q168" s="25"/>
      <c r="R168" s="24"/>
      <c r="S168" s="25"/>
      <c r="T168" s="24"/>
      <c r="U168" s="25"/>
      <c r="V168" s="24"/>
      <c r="W168" s="25"/>
      <c r="X168" s="24"/>
      <c r="Y168" s="25"/>
      <c r="Z168" s="24"/>
      <c r="AA168" s="64"/>
      <c r="AB168" s="240"/>
      <c r="AC168" s="241"/>
      <c r="AD168" s="241"/>
      <c r="AE168" s="241"/>
      <c r="AF168" s="241"/>
      <c r="AG168" s="241"/>
      <c r="AH168" s="241"/>
      <c r="AI168" s="268"/>
      <c r="AJ168" s="390">
        <f t="shared" si="125"/>
        <v>0</v>
      </c>
      <c r="AK168" s="910" t="str">
        <f>CONCATENATE(IF(D169&gt;D168," * Positive at PNC &lt;=6wks for Age "&amp;D6&amp;" "&amp;D7&amp;" is more than Initial test at PNC &lt;= 6wks"&amp;CHAR(10),""),IF(E169&gt;E168," * Positive at PNC &lt;=6wks for Age "&amp;D6&amp;" "&amp;E7&amp;" is more than Initial test at PNC &lt;= 6wks"&amp;CHAR(10),""),IF(F169&gt;F168," * Positive at PNC &lt;=6wks for Age "&amp;F6&amp;" "&amp;F7&amp;" is more than Initial test at PNC &lt;= 6wks"&amp;CHAR(10),""),IF(G169&gt;G168," * Positive at PNC &lt;=6wks for Age "&amp;F6&amp;" "&amp;G7&amp;" is more than Initial test at PNC &lt;= 6wks"&amp;CHAR(10),""),IF(H169&gt;H168," * Positive at PNC &lt;=6wks for Age "&amp;H6&amp;" "&amp;H7&amp;" is more than Initial test at PNC &lt;= 6wks"&amp;CHAR(10),""),IF(I169&gt;I168," * Positive at PNC &lt;=6wks for Age "&amp;H6&amp;" "&amp;I7&amp;" is more than Initial test at PNC &lt;= 6wks"&amp;CHAR(10),""),IF(J169&gt;J168," * Positive at PNC &lt;=6wks for Age "&amp;J6&amp;" "&amp;J7&amp;" is more than Initial test at PNC &lt;= 6wks"&amp;CHAR(10),""),IF(K169&gt;K168," * Positive at PNC &lt;=6wks for Age "&amp;J6&amp;" "&amp;K7&amp;" is more than Initial test at PNC &lt;= 6wks"&amp;CHAR(10),""),IF(L169&gt;L168," * Positive at PNC &lt;=6wks for Age "&amp;L6&amp;" "&amp;L7&amp;" is more than Initial test at PNC &lt;= 6wks"&amp;CHAR(10),""),IF(M169&gt;M168," * Positive at PNC &lt;=6wks for Age "&amp;L6&amp;" "&amp;M7&amp;" is more than Initial test at PNC &lt;= 6wks"&amp;CHAR(10),""),IF(N169&gt;N168," * Positive at PNC &lt;=6wks for Age "&amp;N6&amp;" "&amp;N7&amp;" is more than Initial test at PNC &lt;= 6wks"&amp;CHAR(10),""),IF(O169&gt;O168," * Positive at PNC &lt;=6wks for Age "&amp;N6&amp;" "&amp;O7&amp;" is more than Initial test at PNC &lt;= 6wks"&amp;CHAR(10),""),IF(P169&gt;P168," * Positive at PNC &lt;=6wks for Age "&amp;P6&amp;" "&amp;P7&amp;" is more than Initial test at PNC &lt;= 6wks"&amp;CHAR(10),""),IF(Q169&gt;Q168," * Positive at PNC &lt;=6wks for Age "&amp;P6&amp;" "&amp;Q7&amp;" is more than Initial test at PNC &lt;= 6wks"&amp;CHAR(10),""),IF(R169&gt;R168," * Positive at PNC &lt;=6wks for Age "&amp;R6&amp;" "&amp;R7&amp;" is more than Initial test at PNC &lt;= 6wks"&amp;CHAR(10),""),IF(S169&gt;S168," * Positive at PNC &lt;=6wks for Age "&amp;R6&amp;" "&amp;S7&amp;" is more than Initial test at PNC &lt;= 6wks"&amp;CHAR(10),""),IF(T169&gt;T168," * Positive at PNC &lt;=6wks for Age "&amp;T6&amp;" "&amp;T7&amp;" is more than Initial test at PNC &lt;= 6wks"&amp;CHAR(10),""),IF(U169&gt;U168," * Positive at PNC &lt;=6wks for Age "&amp;T6&amp;" "&amp;U7&amp;" is more than Initial test at PNC &lt;= 6wks"&amp;CHAR(10),""),IF(V169&gt;V168," * Positive at PNC &lt;=6wks for Age "&amp;V6&amp;" "&amp;V7&amp;" is more than Initial test at PNC &lt;= 6wks"&amp;CHAR(10),""),IF(W169&gt;W168," * Positive at PNC &lt;=6wks for Age "&amp;V6&amp;" "&amp;W7&amp;" is more than Initial test at PNC &lt;= 6wks"&amp;CHAR(10),""),IF(X169&gt;X168," * Positive at PNC &lt;=6wks for Age "&amp;X6&amp;" "&amp;X7&amp;" is more than Initial test at PNC &lt;= 6wks"&amp;CHAR(10),""),IF(Y169&gt;Y168," * Positive at PNC &lt;=6wks for Age "&amp;X6&amp;" "&amp;Y7&amp;" is more than Initial test at PNC &lt;= 6wks"&amp;CHAR(10),""),IF(Z169&gt;Z168," * Positive at PNC &lt;=6wks for Age "&amp;Z6&amp;" "&amp;Z7&amp;" is more than Initial test at PNC &lt;= 6wks"&amp;CHAR(10),""),IF(AA169&gt;AA168," * Positive at PNC &lt;=6wks for Age "&amp;Z6&amp;" "&amp;AA7&amp;" is more than Initial test at PNC &lt;= 6wks"&amp;CHAR(10),""))</f>
        <v/>
      </c>
      <c r="AL168" s="826"/>
      <c r="AM168" s="113"/>
      <c r="AN168" s="820"/>
      <c r="AO168" s="283">
        <v>210</v>
      </c>
    </row>
    <row r="169" spans="1:41">
      <c r="A169" s="935"/>
      <c r="B169" s="31" t="s">
        <v>402</v>
      </c>
      <c r="C169" s="27" t="s">
        <v>403</v>
      </c>
      <c r="D169" s="316"/>
      <c r="E169" s="317"/>
      <c r="F169" s="317"/>
      <c r="G169" s="317"/>
      <c r="H169" s="317"/>
      <c r="I169" s="317"/>
      <c r="J169" s="342"/>
      <c r="K169" s="341"/>
      <c r="L169" s="342"/>
      <c r="M169" s="341"/>
      <c r="N169" s="342"/>
      <c r="O169" s="341"/>
      <c r="P169" s="342"/>
      <c r="Q169" s="341"/>
      <c r="R169" s="342"/>
      <c r="S169" s="341"/>
      <c r="T169" s="342"/>
      <c r="U169" s="341"/>
      <c r="V169" s="342"/>
      <c r="W169" s="341"/>
      <c r="X169" s="342"/>
      <c r="Y169" s="341"/>
      <c r="Z169" s="342"/>
      <c r="AA169" s="67"/>
      <c r="AB169" s="240"/>
      <c r="AC169" s="241"/>
      <c r="AD169" s="241"/>
      <c r="AE169" s="241"/>
      <c r="AF169" s="241"/>
      <c r="AG169" s="241"/>
      <c r="AH169" s="241"/>
      <c r="AI169" s="268"/>
      <c r="AJ169" s="387">
        <f t="shared" si="125"/>
        <v>0</v>
      </c>
      <c r="AK169" s="910"/>
      <c r="AL169" s="826"/>
      <c r="AM169" s="113"/>
      <c r="AN169" s="820"/>
      <c r="AO169" s="283">
        <v>211</v>
      </c>
    </row>
    <row r="170" spans="1:41">
      <c r="A170" s="935"/>
      <c r="B170" s="26" t="s">
        <v>405</v>
      </c>
      <c r="C170" s="27" t="s">
        <v>406</v>
      </c>
      <c r="D170" s="92"/>
      <c r="E170" s="29"/>
      <c r="F170" s="29"/>
      <c r="G170" s="29"/>
      <c r="H170" s="29"/>
      <c r="I170" s="29"/>
      <c r="J170" s="29"/>
      <c r="K170" s="30"/>
      <c r="L170" s="29"/>
      <c r="M170" s="30"/>
      <c r="N170" s="29"/>
      <c r="O170" s="30"/>
      <c r="P170" s="29"/>
      <c r="Q170" s="30"/>
      <c r="R170" s="29"/>
      <c r="S170" s="30"/>
      <c r="T170" s="29"/>
      <c r="U170" s="30"/>
      <c r="V170" s="29"/>
      <c r="W170" s="30"/>
      <c r="X170" s="29"/>
      <c r="Y170" s="30"/>
      <c r="Z170" s="29"/>
      <c r="AA170" s="67"/>
      <c r="AB170" s="240"/>
      <c r="AC170" s="241"/>
      <c r="AD170" s="241"/>
      <c r="AE170" s="241"/>
      <c r="AF170" s="241"/>
      <c r="AG170" s="241"/>
      <c r="AH170" s="241"/>
      <c r="AI170" s="268"/>
      <c r="AJ170" s="387">
        <f t="shared" si="125"/>
        <v>0</v>
      </c>
      <c r="AK170" s="119" t="str">
        <f>CONCATENATE(IF(D171&gt;D170," * Retesting at PNC &lt; = 6 weeks For age "&amp;$D$6&amp;" "&amp;$D$7&amp;" is less than  than Retesting positive result at PNC &lt; = 6 weeks"&amp;CHAR(10),""),IF(E171&gt;E170," * Retesting at PNC &lt; = 6 weeks For age "&amp;$D$6&amp;" "&amp;$E$7&amp;" is less than  than Retesting positive result at PNC &lt; = 6 weeks"&amp;CHAR(10),""),IF(F171&gt;F170," * Retesting at PNC &lt; = 6 weeks For age "&amp;$F$6&amp;" "&amp;$F$7&amp;" is less than  than Retesting positive result at PNC &lt; = 6 weeks"&amp;CHAR(10),""),IF(G171&gt;G170," * Retesting at PNC &lt; = 6 weeks For age "&amp;$F$6&amp;" "&amp;$G$7&amp;" is less than  than Retesting positive result at PNC &lt; = 6 weeks"&amp;CHAR(10),""),IF(H171&gt;H170," * Retesting at PNC &lt; = 6 weeks For age "&amp;$H$6&amp;" "&amp;$H$7&amp;" is less than  than Retesting positive result at PNC &lt; = 6 weeks"&amp;CHAR(10),""),IF(I171&gt;I170," * Retesting at PNC &lt; = 6 weeks For age "&amp;$H$6&amp;" "&amp;$I$7&amp;" is less than  than Retesting positive result at PNC &lt; = 6 weeks"&amp;CHAR(10),""),IF(J171&gt;J170," * Retesting at PNC &lt; = 6 weeks For age "&amp;$J$6&amp;" "&amp;$J$7&amp;" is less than  than Retesting positive result at PNC &lt; = 6 weeks"&amp;CHAR(10),""),IF(K171&gt;K170," * Retesting at PNC &lt; = 6 weeks For age "&amp;$J$6&amp;" "&amp;$K$7&amp;" is less than  than Retesting positive result at PNC &lt; = 6 weeks"&amp;CHAR(10),""),IF(L171&gt;L170," * Retesting at PNC &lt; = 6 weeks For age "&amp;$L$6&amp;" "&amp;$L$7&amp;" is less than  than Retesting positive result at PNC &lt; = 6 weeks"&amp;CHAR(10),""),IF(M171&gt;M170," * Retesting at PNC &lt; = 6 weeks For age "&amp;$L$6&amp;" "&amp;$M$7&amp;" is less than  than Retesting positive result at PNC &lt; = 6 weeks"&amp;CHAR(10),""),IF(N171&gt;N170," * Retesting at PNC &lt; = 6 weeks For age "&amp;$N$6&amp;" "&amp;$N$7&amp;" is less than  than Retesting positive result at PNC &lt; = 6 weeks"&amp;CHAR(10),""),IF(O171&gt;O170," * Retesting at PNC &lt; = 6 weeks For age "&amp;$N$6&amp;" "&amp;$O$7&amp;" is less than  than Retesting positive result at PNC &lt; = 6 weeks"&amp;CHAR(10),""),IF(P171&gt;P170," * Retesting at PNC &lt; = 6 weeks For age "&amp;$P$6&amp;" "&amp;$P$7&amp;" is less than  than Retesting positive result at PNC &lt; = 6 weeks"&amp;CHAR(10),""),IF(Q171&gt;Q170," * Retesting at PNC &lt; = 6 weeks For age "&amp;$P$6&amp;" "&amp;$Q$7&amp;" is less than  than Retesting positive result at PNC &lt; = 6 weeks"&amp;CHAR(10),""),IF(R171&gt;R170," * Retesting at PNC &lt; = 6 weeks For age "&amp;$R$6&amp;" "&amp;$R$7&amp;" is less than  than Retesting positive result at PNC &lt; = 6 weeks"&amp;CHAR(10),""),IF(S171&gt;S170," * Retesting at PNC &lt; = 6 weeks For age "&amp;$R$6&amp;" "&amp;$S$7&amp;" is less than  than Retesting positive result at PNC &lt; = 6 weeks"&amp;CHAR(10),""),IF(T171&gt;T170," * Retesting at PNC &lt; = 6 weeks For age "&amp;$T$6&amp;" "&amp;$T$7&amp;" is less than  than Retesting positive result at PNC &lt; = 6 weeks"&amp;CHAR(10),""),IF(U171&gt;U170," * Retesting at PNC &lt; = 6 weeks For age "&amp;$T$6&amp;" "&amp;$U$7&amp;" is less than  than Retesting positive result at PNC &lt; = 6 weeks"&amp;CHAR(10),""),IF(V171&gt;V170," * Retesting at PNC &lt; = 6 weeks For age "&amp;$V$6&amp;" "&amp;$V$7&amp;" is less than  than Retesting positive result at PNC &lt; = 6 weeks"&amp;CHAR(10),""),IF(W171&gt;W170," * Retesting at PNC &lt; = 6 weeks For age "&amp;$V$6&amp;" "&amp;$W$7&amp;" is less than  than Retesting positive result at PNC &lt; = 6 weeks"&amp;CHAR(10),""),IF(X171&gt;X170," * Retesting at PNC &lt; = 6 weeks For age "&amp;$X$6&amp;" "&amp;$X$7&amp;" is less than  than Retesting positive result at PNC &lt; = 6 weeks"&amp;CHAR(10),""),IF(Y171&gt;Y170," * Retesting at PNC &lt; = 6 weeks For age "&amp;$X$6&amp;" "&amp;$Y$7&amp;" is less than  than Retesting positive result at PNC &lt; = 6 weeks"&amp;CHAR(10),""),IF(Z171&gt;Z170," * Retesting at PNC &lt; = 6 weeks For age "&amp;$Z$6&amp;" "&amp;$Z$7&amp;" is less than  than Retesting positive result at PNC &lt; = 6 weeks"&amp;CHAR(10),""),IF(AA171&gt;AA170," * Retesting at PNC &lt; = 6 weeks For age "&amp;$Z$6&amp;" "&amp;$AA$7&amp;" is less than  than Retesting positive result at PNC &lt; = 6 weeks"&amp;CHAR(10),""))</f>
        <v/>
      </c>
      <c r="AL170" s="826"/>
      <c r="AM170" s="114"/>
      <c r="AN170" s="820"/>
      <c r="AO170" s="283">
        <v>212</v>
      </c>
    </row>
    <row r="171" spans="1:41" ht="31.5" thickBot="1">
      <c r="A171" s="935"/>
      <c r="B171" s="307" t="s">
        <v>408</v>
      </c>
      <c r="C171" s="187" t="s">
        <v>409</v>
      </c>
      <c r="D171" s="148"/>
      <c r="E171" s="61"/>
      <c r="F171" s="61"/>
      <c r="G171" s="61"/>
      <c r="H171" s="318"/>
      <c r="I171" s="318"/>
      <c r="J171" s="318"/>
      <c r="K171" s="343"/>
      <c r="L171" s="318"/>
      <c r="M171" s="343"/>
      <c r="N171" s="318"/>
      <c r="O171" s="343"/>
      <c r="P171" s="318"/>
      <c r="Q171" s="343"/>
      <c r="R171" s="318"/>
      <c r="S171" s="343"/>
      <c r="T171" s="318"/>
      <c r="U171" s="343"/>
      <c r="V171" s="318"/>
      <c r="W171" s="343"/>
      <c r="X171" s="318"/>
      <c r="Y171" s="343"/>
      <c r="Z171" s="318"/>
      <c r="AA171" s="196"/>
      <c r="AB171" s="240"/>
      <c r="AC171" s="241"/>
      <c r="AD171" s="241"/>
      <c r="AE171" s="241"/>
      <c r="AF171" s="241"/>
      <c r="AG171" s="241"/>
      <c r="AH171" s="241"/>
      <c r="AI171" s="268"/>
      <c r="AJ171" s="387">
        <f t="shared" si="125"/>
        <v>0</v>
      </c>
      <c r="AK171" s="274"/>
      <c r="AL171" s="826"/>
      <c r="AM171" s="113"/>
      <c r="AN171" s="820"/>
      <c r="AO171" s="283">
        <v>213</v>
      </c>
    </row>
    <row r="172" spans="1:41">
      <c r="A172" s="999"/>
      <c r="B172" s="289" t="s">
        <v>411</v>
      </c>
      <c r="C172" s="18" t="s">
        <v>412</v>
      </c>
      <c r="D172" s="145"/>
      <c r="E172" s="24"/>
      <c r="F172" s="24"/>
      <c r="G172" s="24"/>
      <c r="H172" s="24"/>
      <c r="I172" s="24"/>
      <c r="J172" s="24"/>
      <c r="K172" s="25"/>
      <c r="L172" s="24"/>
      <c r="M172" s="25"/>
      <c r="N172" s="24"/>
      <c r="O172" s="25"/>
      <c r="P172" s="24"/>
      <c r="Q172" s="25"/>
      <c r="R172" s="24"/>
      <c r="S172" s="25"/>
      <c r="T172" s="24"/>
      <c r="U172" s="25"/>
      <c r="V172" s="24"/>
      <c r="W172" s="25"/>
      <c r="X172" s="24"/>
      <c r="Y172" s="25"/>
      <c r="Z172" s="24"/>
      <c r="AA172" s="206"/>
      <c r="AB172" s="240"/>
      <c r="AC172" s="241"/>
      <c r="AD172" s="241"/>
      <c r="AE172" s="241"/>
      <c r="AF172" s="241"/>
      <c r="AG172" s="241"/>
      <c r="AH172" s="241"/>
      <c r="AI172" s="268"/>
      <c r="AJ172" s="387">
        <f t="shared" si="125"/>
        <v>0</v>
      </c>
      <c r="AK172" s="119" t="str">
        <f>CONCATENATE(IF(D173&gt;D172," * Testing at PNC &gt; 6 weeks For age "&amp;$D$6&amp;" "&amp;$D$7&amp;" is less than Positive result at PNC &gt; 6 weeks"&amp;CHAR(10),""),IF(E173&gt;E172," * Testing at PNC &gt; 6 weeks For age "&amp;$D$6&amp;" "&amp;$E$7&amp;" is less than Positive result at PNC &gt; 6 weeks"&amp;CHAR(10),""),IF(F173&gt;F172," * Testing at PNC &gt; 6 weeks For age "&amp;$F$6&amp;" "&amp;$F$7&amp;" is less than Positive result at PNC &gt; 6 weeks"&amp;CHAR(10),""),IF(G173&gt;G172," * Testing at PNC &gt; 6 weeks For age "&amp;$F$6&amp;" "&amp;$G$7&amp;" is less than Positive result at PNC &gt; 6 weeks"&amp;CHAR(10),""),IF(H173&gt;H172," * Testing at PNC &gt; 6 weeks For age "&amp;$H$6&amp;" "&amp;$H$7&amp;" is less than Positive result at PNC &gt; 6 weeks"&amp;CHAR(10),""),IF(I173&gt;I172," * Testing at PNC &gt; 6 weeks For age "&amp;$H$6&amp;" "&amp;$I$7&amp;" is less than Positive result at PNC &gt; 6 weeks"&amp;CHAR(10),""),IF(J173&gt;J172," * Testing at PNC &gt; 6 weeks For age "&amp;$J$6&amp;" "&amp;$J$7&amp;" is less than Positive result at PNC &gt; 6 weeks"&amp;CHAR(10),""),IF(K173&gt;K172," * Testing at PNC &gt; 6 weeks For age "&amp;$J$6&amp;" "&amp;$K$7&amp;" is less than Positive result at PNC &gt; 6 weeks"&amp;CHAR(10),""),IF(L173&gt;L172," * Testing at PNC &gt; 6 weeks For age "&amp;$L$6&amp;" "&amp;$L$7&amp;" is less than Positive result at PNC &gt; 6 weeks"&amp;CHAR(10),""),IF(M173&gt;M172," * Testing at PNC &gt; 6 weeks For age "&amp;$L$6&amp;" "&amp;$M$7&amp;" is less than Positive result at PNC &gt; 6 weeks"&amp;CHAR(10),""),IF(N173&gt;N172," * Testing at PNC &gt; 6 weeks For age "&amp;$N$6&amp;" "&amp;$N$7&amp;" is less than Positive result at PNC &gt; 6 weeks"&amp;CHAR(10),""),IF(O173&gt;O172," * Testing at PNC &gt; 6 weeks For age "&amp;$N$6&amp;" "&amp;$O$7&amp;" is less than Positive result at PNC &gt; 6 weeks"&amp;CHAR(10),""),IF(P173&gt;P172," * Testing at PNC &gt; 6 weeks For age "&amp;$P$6&amp;" "&amp;$P$7&amp;" is less than Positive result at PNC &gt; 6 weeks"&amp;CHAR(10),""),IF(Q173&gt;Q172," * Testing at PNC &gt; 6 weeks For age "&amp;$P$6&amp;" "&amp;$Q$7&amp;" is less than Positive result at PNC &gt; 6 weeks"&amp;CHAR(10),""),IF(R173&gt;R172," * Testing at PNC &gt; 6 weeks For age "&amp;$R$6&amp;" "&amp;$R$7&amp;" is less than Positive result at PNC &gt; 6 weeks"&amp;CHAR(10),""),IF(S173&gt;S172," * Testing at PNC &gt; 6 weeks For age "&amp;$R$6&amp;" "&amp;$S$7&amp;" is less than Positive result at PNC &gt; 6 weeks"&amp;CHAR(10),""),IF(T173&gt;T172," * Testing at PNC &gt; 6 weeks For age "&amp;$T$6&amp;" "&amp;$T$7&amp;" is less than Positive result at PNC &gt; 6 weeks"&amp;CHAR(10),""),IF(U173&gt;U172," * Testing at PNC &gt; 6 weeks For age "&amp;$T$6&amp;" "&amp;$U$7&amp;" is less than Positive result at PNC &gt; 6 weeks"&amp;CHAR(10),""),IF(V173&gt;V172," * Testing at PNC &gt; 6 weeks For age "&amp;$V$6&amp;" "&amp;$V$7&amp;" is less than Positive result at PNC &gt; 6 weeks"&amp;CHAR(10),""),IF(W173&gt;W172," * Testing at PNC &gt; 6 weeks For age "&amp;$V$6&amp;" "&amp;$W$7&amp;" is less than Positive result at PNC &gt; 6 weeks"&amp;CHAR(10),""),IF(X173&gt;X172," * Testing at PNC &gt; 6 weeks For age "&amp;$X$6&amp;" "&amp;$X$7&amp;" is less than Positive result at PNC &gt; 6 weeks"&amp;CHAR(10),""),IF(Y173&gt;Y172," * Testing at PNC &gt; 6 weeks For age "&amp;$X$6&amp;" "&amp;$Y$7&amp;" is less than Positive result at PNC &gt; 6 weeks"&amp;CHAR(10),""),IF(Z173&gt;Z172," * Testing at PNC &gt; 6 weeks For age "&amp;$Z$6&amp;" "&amp;$Z$7&amp;" is less than Positive result at PNC &gt; 6 weeks"&amp;CHAR(10),""),IF(AA173&gt;AA172," * Testing at PNC &gt; 6 weeks For age "&amp;$Z$6&amp;" "&amp;$AA$7&amp;" is less than Positive result at PNC &gt; 6 weeks"&amp;CHAR(10),""))</f>
        <v/>
      </c>
      <c r="AL172" s="826"/>
      <c r="AM172" s="113"/>
      <c r="AN172" s="820"/>
      <c r="AO172" s="283">
        <v>214</v>
      </c>
    </row>
    <row r="173" spans="1:41" ht="31.5" thickBot="1">
      <c r="A173" s="999"/>
      <c r="B173" s="319" t="s">
        <v>415</v>
      </c>
      <c r="C173" s="19" t="s">
        <v>416</v>
      </c>
      <c r="D173" s="291"/>
      <c r="E173" s="51"/>
      <c r="F173" s="51"/>
      <c r="G173" s="51"/>
      <c r="H173" s="320"/>
      <c r="I173" s="320"/>
      <c r="J173" s="320"/>
      <c r="K173" s="350"/>
      <c r="L173" s="320"/>
      <c r="M173" s="350"/>
      <c r="N173" s="320"/>
      <c r="O173" s="350"/>
      <c r="P173" s="320"/>
      <c r="Q173" s="350"/>
      <c r="R173" s="320"/>
      <c r="S173" s="350"/>
      <c r="T173" s="320"/>
      <c r="U173" s="350"/>
      <c r="V173" s="320"/>
      <c r="W173" s="350"/>
      <c r="X173" s="320"/>
      <c r="Y173" s="350"/>
      <c r="Z173" s="320"/>
      <c r="AA173" s="366"/>
      <c r="AB173" s="367"/>
      <c r="AC173" s="368"/>
      <c r="AD173" s="368"/>
      <c r="AE173" s="368"/>
      <c r="AF173" s="368"/>
      <c r="AG173" s="368"/>
      <c r="AH173" s="368"/>
      <c r="AI173" s="391"/>
      <c r="AJ173" s="389">
        <f t="shared" si="125"/>
        <v>0</v>
      </c>
      <c r="AK173" s="274"/>
      <c r="AL173" s="826"/>
      <c r="AM173" s="113"/>
      <c r="AN173" s="820"/>
      <c r="AO173" s="283">
        <v>215</v>
      </c>
    </row>
    <row r="174" spans="1:41">
      <c r="A174" s="999"/>
      <c r="B174" s="197" t="s">
        <v>418</v>
      </c>
      <c r="C174" s="27" t="s">
        <v>419</v>
      </c>
      <c r="D174" s="92"/>
      <c r="E174" s="29"/>
      <c r="F174" s="29"/>
      <c r="G174" s="29"/>
      <c r="H174" s="29"/>
      <c r="I174" s="29"/>
      <c r="J174" s="29"/>
      <c r="K174" s="30"/>
      <c r="L174" s="29"/>
      <c r="M174" s="30"/>
      <c r="N174" s="29"/>
      <c r="O174" s="30"/>
      <c r="P174" s="29"/>
      <c r="Q174" s="30"/>
      <c r="R174" s="29"/>
      <c r="S174" s="30"/>
      <c r="T174" s="29"/>
      <c r="U174" s="30"/>
      <c r="V174" s="29"/>
      <c r="W174" s="30"/>
      <c r="X174" s="29"/>
      <c r="Y174" s="30"/>
      <c r="Z174" s="29"/>
      <c r="AA174" s="91"/>
      <c r="AB174" s="240"/>
      <c r="AC174" s="241"/>
      <c r="AD174" s="241"/>
      <c r="AE174" s="241"/>
      <c r="AF174" s="241"/>
      <c r="AG174" s="241"/>
      <c r="AH174" s="241"/>
      <c r="AI174" s="268"/>
      <c r="AJ174" s="387">
        <f t="shared" si="125"/>
        <v>0</v>
      </c>
      <c r="AK174" s="119" t="str">
        <f>CONCATENATE(IF(D175&gt;D174," * Testing at PNC &gt; 6 weeks For age "&amp;$D$6&amp;" "&amp;$D$7&amp;" is less than Positive result at PNC &gt; 6 weeks"&amp;CHAR(10),""),IF(E175&gt;E174," * Testing at PNC &gt; 6 weeks For age "&amp;$D$6&amp;" "&amp;$E$7&amp;" is less than Positive result at PNC &gt; 6 weeks"&amp;CHAR(10),""),IF(F175&gt;F174," * Testing at PNC &gt; 6 weeks For age "&amp;$F$6&amp;" "&amp;$F$7&amp;" is less than Positive result at PNC &gt; 6 weeks"&amp;CHAR(10),""),IF(G175&gt;G174," * Testing at PNC &gt; 6 weeks For age "&amp;$F$6&amp;" "&amp;$G$7&amp;" is less than Positive result at PNC &gt; 6 weeks"&amp;CHAR(10),""),IF(H175&gt;H174," * Testing at PNC &gt; 6 weeks For age "&amp;$H$6&amp;" "&amp;$H$7&amp;" is less than Positive result at PNC &gt; 6 weeks"&amp;CHAR(10),""),IF(I175&gt;I174," * Testing at PNC &gt; 6 weeks For age "&amp;$H$6&amp;" "&amp;$I$7&amp;" is less than Positive result at PNC &gt; 6 weeks"&amp;CHAR(10),""),IF(J175&gt;J174," * Testing at PNC &gt; 6 weeks For age "&amp;$J$6&amp;" "&amp;$J$7&amp;" is less than Positive result at PNC &gt; 6 weeks"&amp;CHAR(10),""),IF(K175&gt;K174," * Testing at PNC &gt; 6 weeks For age "&amp;$J$6&amp;" "&amp;$K$7&amp;" is less than Positive result at PNC &gt; 6 weeks"&amp;CHAR(10),""),IF(L175&gt;L174," * Testing at PNC &gt; 6 weeks For age "&amp;$L$6&amp;" "&amp;$L$7&amp;" is less than Positive result at PNC &gt; 6 weeks"&amp;CHAR(10),""),IF(M175&gt;M174," * Testing at PNC &gt; 6 weeks For age "&amp;$L$6&amp;" "&amp;$M$7&amp;" is less than Positive result at PNC &gt; 6 weeks"&amp;CHAR(10),""),IF(N175&gt;N174," * Testing at PNC &gt; 6 weeks For age "&amp;$N$6&amp;" "&amp;$N$7&amp;" is less than Positive result at PNC &gt; 6 weeks"&amp;CHAR(10),""),IF(O175&gt;O174," * Testing at PNC &gt; 6 weeks For age "&amp;$N$6&amp;" "&amp;$O$7&amp;" is less than Positive result at PNC &gt; 6 weeks"&amp;CHAR(10),""),IF(P175&gt;P174," * Testing at PNC &gt; 6 weeks For age "&amp;$P$6&amp;" "&amp;$P$7&amp;" is less than Positive result at PNC &gt; 6 weeks"&amp;CHAR(10),""),IF(Q175&gt;Q174," * Testing at PNC &gt; 6 weeks For age "&amp;$P$6&amp;" "&amp;$Q$7&amp;" is less than Positive result at PNC &gt; 6 weeks"&amp;CHAR(10),""),IF(R175&gt;R174," * Testing at PNC &gt; 6 weeks For age "&amp;$R$6&amp;" "&amp;$R$7&amp;" is less than Positive result at PNC &gt; 6 weeks"&amp;CHAR(10),""),IF(S175&gt;S174," * Testing at PNC &gt; 6 weeks For age "&amp;$R$6&amp;" "&amp;$S$7&amp;" is less than Positive result at PNC &gt; 6 weeks"&amp;CHAR(10),""),IF(T175&gt;T174," * Testing at PNC &gt; 6 weeks For age "&amp;$T$6&amp;" "&amp;$T$7&amp;" is less than Positive result at PNC &gt; 6 weeks"&amp;CHAR(10),""),IF(U175&gt;U174," * Testing at PNC &gt; 6 weeks For age "&amp;$T$6&amp;" "&amp;$U$7&amp;" is less than Positive result at PNC &gt; 6 weeks"&amp;CHAR(10),""),IF(V175&gt;V174," * Testing at PNC &gt; 6 weeks For age "&amp;$V$6&amp;" "&amp;$V$7&amp;" is less than Positive result at PNC &gt; 6 weeks"&amp;CHAR(10),""),IF(W175&gt;W174," * Testing at PNC &gt; 6 weeks For age "&amp;$V$6&amp;" "&amp;$W$7&amp;" is less than Positive result at PNC &gt; 6 weeks"&amp;CHAR(10),""),IF(X175&gt;X174," * Testing at PNC &gt; 6 weeks For age "&amp;$X$6&amp;" "&amp;$X$7&amp;" is less than Positive result at PNC &gt; 6 weeks"&amp;CHAR(10),""),IF(Y175&gt;Y174," * Testing at PNC &gt; 6 weeks For age "&amp;$X$6&amp;" "&amp;$Y$7&amp;" is less than Positive result at PNC &gt; 6 weeks"&amp;CHAR(10),""),IF(Z175&gt;Z174," * Testing at PNC &gt; 6 weeks For age "&amp;$Z$6&amp;" "&amp;$Z$7&amp;" is less than Positive result at PNC &gt; 6 weeks"&amp;CHAR(10),""),IF(AA175&gt;AA174," * Testing at PNC &gt; 6 weeks For age "&amp;$Z$6&amp;" "&amp;$AA$7&amp;" is less than Positive result at PNC &gt; 6 weeks"&amp;CHAR(10),""))</f>
        <v/>
      </c>
      <c r="AL174" s="826"/>
      <c r="AM174" s="113"/>
      <c r="AN174" s="820"/>
      <c r="AO174" s="283">
        <v>214</v>
      </c>
    </row>
    <row r="175" spans="1:41" ht="31.5" thickBot="1">
      <c r="A175" s="1000"/>
      <c r="B175" s="321" t="s">
        <v>421</v>
      </c>
      <c r="C175" s="187" t="s">
        <v>422</v>
      </c>
      <c r="D175" s="148"/>
      <c r="E175" s="61"/>
      <c r="F175" s="61"/>
      <c r="G175" s="61"/>
      <c r="H175" s="318"/>
      <c r="I175" s="318"/>
      <c r="J175" s="318"/>
      <c r="K175" s="343"/>
      <c r="L175" s="318"/>
      <c r="M175" s="343"/>
      <c r="N175" s="318"/>
      <c r="O175" s="343"/>
      <c r="P175" s="318"/>
      <c r="Q175" s="343"/>
      <c r="R175" s="318"/>
      <c r="S175" s="343"/>
      <c r="T175" s="318"/>
      <c r="U175" s="343"/>
      <c r="V175" s="318"/>
      <c r="W175" s="343"/>
      <c r="X175" s="318"/>
      <c r="Y175" s="343"/>
      <c r="Z175" s="318"/>
      <c r="AA175" s="369"/>
      <c r="AB175" s="367"/>
      <c r="AC175" s="368"/>
      <c r="AD175" s="368"/>
      <c r="AE175" s="368"/>
      <c r="AF175" s="368"/>
      <c r="AG175" s="368"/>
      <c r="AH175" s="368"/>
      <c r="AI175" s="391"/>
      <c r="AJ175" s="389">
        <f t="shared" si="125"/>
        <v>0</v>
      </c>
      <c r="AK175" s="274"/>
      <c r="AL175" s="826"/>
      <c r="AM175" s="113"/>
      <c r="AN175" s="820"/>
      <c r="AO175" s="283">
        <v>215</v>
      </c>
    </row>
    <row r="176" spans="1:41" ht="56.25">
      <c r="A176" s="894" t="s">
        <v>938</v>
      </c>
      <c r="B176" s="322" t="s">
        <v>425</v>
      </c>
      <c r="C176" s="716" t="s">
        <v>426</v>
      </c>
      <c r="D176" s="145"/>
      <c r="E176" s="24"/>
      <c r="F176" s="24"/>
      <c r="G176" s="24"/>
      <c r="H176" s="24"/>
      <c r="I176" s="24"/>
      <c r="J176" s="64"/>
      <c r="K176" s="351">
        <f>K161+K163+K165+K167+K169+K171+K173+K175</f>
        <v>0</v>
      </c>
      <c r="L176" s="145"/>
      <c r="M176" s="351">
        <f>M161+M163+M165+M167+M169+M171+M173+M175</f>
        <v>0</v>
      </c>
      <c r="N176" s="24"/>
      <c r="O176" s="351">
        <f>O161+O163+O165+O167+O169+O171+O173+O175</f>
        <v>0</v>
      </c>
      <c r="P176" s="24"/>
      <c r="Q176" s="351">
        <f>Q161+Q163+Q165+Q167+Q169+Q171+Q173+Q175</f>
        <v>0</v>
      </c>
      <c r="R176" s="24"/>
      <c r="S176" s="351">
        <f>S161+S163+S165+S167+S169+S171+S173+S175</f>
        <v>0</v>
      </c>
      <c r="T176" s="24"/>
      <c r="U176" s="351">
        <f>U161+U163+U165+U167+U169+U171+U173+U175</f>
        <v>0</v>
      </c>
      <c r="V176" s="24"/>
      <c r="W176" s="351">
        <f>W161+W163+W165+W167+W169+W171+W173+W175</f>
        <v>0</v>
      </c>
      <c r="X176" s="24"/>
      <c r="Y176" s="351">
        <f>Y161+Y163+Y165+Y167+Y169+Y171+Y173+Y175</f>
        <v>0</v>
      </c>
      <c r="Z176" s="24"/>
      <c r="AA176" s="226">
        <f>AA161+AA163+AA165+AA167+AA169+AA171+AA173+AA175</f>
        <v>0</v>
      </c>
      <c r="AB176" s="241"/>
      <c r="AC176" s="241"/>
      <c r="AD176" s="241"/>
      <c r="AE176" s="241"/>
      <c r="AF176" s="241"/>
      <c r="AG176" s="241"/>
      <c r="AH176" s="241"/>
      <c r="AI176" s="268"/>
      <c r="AJ176" s="390">
        <f t="shared" si="125"/>
        <v>0</v>
      </c>
      <c r="AK176" s="274"/>
      <c r="AL176" s="826"/>
      <c r="AM176" s="113"/>
      <c r="AN176" s="820"/>
      <c r="AO176" s="283">
        <v>218</v>
      </c>
    </row>
    <row r="177" spans="1:41">
      <c r="A177" s="895"/>
      <c r="B177" s="47" t="s">
        <v>37</v>
      </c>
      <c r="C177" s="146" t="s">
        <v>429</v>
      </c>
      <c r="D177" s="92"/>
      <c r="E177" s="29"/>
      <c r="F177" s="29"/>
      <c r="G177" s="29"/>
      <c r="H177" s="29"/>
      <c r="I177" s="29"/>
      <c r="J177" s="67"/>
      <c r="K177" s="33"/>
      <c r="L177" s="352"/>
      <c r="M177" s="33"/>
      <c r="N177" s="346"/>
      <c r="O177" s="33"/>
      <c r="P177" s="346"/>
      <c r="Q177" s="33"/>
      <c r="R177" s="346"/>
      <c r="S177" s="33"/>
      <c r="T177" s="346"/>
      <c r="U177" s="33"/>
      <c r="V177" s="346"/>
      <c r="W177" s="33"/>
      <c r="X177" s="346"/>
      <c r="Y177" s="33"/>
      <c r="Z177" s="346"/>
      <c r="AA177" s="89">
        <f t="shared" ref="AA177:AA180" si="127">SUM(AC177,AE177,AG177,AI177)</f>
        <v>0</v>
      </c>
      <c r="AB177" s="241"/>
      <c r="AC177" s="241"/>
      <c r="AD177" s="241"/>
      <c r="AE177" s="241"/>
      <c r="AF177" s="241"/>
      <c r="AG177" s="241"/>
      <c r="AH177" s="241"/>
      <c r="AI177" s="268"/>
      <c r="AJ177" s="256">
        <f t="shared" ref="AJ177:AJ180" si="128">SUM(D177:AA177)</f>
        <v>0</v>
      </c>
      <c r="AK177" s="848"/>
      <c r="AL177" s="826"/>
      <c r="AM177" s="114"/>
      <c r="AN177" s="820"/>
      <c r="AO177" s="283">
        <v>219</v>
      </c>
    </row>
    <row r="178" spans="1:41">
      <c r="A178" s="895"/>
      <c r="B178" s="47" t="s">
        <v>41</v>
      </c>
      <c r="C178" s="146" t="s">
        <v>431</v>
      </c>
      <c r="D178" s="92"/>
      <c r="E178" s="29"/>
      <c r="F178" s="29"/>
      <c r="G178" s="29"/>
      <c r="H178" s="29"/>
      <c r="I178" s="29"/>
      <c r="J178" s="67"/>
      <c r="K178" s="33"/>
      <c r="L178" s="352"/>
      <c r="M178" s="33"/>
      <c r="N178" s="346"/>
      <c r="O178" s="33"/>
      <c r="P178" s="346"/>
      <c r="Q178" s="33"/>
      <c r="R178" s="346"/>
      <c r="S178" s="33"/>
      <c r="T178" s="346"/>
      <c r="U178" s="33"/>
      <c r="V178" s="346"/>
      <c r="W178" s="33"/>
      <c r="X178" s="346"/>
      <c r="Y178" s="33"/>
      <c r="Z178" s="346"/>
      <c r="AA178" s="89">
        <f t="shared" si="127"/>
        <v>0</v>
      </c>
      <c r="AB178" s="241"/>
      <c r="AC178" s="241"/>
      <c r="AD178" s="241"/>
      <c r="AE178" s="241"/>
      <c r="AF178" s="241"/>
      <c r="AG178" s="241"/>
      <c r="AH178" s="241"/>
      <c r="AI178" s="268"/>
      <c r="AJ178" s="111">
        <f t="shared" si="128"/>
        <v>0</v>
      </c>
      <c r="AK178" s="848"/>
      <c r="AL178" s="826"/>
      <c r="AM178" s="113" t="str">
        <f>IF(AJ178&gt;SUM(AJ171,AJ169,AJ167,AJ165,AJ163,AJ161,AJ153,AJ151)," EID Testing cannot be more than PMTCT HIV Positive Mothers (ANC 1 Other ANC, L&amp;D and PNC","")</f>
        <v/>
      </c>
      <c r="AN178" s="820"/>
      <c r="AO178" s="283">
        <v>220</v>
      </c>
    </row>
    <row r="179" spans="1:41">
      <c r="A179" s="895"/>
      <c r="B179" s="47" t="s">
        <v>44</v>
      </c>
      <c r="C179" s="146" t="s">
        <v>432</v>
      </c>
      <c r="D179" s="92"/>
      <c r="E179" s="29"/>
      <c r="F179" s="29"/>
      <c r="G179" s="29"/>
      <c r="H179" s="29"/>
      <c r="I179" s="29"/>
      <c r="J179" s="67"/>
      <c r="K179" s="33"/>
      <c r="L179" s="352"/>
      <c r="M179" s="33"/>
      <c r="N179" s="346"/>
      <c r="O179" s="33"/>
      <c r="P179" s="346"/>
      <c r="Q179" s="33"/>
      <c r="R179" s="346"/>
      <c r="S179" s="33"/>
      <c r="T179" s="346"/>
      <c r="U179" s="33"/>
      <c r="V179" s="346"/>
      <c r="W179" s="33"/>
      <c r="X179" s="346"/>
      <c r="Y179" s="33"/>
      <c r="Z179" s="346"/>
      <c r="AA179" s="89">
        <f t="shared" si="127"/>
        <v>0</v>
      </c>
      <c r="AB179" s="241"/>
      <c r="AC179" s="241"/>
      <c r="AD179" s="241"/>
      <c r="AE179" s="241"/>
      <c r="AF179" s="241"/>
      <c r="AG179" s="241"/>
      <c r="AH179" s="241"/>
      <c r="AI179" s="268"/>
      <c r="AJ179" s="111">
        <f t="shared" si="128"/>
        <v>0</v>
      </c>
      <c r="AK179" s="121"/>
      <c r="AL179" s="826"/>
      <c r="AM179" s="274"/>
      <c r="AN179" s="820"/>
      <c r="AO179" s="283">
        <v>221</v>
      </c>
    </row>
    <row r="180" spans="1:41" ht="31.5" thickBot="1">
      <c r="A180" s="896"/>
      <c r="B180" s="48" t="s">
        <v>47</v>
      </c>
      <c r="C180" s="147" t="s">
        <v>433</v>
      </c>
      <c r="D180" s="291"/>
      <c r="E180" s="51"/>
      <c r="F180" s="51"/>
      <c r="G180" s="51"/>
      <c r="H180" s="51"/>
      <c r="I180" s="51"/>
      <c r="J180" s="69"/>
      <c r="K180" s="37"/>
      <c r="L180" s="353"/>
      <c r="M180" s="37"/>
      <c r="N180" s="347"/>
      <c r="O180" s="37"/>
      <c r="P180" s="347"/>
      <c r="Q180" s="37"/>
      <c r="R180" s="347"/>
      <c r="S180" s="37"/>
      <c r="T180" s="347"/>
      <c r="U180" s="37"/>
      <c r="V180" s="347"/>
      <c r="W180" s="37"/>
      <c r="X180" s="347"/>
      <c r="Y180" s="37"/>
      <c r="Z180" s="347"/>
      <c r="AA180" s="98">
        <f t="shared" si="127"/>
        <v>0</v>
      </c>
      <c r="AB180" s="241"/>
      <c r="AC180" s="241"/>
      <c r="AD180" s="241"/>
      <c r="AE180" s="241"/>
      <c r="AF180" s="241"/>
      <c r="AG180" s="241"/>
      <c r="AH180" s="241"/>
      <c r="AI180" s="268"/>
      <c r="AJ180" s="117">
        <f t="shared" si="128"/>
        <v>0</v>
      </c>
      <c r="AK180" s="121"/>
      <c r="AL180" s="827"/>
      <c r="AM180" s="274"/>
      <c r="AN180" s="821"/>
      <c r="AO180" s="283">
        <v>222</v>
      </c>
    </row>
    <row r="181" spans="1:41" ht="31.5" thickBot="1">
      <c r="A181" s="833" t="s">
        <v>939</v>
      </c>
      <c r="B181" s="834"/>
      <c r="C181" s="834"/>
      <c r="D181" s="834"/>
      <c r="E181" s="834"/>
      <c r="F181" s="834"/>
      <c r="G181" s="834"/>
      <c r="H181" s="834"/>
      <c r="I181" s="834"/>
      <c r="J181" s="834"/>
      <c r="K181" s="834"/>
      <c r="L181" s="834"/>
      <c r="M181" s="834"/>
      <c r="N181" s="834"/>
      <c r="O181" s="834"/>
      <c r="P181" s="834"/>
      <c r="Q181" s="834"/>
      <c r="R181" s="834"/>
      <c r="S181" s="834"/>
      <c r="T181" s="834"/>
      <c r="U181" s="834"/>
      <c r="V181" s="834"/>
      <c r="W181" s="834"/>
      <c r="X181" s="834"/>
      <c r="Y181" s="834"/>
      <c r="Z181" s="834"/>
      <c r="AA181" s="834"/>
      <c r="AB181" s="843"/>
      <c r="AC181" s="843"/>
      <c r="AD181" s="843"/>
      <c r="AE181" s="843"/>
      <c r="AF181" s="843"/>
      <c r="AG181" s="843"/>
      <c r="AH181" s="843"/>
      <c r="AI181" s="843"/>
      <c r="AJ181" s="834"/>
      <c r="AK181" s="834"/>
      <c r="AL181" s="834"/>
      <c r="AM181" s="834"/>
      <c r="AN181" s="844"/>
      <c r="AO181" s="283">
        <v>227</v>
      </c>
    </row>
    <row r="182" spans="1:41">
      <c r="A182" s="323" t="s">
        <v>435</v>
      </c>
      <c r="B182" s="324"/>
      <c r="C182" s="325"/>
      <c r="D182" s="326"/>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c r="AA182" s="370"/>
      <c r="AB182" s="371"/>
      <c r="AC182" s="372"/>
      <c r="AD182" s="371"/>
      <c r="AE182" s="372"/>
      <c r="AF182" s="371"/>
      <c r="AG182" s="372"/>
      <c r="AH182" s="371"/>
      <c r="AI182" s="372"/>
      <c r="AJ182" s="326"/>
      <c r="AK182" s="327"/>
      <c r="AL182" s="325"/>
      <c r="AM182" s="392"/>
      <c r="AN182" s="325"/>
      <c r="AO182" s="283"/>
    </row>
    <row r="183" spans="1:41">
      <c r="A183" s="979" t="s">
        <v>3</v>
      </c>
      <c r="B183" s="977" t="s">
        <v>4</v>
      </c>
      <c r="C183" s="892" t="s">
        <v>5</v>
      </c>
      <c r="D183" s="846" t="s">
        <v>888</v>
      </c>
      <c r="E183" s="909"/>
      <c r="F183" s="909" t="s">
        <v>889</v>
      </c>
      <c r="G183" s="909"/>
      <c r="H183" s="909" t="s">
        <v>890</v>
      </c>
      <c r="I183" s="909"/>
      <c r="J183" s="909" t="s">
        <v>891</v>
      </c>
      <c r="K183" s="909"/>
      <c r="L183" s="909" t="s">
        <v>892</v>
      </c>
      <c r="M183" s="909"/>
      <c r="N183" s="909" t="s">
        <v>893</v>
      </c>
      <c r="O183" s="909"/>
      <c r="P183" s="909" t="s">
        <v>894</v>
      </c>
      <c r="Q183" s="909"/>
      <c r="R183" s="909" t="s">
        <v>895</v>
      </c>
      <c r="S183" s="909"/>
      <c r="T183" s="909" t="s">
        <v>896</v>
      </c>
      <c r="U183" s="909"/>
      <c r="V183" s="909" t="s">
        <v>897</v>
      </c>
      <c r="W183" s="909"/>
      <c r="X183" s="909" t="s">
        <v>898</v>
      </c>
      <c r="Y183" s="909"/>
      <c r="Z183" s="909" t="s">
        <v>899</v>
      </c>
      <c r="AA183" s="845"/>
      <c r="AB183" s="845" t="s">
        <v>900</v>
      </c>
      <c r="AC183" s="846"/>
      <c r="AD183" s="845" t="s">
        <v>901</v>
      </c>
      <c r="AE183" s="846"/>
      <c r="AF183" s="845" t="s">
        <v>902</v>
      </c>
      <c r="AG183" s="846"/>
      <c r="AH183" s="845" t="s">
        <v>903</v>
      </c>
      <c r="AI183" s="846"/>
      <c r="AJ183" s="971" t="s">
        <v>904</v>
      </c>
      <c r="AK183" s="923" t="s">
        <v>905</v>
      </c>
      <c r="AL183" s="911" t="s">
        <v>906</v>
      </c>
      <c r="AM183" s="922" t="s">
        <v>907</v>
      </c>
      <c r="AN183" s="888" t="s">
        <v>907</v>
      </c>
      <c r="AO183" s="283">
        <v>228</v>
      </c>
    </row>
    <row r="184" spans="1:41" ht="31.5" thickBot="1">
      <c r="A184" s="945"/>
      <c r="B184" s="1021"/>
      <c r="C184" s="893"/>
      <c r="D184" s="328" t="s">
        <v>908</v>
      </c>
      <c r="E184" s="82" t="s">
        <v>909</v>
      </c>
      <c r="F184" s="82" t="s">
        <v>908</v>
      </c>
      <c r="G184" s="82" t="s">
        <v>909</v>
      </c>
      <c r="H184" s="82" t="s">
        <v>908</v>
      </c>
      <c r="I184" s="82" t="s">
        <v>909</v>
      </c>
      <c r="J184" s="82" t="s">
        <v>908</v>
      </c>
      <c r="K184" s="82" t="s">
        <v>909</v>
      </c>
      <c r="L184" s="82" t="s">
        <v>908</v>
      </c>
      <c r="M184" s="82" t="s">
        <v>909</v>
      </c>
      <c r="N184" s="82" t="s">
        <v>908</v>
      </c>
      <c r="O184" s="82" t="s">
        <v>909</v>
      </c>
      <c r="P184" s="82" t="s">
        <v>908</v>
      </c>
      <c r="Q184" s="82" t="s">
        <v>909</v>
      </c>
      <c r="R184" s="82" t="s">
        <v>908</v>
      </c>
      <c r="S184" s="82" t="s">
        <v>909</v>
      </c>
      <c r="T184" s="82" t="s">
        <v>908</v>
      </c>
      <c r="U184" s="82" t="s">
        <v>909</v>
      </c>
      <c r="V184" s="82" t="s">
        <v>908</v>
      </c>
      <c r="W184" s="82" t="s">
        <v>909</v>
      </c>
      <c r="X184" s="82" t="s">
        <v>908</v>
      </c>
      <c r="Y184" s="82" t="s">
        <v>909</v>
      </c>
      <c r="Z184" s="82" t="s">
        <v>908</v>
      </c>
      <c r="AA184" s="373" t="s">
        <v>909</v>
      </c>
      <c r="AB184" s="82" t="s">
        <v>908</v>
      </c>
      <c r="AC184" s="82" t="s">
        <v>909</v>
      </c>
      <c r="AD184" s="82" t="s">
        <v>908</v>
      </c>
      <c r="AE184" s="82" t="s">
        <v>909</v>
      </c>
      <c r="AF184" s="82" t="s">
        <v>908</v>
      </c>
      <c r="AG184" s="82" t="s">
        <v>909</v>
      </c>
      <c r="AH184" s="82" t="s">
        <v>908</v>
      </c>
      <c r="AI184" s="393" t="s">
        <v>909</v>
      </c>
      <c r="AJ184" s="973"/>
      <c r="AK184" s="924"/>
      <c r="AL184" s="912"/>
      <c r="AM184" s="922"/>
      <c r="AN184" s="889"/>
      <c r="AO184" s="283">
        <v>229</v>
      </c>
    </row>
    <row r="185" spans="1:41">
      <c r="A185" s="1007" t="s">
        <v>436</v>
      </c>
      <c r="B185" s="289" t="s">
        <v>437</v>
      </c>
      <c r="C185" s="18" t="s">
        <v>438</v>
      </c>
      <c r="D185" s="329"/>
      <c r="E185" s="170"/>
      <c r="F185" s="170"/>
      <c r="G185" s="170"/>
      <c r="H185" s="170"/>
      <c r="I185" s="170"/>
      <c r="J185" s="354"/>
      <c r="K185" s="222"/>
      <c r="L185" s="170"/>
      <c r="M185" s="153"/>
      <c r="N185" s="170"/>
      <c r="O185" s="153"/>
      <c r="P185" s="170"/>
      <c r="Q185" s="153"/>
      <c r="R185" s="170"/>
      <c r="S185" s="153"/>
      <c r="T185" s="170"/>
      <c r="U185" s="153"/>
      <c r="V185" s="170"/>
      <c r="W185" s="153"/>
      <c r="X185" s="170"/>
      <c r="Y185" s="153"/>
      <c r="Z185" s="170"/>
      <c r="AA185" s="226">
        <f>SUM(AC185,AE185,AG185,AI185)</f>
        <v>0</v>
      </c>
      <c r="AB185" s="374"/>
      <c r="AC185" s="375"/>
      <c r="AD185" s="153"/>
      <c r="AE185" s="375"/>
      <c r="AF185" s="153"/>
      <c r="AG185" s="375"/>
      <c r="AH185" s="219"/>
      <c r="AI185" s="788"/>
      <c r="AJ185" s="255">
        <f>SUM(D185:AA185)</f>
        <v>0</v>
      </c>
      <c r="AK185" s="385" t="str">
        <f>CONCATENATE(IF(D186&gt;SUM(D224)," * Start HAART at ANC 1 for Age "&amp;D6&amp;" "&amp;D7&amp;" is more than Starting ART"&amp;CHAR(10),""),IF(E186&gt;SUM(E224)," * Start HAART at ANC 1  for Age "&amp;D6&amp;" "&amp;E7&amp;" is more than Starting ART"&amp;CHAR(10),""),IF(F186&gt;SUM(F224)," * Start HAART at ANC 1  for Age "&amp;F6&amp;" "&amp;F7&amp;" is more than Starting ART"&amp;CHAR(10),""),IF(G186&gt;SUM(G224)," * Start HAART at ANC 1  for Age "&amp;F6&amp;" "&amp;G7&amp;" is more than Starting ART"&amp;CHAR(10),""),IF(H186&gt;SUM(H224)," * Start HAART at ANC 1  for Age "&amp;H6&amp;" "&amp;H7&amp;" is more than Starting ART"&amp;CHAR(10),""),IF(I186&gt;SUM(I224)," * Start HAART at ANC 1  for Age "&amp;H6&amp;" "&amp;I7&amp;" is more than Starting ART"&amp;CHAR(10),""),IF(J186&gt;SUM(J224)," * Start HAART at ANC 1  for Age "&amp;J6&amp;" "&amp;J7&amp;" is more than Starting ART"&amp;CHAR(10),""),IF(K186&gt;SUM(K224)," * Start HAART at ANC 1  for Age "&amp;J6&amp;" "&amp;K7&amp;" is more than Starting ART"&amp;CHAR(10),""),IF(L186&gt;SUM(L224)," * Start HAART at ANC 1  for Age "&amp;L6&amp;" "&amp;L7&amp;" is more than Starting ART"&amp;CHAR(10),""),IF(M186&gt;SUM(M224)," * Start HAART at ANC 1  for Age "&amp;L6&amp;" "&amp;M7&amp;" is more than Starting ART"&amp;CHAR(10),""),IF(N186&gt;SUM(N224)," * Start HAART at ANC 1  for Age "&amp;N6&amp;" "&amp;N7&amp;" is more than Starting ART"&amp;CHAR(10),""),IF(O186&gt;SUM(O224)," * Start HAART at ANC 1  for Age "&amp;N6&amp;" "&amp;O7&amp;" is more than Starting ART"&amp;CHAR(10),""),IF(P186&gt;SUM(P224)," * Start HAART at ANC 1  for Age "&amp;P6&amp;" "&amp;P7&amp;" is more than Starting ART"&amp;CHAR(10),""),IF(Q186&gt;SUM(Q224)," * Start HAART at ANC 1  for Age "&amp;P6&amp;" "&amp;Q7&amp;" is more than Starting ART"&amp;CHAR(10),""),IF(R186&gt;SUM(R224)," * Start HAART at ANC 1  for Age "&amp;R6&amp;" "&amp;R7&amp;" is more than Starting ART"&amp;CHAR(10),""),IF(S186&gt;SUM(S224)," * Start HAART at ANC 1  for Age "&amp;R6&amp;" "&amp;S7&amp;" is more than Starting ART"&amp;CHAR(10),""),IF(T186&gt;SUM(T224)," * Start HAART at ANC 1  for Age "&amp;T6&amp;" "&amp;T7&amp;" is more than Starting ART"&amp;CHAR(10),""),IF(U186&gt;SUM(U224)," * Start HAART at ANC 1  for Age "&amp;T6&amp;" "&amp;U7&amp;" is more than Starting ART"&amp;CHAR(10),""),IF(V186&gt;SUM(V224)," * Start HAART at ANC 1  for Age "&amp;V6&amp;" "&amp;V7&amp;" is more than Starting ART"&amp;CHAR(10),""),IF(W186&gt;SUM(W224)," * Start HAART at ANC 1  for Age "&amp;V6&amp;" "&amp;W7&amp;" is more than Starting ART"&amp;CHAR(10),""),IF(X186&gt;SUM(X224)," * Start HAART at ANC 1  for Age "&amp;X6&amp;" "&amp;X7&amp;" is more than Starting ART"&amp;CHAR(10),""),IF(Y186&gt;SUM(Y224)," * Start HAART at ANC 1  for Age "&amp;X6&amp;" "&amp;Y7&amp;" is more than Starting ART"&amp;CHAR(10),""),IF(Z186&gt;SUM(Z224)," * Start HAART at ANC 1  for Age "&amp;Z6&amp;" "&amp;Z7&amp;" is more than Starting ART"&amp;CHAR(10),""),IF(AA186&gt;SUM(AA224)," * Start HAART at ANC 1  for Age "&amp;Z6&amp;" "&amp;AA7&amp;" is more than Starting ART"&amp;CHAR(10),""))</f>
        <v/>
      </c>
      <c r="AL185" s="825" t="str">
        <f>CONCATENATE(AK185,AK186,AK190,AK192,AK197,AK199,AK200,AK191,AK193,AK194,AK188,AK187,AK189,AK195,AK201,AK198)</f>
        <v/>
      </c>
      <c r="AM185" s="110" t="str">
        <f>CONCATENATE(IF(D185&lt;D151," * ON HAART at 1st ANC for Age "&amp;D6&amp;" "&amp;D7&amp;" is less than KP at 1st ANC "&amp;CHAR(10),""),IF(E185&lt;E151," * ON HAART at 1st ANC for Age "&amp;D6&amp;" "&amp;E7&amp;" is less than KP at 1st ANC "&amp;CHAR(10),""),IF(F185&lt;F151," * ON HAART at 1st ANC for Age "&amp;F6&amp;" "&amp;F7&amp;" is less than KP at 1st ANC "&amp;CHAR(10),""),IF(G185&lt;G151," * ON HAART at 1st ANC for Age "&amp;F6&amp;" "&amp;G7&amp;" is less than KP at 1st ANC "&amp;CHAR(10),""),IF(H185&lt;H151," * ON HAART at 1st ANC for Age "&amp;H6&amp;" "&amp;H7&amp;" is less than KP at 1st ANC "&amp;CHAR(10),""),IF(I185&lt;I151," * ON HAART at 1st ANC for Age "&amp;H6&amp;" "&amp;I7&amp;" is less than KP at 1st ANC "&amp;CHAR(10),""),IF(J185&lt;J151," * ON HAART at 1st ANC for Age "&amp;J6&amp;" "&amp;J7&amp;" is less than KP at 1st ANC "&amp;CHAR(10),""),IF(K185&lt;K151," * ON HAART at 1st ANC for Age "&amp;J6&amp;" "&amp;K7&amp;" is less than KP at 1st ANC "&amp;CHAR(10),""),IF(L185&lt;L151," * ON HAART at 1st ANC for Age "&amp;L6&amp;" "&amp;L7&amp;" is less than KP at 1st ANC "&amp;CHAR(10),""),IF(M185&lt;M151," * ON HAART at 1st ANC for Age "&amp;L6&amp;" "&amp;M7&amp;" is less than KP at 1st ANC "&amp;CHAR(10),""),IF(N185&lt;N151," * ON HAART at 1st ANC for Age "&amp;N6&amp;" "&amp;N7&amp;" is less than KP at 1st ANC "&amp;CHAR(10),""),IF(O185&lt;O151," * ON HAART at 1st ANC for Age "&amp;N6&amp;" "&amp;O7&amp;" is less than KP at 1st ANC "&amp;CHAR(10),""),IF(P185&lt;P151," * ON HAART at 1st ANC for Age "&amp;P6&amp;" "&amp;P7&amp;" is less than KP at 1st ANC "&amp;CHAR(10),""),IF(Q185&lt;Q151," * ON HAART at 1st ANC for Age "&amp;P6&amp;" "&amp;Q7&amp;" is less than KP at 1st ANC "&amp;CHAR(10),""),IF(R185&lt;R151," * ON HAART at 1st ANC for Age "&amp;R6&amp;" "&amp;R7&amp;" is less than KP at 1st ANC "&amp;CHAR(10),""),IF(S185&lt;S151," * ON HAART at 1st ANC for Age "&amp;R6&amp;" "&amp;S7&amp;" is less than KP at 1st ANC "&amp;CHAR(10),""),IF(T185&lt;T151," * ON HAART at 1st ANC for Age "&amp;T6&amp;" "&amp;T7&amp;" is less than KP at 1st ANC "&amp;CHAR(10),""),IF(U185&lt;U151," * ON HAART at 1st ANC for Age "&amp;T6&amp;" "&amp;U7&amp;" is less than KP at 1st ANC "&amp;CHAR(10),""),IF(V185&lt;V151," * ON HAART at 1st ANC for Age "&amp;V6&amp;" "&amp;V7&amp;" is less than KP at 1st ANC "&amp;CHAR(10),""),IF(W185&lt;W151," * ON HAART at 1st ANC for Age "&amp;V6&amp;" "&amp;W7&amp;" is less than KP at 1st ANC "&amp;CHAR(10),""),IF(X185&lt;X151," * ON HAART at 1st ANC for Age "&amp;X6&amp;" "&amp;X7&amp;" is less than KP at 1st ANC "&amp;CHAR(10),""),IF(Y185&lt;Y151," * ON HAART at 1st ANC for Age "&amp;X6&amp;" "&amp;Y7&amp;" is less than KP at 1st ANC "&amp;CHAR(10),""),IF(Z185&lt;Z151," * ON HAART at 1st ANC for Age "&amp;Z6&amp;" "&amp;Z7&amp;" is less than KP at 1st ANC "&amp;CHAR(10),""),IF(AA185&lt;AA151," * ON HAART at 1st ANC for Age "&amp;Z6&amp;" "&amp;AA7&amp;" is less than KP at 1st ANC "&amp;CHAR(10),""))</f>
        <v/>
      </c>
      <c r="AN185" s="819" t="str">
        <f>CONCATENATE(AM185,AM186,AM190,AM192,AM197,AM199,AM200,AM187,AM188,AM189,AM193,AM194,AM191,AM195)</f>
        <v/>
      </c>
      <c r="AO185" s="283">
        <v>230</v>
      </c>
    </row>
    <row r="186" spans="1:41">
      <c r="A186" s="1008"/>
      <c r="B186" s="330" t="s">
        <v>441</v>
      </c>
      <c r="C186" s="27" t="s">
        <v>442</v>
      </c>
      <c r="D186" s="331"/>
      <c r="E186" s="332"/>
      <c r="F186" s="332"/>
      <c r="G186" s="332"/>
      <c r="H186" s="332"/>
      <c r="I186" s="332"/>
      <c r="J186" s="355"/>
      <c r="K186" s="230"/>
      <c r="L186" s="332"/>
      <c r="M186" s="157"/>
      <c r="N186" s="332"/>
      <c r="O186" s="157"/>
      <c r="P186" s="332"/>
      <c r="Q186" s="157"/>
      <c r="R186" s="332"/>
      <c r="S186" s="157"/>
      <c r="T186" s="332"/>
      <c r="U186" s="157"/>
      <c r="V186" s="332"/>
      <c r="W186" s="157"/>
      <c r="X186" s="332"/>
      <c r="Y186" s="157"/>
      <c r="Z186" s="332"/>
      <c r="AA186" s="229">
        <f t="shared" ref="AA186:AA195" si="129">SUM(AC186,AE186,AG186,AI186)</f>
        <v>0</v>
      </c>
      <c r="AB186" s="376"/>
      <c r="AC186" s="377"/>
      <c r="AD186" s="157"/>
      <c r="AE186" s="377"/>
      <c r="AF186" s="157"/>
      <c r="AG186" s="377"/>
      <c r="AH186" s="227"/>
      <c r="AI186" s="773"/>
      <c r="AJ186" s="256">
        <f t="shared" ref="AJ186:AJ201" si="130">SUM(D186:AA186)</f>
        <v>0</v>
      </c>
      <c r="AK186" s="274" t="str">
        <f>CONCATENATE(IF(D186&gt;SUM(D153)," * Start HAART at ANC 1 for Age "&amp;D6&amp;" "&amp;D7&amp;" is more than Positive Test at ANC 1"&amp;CHAR(10),""),IF(E186&gt;SUM(E153)," * Start HAART at ANC 1  for Age "&amp;D6&amp;" "&amp;E7&amp;" is more than Positive Test at ANC 1"&amp;CHAR(10),""),IF(F186&gt;SUM(F153)," * Start HAART at ANC 1  for Age "&amp;F6&amp;" "&amp;F7&amp;" is more than Positive Test at ANC 1"&amp;CHAR(10),""),IF(G186&gt;SUM(G153)," * Start HAART at ANC 1  for Age "&amp;F6&amp;" "&amp;G7&amp;" is more than Positive Test at ANC 1"&amp;CHAR(10),""),IF(H186&gt;SUM(H153)," * Start HAART at ANC 1  for Age "&amp;H6&amp;" "&amp;H7&amp;" is more than Positive Test at ANC 1"&amp;CHAR(10),""),IF(I186&gt;SUM(I153)," * Start HAART at ANC 1  for Age "&amp;H6&amp;" "&amp;I7&amp;" is more than Positive Test at ANC 1"&amp;CHAR(10),""),IF(J186&gt;SUM(J153)," * Start HAART at ANC 1  for Age "&amp;J6&amp;" "&amp;J7&amp;" is more than Positive Test at ANC 1"&amp;CHAR(10),""),IF(K186&gt;SUM(K153)," * Start HAART at ANC 1  for Age "&amp;J6&amp;" "&amp;K7&amp;" is more than Positive Test at ANC 1"&amp;CHAR(10),""),IF(L186&gt;SUM(L153)," * Start HAART at ANC 1  for Age "&amp;L6&amp;" "&amp;L7&amp;" is more than Positive Test at ANC 1"&amp;CHAR(10),""),IF(M186&gt;SUM(M153)," * Start HAART at ANC 1  for Age "&amp;L6&amp;" "&amp;M7&amp;" is more than Positive Test at ANC 1"&amp;CHAR(10),""),IF(N186&gt;SUM(N153)," * Start HAART at ANC 1  for Age "&amp;N6&amp;" "&amp;N7&amp;" is more than Positive Test at ANC 1"&amp;CHAR(10),""),IF(O186&gt;SUM(O153)," * Start HAART at ANC 1  for Age "&amp;N6&amp;" "&amp;O7&amp;" is more than Positive Test at ANC 1"&amp;CHAR(10),""),IF(P186&gt;SUM(P153)," * Start HAART at ANC 1  for Age "&amp;P6&amp;" "&amp;P7&amp;" is more than Positive Test at ANC 1"&amp;CHAR(10),""),IF(Q186&gt;SUM(Q153)," * Start HAART at ANC 1  for Age "&amp;P6&amp;" "&amp;Q7&amp;" is more than Positive Test at ANC 1"&amp;CHAR(10),""),IF(R186&gt;SUM(R153)," * Start HAART at ANC 1  for Age "&amp;R6&amp;" "&amp;R7&amp;" is more than Positive Test at ANC 1"&amp;CHAR(10),""),IF(S186&gt;SUM(S153)," * Start HAART at ANC 1  for Age "&amp;R6&amp;" "&amp;S7&amp;" is more than Positive Test at ANC 1"&amp;CHAR(10),""),IF(T186&gt;SUM(T153)," * Start HAART at ANC 1  for Age "&amp;T6&amp;" "&amp;T7&amp;" is more than Positive Test at ANC 1"&amp;CHAR(10),""),IF(U186&gt;SUM(U153)," * Start HAART at ANC 1  for Age "&amp;T6&amp;" "&amp;U7&amp;" is more than Positive Test at ANC 1"&amp;CHAR(10),""),IF(V186&gt;SUM(V153)," * Start HAART at ANC 1  for Age "&amp;V6&amp;" "&amp;V7&amp;" is more than Positive Test at ANC 1"&amp;CHAR(10),""),IF(W186&gt;SUM(W153)," * Start HAART at ANC 1  for Age "&amp;V6&amp;" "&amp;W7&amp;" is more than Positive Test at ANC 1"&amp;CHAR(10),""),IF(X186&gt;SUM(X153)," * Start HAART at ANC 1  for Age "&amp;X6&amp;" "&amp;X7&amp;" is more than Positive Test at ANC 1"&amp;CHAR(10),""),IF(Y186&gt;SUM(Y153)," * Start HAART at ANC 1  for Age "&amp;X6&amp;" "&amp;Y7&amp;" is more than Positive Test at ANC 1"&amp;CHAR(10),""),IF(Z186&gt;SUM(Z153)," * Start HAART at ANC 1  for Age "&amp;Z6&amp;" "&amp;Z7&amp;" is more than Positive Test at ANC 1"&amp;CHAR(10),""),IF(AA186&gt;SUM(AA153)," * Start HAART at ANC 1  for Age "&amp;Z6&amp;" "&amp;AA7&amp;" is more than Positive Test at ANC 1"&amp;CHAR(10),""),IF(AJ186&gt;SUM(AJ153)," * Total Start HAART at ANC 1  is more than Positive Test at ANC 1"&amp;CHAR(10),""))</f>
        <v/>
      </c>
      <c r="AL186" s="826"/>
      <c r="AM186" s="113" t="str">
        <f>CONCATENATE(IF(D186&lt;SUM(D153)," * New positive at ANC1 for Age "&amp;D6&amp;" "&amp;D7&amp;" is greater than Start HAART ANC1"&amp;CHAR(10),""),IF(E186&lt;SUM(E153)," * New positive at ANC1 for Age "&amp;D6&amp;" "&amp;E7&amp;" is greater than Start HAART ANC1"&amp;CHAR(10),""),IF(F186&lt;SUM(F153)," * New positive at ANC1 for Age "&amp;F6&amp;" "&amp;F7&amp;" is greater than Start HAART ANC1"&amp;CHAR(10),""),IF(G186&lt;SUM(G153)," * New positive at ANC1 for Age "&amp;F6&amp;" "&amp;G7&amp;" is greater than Start HAART ANC1"&amp;CHAR(10),""),IF(H186&lt;SUM(H153)," * New positive at ANC1 for Age "&amp;H6&amp;" "&amp;H7&amp;" is greater than Start HAART ANC1"&amp;CHAR(10),""),IF(I186&lt;SUM(I153)," * New positive at ANC1 for Age "&amp;H6&amp;" "&amp;I7&amp;" is greater than Start HAART ANC1"&amp;CHAR(10),""),IF(J186&lt;SUM(J153)," * New positive at ANC1 for Age "&amp;J6&amp;" "&amp;J7&amp;" is greater than Start HAART ANC1"&amp;CHAR(10),""),IF(K186&lt;SUM(K153)," * New positive at ANC1 for Age "&amp;J6&amp;" "&amp;K7&amp;" is greater than Start HAART ANC1"&amp;CHAR(10),""),IF(L186&lt;SUM(L153)," * New positive at ANC1 for Age "&amp;L6&amp;" "&amp;L7&amp;" is greater than Start HAART ANC1"&amp;CHAR(10),""),IF(M186&lt;SUM(M153)," * New positive at ANC1 for Age "&amp;L6&amp;" "&amp;M7&amp;" is greater than Start HAART ANC1"&amp;CHAR(10),""),IF(N186&lt;SUM(N153)," * New positive at ANC1 for Age "&amp;N6&amp;" "&amp;N7&amp;" is greater than Start HAART ANC1"&amp;CHAR(10),""),IF(O186&lt;SUM(O153)," * New positive at ANC1 for Age "&amp;N6&amp;" "&amp;O7&amp;" is greater than Start HAART ANC1"&amp;CHAR(10),""),IF(P186&lt;SUM(P153)," * New positive at ANC1 for Age "&amp;P6&amp;" "&amp;P7&amp;" is greater than Start HAART ANC1"&amp;CHAR(10),""),IF(Q186&lt;SUM(Q153)," * New positive at ANC1 for Age "&amp;P6&amp;" "&amp;Q7&amp;" is greater than Start HAART ANC1"&amp;CHAR(10),""),IF(R186&lt;SUM(R153)," * New positive at ANC1 for Age "&amp;R6&amp;" "&amp;R7&amp;" is greater than Start HAART ANC1"&amp;CHAR(10),""),IF(S186&lt;SUM(S153)," * New positive at ANC1 for Age "&amp;R6&amp;" "&amp;S7&amp;" is greater than Start HAART ANC1"&amp;CHAR(10),""),IF(T186&lt;SUM(T153)," * New positive at ANC1 for Age "&amp;T6&amp;" "&amp;T7&amp;" is greater than Start HAART ANC1"&amp;CHAR(10),""),IF(U186&lt;SUM(U153)," * New positive at ANC1 for Age "&amp;T6&amp;" "&amp;U7&amp;" is greater than Start HAART ANC1"&amp;CHAR(10),""),IF(V186&lt;SUM(V153)," * New positive at ANC1 for Age "&amp;V6&amp;" "&amp;V7&amp;" is greater than Start HAART ANC1"&amp;CHAR(10),""),IF(W186&lt;SUM(W153)," * New positive at ANC1 for Age "&amp;V6&amp;" "&amp;W7&amp;" is greater than Start HAART ANC1"&amp;CHAR(10),""),IF(X186&lt;SUM(X153)," * New positive at ANC1 for Age "&amp;X6&amp;" "&amp;X7&amp;" is greater than Start HAART ANC1"&amp;CHAR(10),""),IF(Y186&lt;SUM(Y153)," * New positive at ANC1 for Age "&amp;X6&amp;" "&amp;Y7&amp;" is greater than Start HAART ANC1"&amp;CHAR(10),""),IF(Z186&lt;SUM(Z153)," * New positive at ANC1 for Age "&amp;Z6&amp;" "&amp;Z7&amp;" is greater than Start HAART ANC1"&amp;CHAR(10),""),IF(AA186&lt;SUM(AA153)," * New positive at ANC1 for Age "&amp;Z6&amp;" "&amp;AA7&amp;" is greater than Start HAART ANC1"&amp;CHAR(10),""))</f>
        <v/>
      </c>
      <c r="AN186" s="820"/>
      <c r="AO186" s="283">
        <v>231</v>
      </c>
    </row>
    <row r="187" spans="1:41" ht="31.5" thickBot="1">
      <c r="A187" s="1009"/>
      <c r="B187" s="333" t="s">
        <v>444</v>
      </c>
      <c r="C187" s="19" t="s">
        <v>445</v>
      </c>
      <c r="D187" s="334"/>
      <c r="E187" s="172"/>
      <c r="F187" s="172"/>
      <c r="G187" s="172"/>
      <c r="H187" s="172"/>
      <c r="I187" s="172"/>
      <c r="J187" s="356"/>
      <c r="K187" s="357">
        <f>SUM(K185:K186)</f>
        <v>0</v>
      </c>
      <c r="L187" s="172"/>
      <c r="M187" s="358">
        <f>SUM(M185:M186)</f>
        <v>0</v>
      </c>
      <c r="N187" s="172"/>
      <c r="O187" s="358">
        <f>SUM(O185:O186)</f>
        <v>0</v>
      </c>
      <c r="P187" s="172"/>
      <c r="Q187" s="358">
        <f>SUM(Q185:Q186)</f>
        <v>0</v>
      </c>
      <c r="R187" s="172"/>
      <c r="S187" s="358">
        <f>SUM(S185:S186)</f>
        <v>0</v>
      </c>
      <c r="T187" s="172"/>
      <c r="U187" s="358">
        <f>SUM(U185:U186)</f>
        <v>0</v>
      </c>
      <c r="V187" s="172"/>
      <c r="W187" s="358">
        <f>SUM(W185:W186)</f>
        <v>0</v>
      </c>
      <c r="X187" s="172"/>
      <c r="Y187" s="358">
        <f>SUM(Y185:Y186)</f>
        <v>0</v>
      </c>
      <c r="Z187" s="172"/>
      <c r="AA187" s="378">
        <f t="shared" si="129"/>
        <v>0</v>
      </c>
      <c r="AB187" s="379">
        <f>SUM(AB185:AB186)</f>
        <v>0</v>
      </c>
      <c r="AC187" s="172"/>
      <c r="AD187" s="358">
        <f>SUM(AD185:AD186)</f>
        <v>0</v>
      </c>
      <c r="AE187" s="172"/>
      <c r="AF187" s="358">
        <f>SUM(AF185:AF186)</f>
        <v>0</v>
      </c>
      <c r="AG187" s="172"/>
      <c r="AH187" s="394">
        <f>SUM(AH185:AH186)</f>
        <v>0</v>
      </c>
      <c r="AI187" s="789"/>
      <c r="AJ187" s="256">
        <f t="shared" si="130"/>
        <v>0</v>
      </c>
      <c r="AK187" s="274"/>
      <c r="AL187" s="826"/>
      <c r="AM187" s="113"/>
      <c r="AN187" s="820"/>
      <c r="AO187" s="283">
        <v>232</v>
      </c>
    </row>
    <row r="188" spans="1:41" ht="26.25" customHeight="1">
      <c r="A188" s="946" t="s">
        <v>940</v>
      </c>
      <c r="B188" s="289" t="s">
        <v>448</v>
      </c>
      <c r="C188" s="18" t="s">
        <v>449</v>
      </c>
      <c r="D188" s="329"/>
      <c r="E188" s="170"/>
      <c r="F188" s="170"/>
      <c r="G188" s="170"/>
      <c r="H188" s="170"/>
      <c r="I188" s="170"/>
      <c r="J188" s="354"/>
      <c r="K188" s="222"/>
      <c r="L188" s="170"/>
      <c r="M188" s="153"/>
      <c r="N188" s="170"/>
      <c r="O188" s="153"/>
      <c r="P188" s="170"/>
      <c r="Q188" s="153"/>
      <c r="R188" s="170"/>
      <c r="S188" s="153"/>
      <c r="T188" s="170"/>
      <c r="U188" s="153"/>
      <c r="V188" s="170"/>
      <c r="W188" s="153"/>
      <c r="X188" s="170"/>
      <c r="Y188" s="153"/>
      <c r="Z188" s="170"/>
      <c r="AA188" s="226">
        <f t="shared" si="129"/>
        <v>0</v>
      </c>
      <c r="AB188" s="374"/>
      <c r="AC188" s="375"/>
      <c r="AD188" s="153"/>
      <c r="AE188" s="375"/>
      <c r="AF188" s="153"/>
      <c r="AG188" s="375"/>
      <c r="AH188" s="219"/>
      <c r="AI188" s="790"/>
      <c r="AJ188" s="256">
        <f t="shared" si="130"/>
        <v>0</v>
      </c>
      <c r="AK188" s="274"/>
      <c r="AL188" s="826"/>
      <c r="AM188" s="114" t="str">
        <f>CONCATENATE(IF(D189&lt;&gt;SUM(D163)," * Retest Positive Result at ANC 2 and above for Age "&amp;D6&amp;" "&amp;D7&amp;" is not equal to Initial start HAART at ANC2 and above"&amp;CHAR(10),""),IF(E189&lt;&gt;SUM(E163)," * Retest Positive Result at ANC 2 and above for Age "&amp;D6&amp;" "&amp;E7&amp;" is not equal to Initial start HAART at ANC2 and above"&amp;CHAR(10),""),IF(F189&lt;&gt;SUM(F163)," * Retest Positive Result at ANC 2 and above for Age "&amp;F6&amp;" "&amp;F7&amp;" is not equal to Initial start HAART at ANC2 and above"&amp;CHAR(10),""),IF(G189&lt;&gt;SUM(G163)," * Retest Positive Result at ANC 2 and above for Age "&amp;F6&amp;" "&amp;G7&amp;" is not equal to Initial start HAART at ANC2 and above"&amp;CHAR(10),""),IF(H189&lt;&gt;SUM(H163)," * Retest Positive Result at ANC 2 and above for Age "&amp;H6&amp;" "&amp;H7&amp;" is not equal to Initial start HAART at ANC2 and above"&amp;CHAR(10),""),IF(I189&lt;&gt;SUM(I163)," * Retest Positive Result at ANC 2 and above for Age "&amp;H6&amp;" "&amp;I7&amp;" is not equal to Initial start HAART at ANC2 and above"&amp;CHAR(10),""),IF(J189&lt;&gt;SUM(J163)," * Retest Positive Result at ANC 2 and above for Age "&amp;J6&amp;" "&amp;J7&amp;" is not equal to Initial start HAART at ANC2 and above"&amp;CHAR(10),""),IF(K189&lt;&gt;K163," * Retest Positive Result at ANC 2 and above for Age "&amp;J6&amp;" "&amp;K7&amp;" is not equal to Initial start HAART at ANC2 and above"&amp;CHAR(10),""),IF(L189&lt;&gt;SUM(L163)," * Retest Positive Result at ANC 2 and above for Age "&amp;L6&amp;" "&amp;L7&amp;" is not equal to Initial start HAART at ANC2 and above"&amp;CHAR(10),""),IF(M189&lt;&gt;SUM(M163)," * Retest Positive Result at ANC 2 and above for Age "&amp;L6&amp;" "&amp;M7&amp;" is not equal to Initial start HAART at ANC2 and above"&amp;CHAR(10),""),IF(N189&lt;&gt;SUM(N163)," * Retest Positive Result at ANC 2 and above for Age "&amp;N6&amp;" "&amp;N7&amp;" is not equal to Initial start HAART at ANC2 and above"&amp;CHAR(10),""),IF(O189&lt;&gt;SUM(O163)," * Retest Positive Result at ANC 2 and above for Age "&amp;N6&amp;" "&amp;O7&amp;" is not equal to Initial start HAART at ANC2 and above"&amp;CHAR(10),""),IF(P189&lt;&gt;SUM(P163)," * Retest Positive Result at ANC 2 and above for Age "&amp;P6&amp;" "&amp;P7&amp;" is not equal to Initial start HAART at ANC2 and above"&amp;CHAR(10),""),IF(Q189&lt;&gt;SUM(Q163)," * Retest Positive Result at ANC 2 and above for Age "&amp;P6&amp;" "&amp;Q7&amp;" is not equal to Initial start HAART at ANC2 and above"&amp;CHAR(10),""),IF(R189&lt;&gt;SUM(R163)," * Retest Positive Result at ANC 2 and above for Age "&amp;R6&amp;" "&amp;R7&amp;" is not equal to Initial start HAART at ANC2 and above"&amp;CHAR(10),""),IF(S189&lt;&gt;SUM(S163)," * Retest Positive Result at ANC 2 and above for Age "&amp;R6&amp;" "&amp;S7&amp;" is not equal to Initial start HAART at ANC2 and above"&amp;CHAR(10),""),IF(T189&lt;&gt;SUM(T163)," * Retest Positive Result at ANC 2 and above for Age "&amp;T6&amp;" "&amp;T7&amp;" is not equal to Initial start HAART at ANC2 and above"&amp;CHAR(10),""),IF(U189&lt;&gt;SUM(U163)," * Retest Positive Result at ANC 2 and above for Age "&amp;T6&amp;" "&amp;U7&amp;" is not equal to Initial start HAART at ANC2 and above"&amp;CHAR(10),""),IF(V189&lt;&gt;SUM(V163)," * Retest Positive Result at ANC 2 and above for Age "&amp;V6&amp;" "&amp;V7&amp;" is not equal to Initial start HAART at ANC2 and above"&amp;CHAR(10),""),IF(W189&lt;&gt;SUM(W163)," * Retest Positive Result at ANC 2 and above for Age "&amp;V6&amp;" "&amp;W7&amp;" is not equal to Initial start HAART at ANC2 and above"&amp;CHAR(10),""),IF(X189&lt;&gt;SUM(X163)," * Retest Positive Result at ANC 2 and above for Age "&amp;X6&amp;" "&amp;X7&amp;" is not equal to Initial start HAART at ANC2 and above"&amp;CHAR(10),""),IF(Y189&lt;&gt;SUM(Y163)," * Retest Positive Result at ANC 2 and above for Age "&amp;X6&amp;" "&amp;Y7&amp;" is not equal to Initial start HAART at ANC2 and above"&amp;CHAR(10),""),IF(Z189&lt;&gt;SUM(Z163)," * Retest Positive Result at ANC 2 and above for Age "&amp;Z6&amp;" "&amp;Z7&amp;" is not equal to Initial start HAART at ANC2 and above"&amp;CHAR(10),""),IF(AA189&lt;&gt;SUM(AA163)," * Retest Positive Result at ANC 2 and above for Age "&amp;Z6&amp;" "&amp;AA7&amp;" is not equal to Initial start HAART at ANC2 and above"&amp;CHAR(10),""))</f>
        <v/>
      </c>
      <c r="AN188" s="820"/>
      <c r="AO188" s="283">
        <v>233</v>
      </c>
    </row>
    <row r="189" spans="1:41" ht="31.5" thickBot="1">
      <c r="A189" s="948"/>
      <c r="B189" s="290" t="s">
        <v>451</v>
      </c>
      <c r="C189" s="19" t="s">
        <v>452</v>
      </c>
      <c r="D189" s="334"/>
      <c r="E189" s="172"/>
      <c r="F189" s="172"/>
      <c r="G189" s="172"/>
      <c r="H189" s="172"/>
      <c r="I189" s="172"/>
      <c r="J189" s="356"/>
      <c r="K189" s="359"/>
      <c r="L189" s="172"/>
      <c r="M189" s="360"/>
      <c r="N189" s="172"/>
      <c r="O189" s="360"/>
      <c r="P189" s="172"/>
      <c r="Q189" s="360"/>
      <c r="R189" s="172"/>
      <c r="S189" s="360"/>
      <c r="T189" s="172"/>
      <c r="U189" s="360"/>
      <c r="V189" s="172"/>
      <c r="W189" s="360"/>
      <c r="X189" s="172"/>
      <c r="Y189" s="360"/>
      <c r="Z189" s="172"/>
      <c r="AA189" s="378">
        <f t="shared" si="129"/>
        <v>0</v>
      </c>
      <c r="AB189" s="380"/>
      <c r="AC189" s="381"/>
      <c r="AD189" s="360"/>
      <c r="AE189" s="381"/>
      <c r="AF189" s="360"/>
      <c r="AG189" s="381"/>
      <c r="AH189" s="397"/>
      <c r="AI189" s="773"/>
      <c r="AJ189" s="256">
        <f t="shared" si="130"/>
        <v>0</v>
      </c>
      <c r="AK189" s="274"/>
      <c r="AL189" s="826"/>
      <c r="AM189" s="114" t="str">
        <f>CONCATENATE(IF(D189&lt;&gt;SUM(D163)," * Retest Positive Result at ANC 2 and above for Age "&amp;D6&amp;" "&amp;D7&amp;" is not equal to Retest start HAART at ANC2 and above"&amp;CHAR(10),""),IF(E189&lt;&gt;SUM(E163)," * Retest Positive Result at ANC 2 and above for Age "&amp;D6&amp;" "&amp;E7&amp;" is not equal to Retest start HAART at ANC2 and above"&amp;CHAR(10),""),IF(F189&lt;&gt;SUM(F163)," * Retest Positive Result at ANC 2 and above for Age "&amp;F6&amp;" "&amp;F7&amp;" is not equal to Retest start HAART at ANC2 and above"&amp;CHAR(10),""),IF(G189&lt;&gt;SUM(G163)," * Retest Positive Result at ANC 2 and above for Age "&amp;F6&amp;" "&amp;G7&amp;" is not equal to Retest start HAART at ANC2 and above"&amp;CHAR(10),""),IF(H189&lt;&gt;SUM(H163)," * Retest Positive Result at ANC 2 and above for Age "&amp;H6&amp;" "&amp;H7&amp;" is not equal to Retest start HAART at ANC2 and above"&amp;CHAR(10),""),IF(I189&lt;&gt;SUM(I163)," * Retest Positive Result at ANC 2 and above for Age "&amp;H6&amp;" "&amp;I7&amp;" is not equal to Retest start HAART at ANC2 and above"&amp;CHAR(10),""),IF(J189&lt;&gt;SUM(J163)," * Retest Positive Result at ANC 2 and above for Age "&amp;J6&amp;" "&amp;J7&amp;" is not equal to Retest start HAART at ANC2 and above"&amp;CHAR(10),""),IF(K189&lt;&gt;K163," * Retest Positive Result at ANC 2 and above for Age "&amp;J6&amp;" "&amp;K7&amp;" is not equal to Retest start HAART at ANC2 and above"&amp;CHAR(10),""),IF(L189&lt;&gt;SUM(L163)," * Retest Positive Result at ANC 2 and above for Age "&amp;L6&amp;" "&amp;L7&amp;" is not equal to Retest start HAART at ANC2 and above"&amp;CHAR(10),""),IF(M189&lt;&gt;SUM(M163)," * Retest Positive Result at ANC 2 and above for Age "&amp;L6&amp;" "&amp;M7&amp;" is not equal to Retest start HAART at ANC2 and above"&amp;CHAR(10),""),IF(N189&lt;&gt;SUM(N163)," * Retest Positive Result at ANC 2 and above for Age "&amp;N6&amp;" "&amp;N7&amp;" is not equal to Retest start HAART at ANC2 and above"&amp;CHAR(10),""),IF(O189&lt;&gt;SUM(O163)," * Retest Positive Result at ANC 2 and above for Age "&amp;N6&amp;" "&amp;O7&amp;" is not equal to Retest start HAART at ANC2 and above"&amp;CHAR(10),""),IF(P189&lt;&gt;SUM(P163)," * Retest Positive Result at ANC 2 and above for Age "&amp;P6&amp;" "&amp;P7&amp;" is not equal to Retest start HAART at ANC2 and above"&amp;CHAR(10),""),IF(Q189&lt;&gt;SUM(Q163)," * Retest Positive Result at ANC 2 and above for Age "&amp;P6&amp;" "&amp;Q7&amp;" is not equal to Retest start HAART at ANC2 and above"&amp;CHAR(10),""),IF(R189&lt;&gt;SUM(R163)," * Retest Positive Result at ANC 2 and above for Age "&amp;R6&amp;" "&amp;R7&amp;" is not equal to Retest start HAART at ANC2 and above"&amp;CHAR(10),""),IF(S189&lt;&gt;SUM(S163)," * Retest Positive Result at ANC 2 and above for Age "&amp;R6&amp;" "&amp;S7&amp;" is not equal to Retest start HAART at ANC2 and above"&amp;CHAR(10),""),IF(T189&lt;&gt;SUM(T163)," * Retest Positive Result at ANC 2 and above for Age "&amp;T6&amp;" "&amp;T7&amp;" is not equal to Retest start HAART at ANC2 and above"&amp;CHAR(10),""),IF(U189&lt;&gt;SUM(U163)," * Retest Positive Result at ANC 2 and above for Age "&amp;T6&amp;" "&amp;U7&amp;" is not equal to Retest start HAART at ANC2 and above"&amp;CHAR(10),""),IF(V189&lt;&gt;SUM(V163)," * Retest Positive Result at ANC 2 and above for Age "&amp;V6&amp;" "&amp;V7&amp;" is not equal to Retest start HAART at ANC2 and above"&amp;CHAR(10),""),IF(W189&lt;&gt;SUM(W163)," * Retest Positive Result at ANC 2 and above for Age "&amp;V6&amp;" "&amp;W7&amp;" is not equal to Retest start HAART at ANC2 and above"&amp;CHAR(10),""),IF(X189&lt;&gt;SUM(X163)," * Retest Positive Result at ANC 2 and above for Age "&amp;X6&amp;" "&amp;X7&amp;" is not equal to Retest start HAART at ANC2 and above"&amp;CHAR(10),""),IF(Y189&lt;&gt;SUM(Y163)," * Retest Positive Result at ANC 2 and above for Age "&amp;X6&amp;" "&amp;Y7&amp;" is not equal to Retest start HAART at ANC2 and above"&amp;CHAR(10),""),IF(Z189&lt;&gt;SUM(Z163)," * Retest Positive Result at ANC 2 and above for Age "&amp;Z6&amp;" "&amp;Z7&amp;" is not equal to Retest start HAART at ANC2 and above"&amp;CHAR(10),""),IF(AA189&lt;&gt;SUM(AA163)," * Retest Positive Result at ANC 2 and above for Age "&amp;Z6&amp;" "&amp;AA7&amp;" is not equal to Retest start HAART at ANC2 and above"&amp;CHAR(10),""))</f>
        <v/>
      </c>
      <c r="AN189" s="820"/>
      <c r="AO189" s="283">
        <v>234</v>
      </c>
    </row>
    <row r="190" spans="1:41">
      <c r="A190" s="1001" t="s">
        <v>454</v>
      </c>
      <c r="B190" s="289" t="s">
        <v>455</v>
      </c>
      <c r="C190" s="18" t="s">
        <v>456</v>
      </c>
      <c r="D190" s="329"/>
      <c r="E190" s="170"/>
      <c r="F190" s="170"/>
      <c r="G190" s="170"/>
      <c r="H190" s="170"/>
      <c r="I190" s="170"/>
      <c r="J190" s="354"/>
      <c r="K190" s="222"/>
      <c r="L190" s="170"/>
      <c r="M190" s="153"/>
      <c r="N190" s="170"/>
      <c r="O190" s="153"/>
      <c r="P190" s="170"/>
      <c r="Q190" s="153"/>
      <c r="R190" s="170"/>
      <c r="S190" s="153"/>
      <c r="T190" s="170"/>
      <c r="U190" s="153"/>
      <c r="V190" s="170"/>
      <c r="W190" s="153"/>
      <c r="X190" s="170"/>
      <c r="Y190" s="153"/>
      <c r="Z190" s="170"/>
      <c r="AA190" s="226">
        <f t="shared" si="129"/>
        <v>0</v>
      </c>
      <c r="AB190" s="374"/>
      <c r="AC190" s="375"/>
      <c r="AD190" s="153"/>
      <c r="AE190" s="375"/>
      <c r="AF190" s="153"/>
      <c r="AG190" s="375"/>
      <c r="AH190" s="219"/>
      <c r="AI190" s="773"/>
      <c r="AJ190" s="256">
        <f t="shared" si="130"/>
        <v>0</v>
      </c>
      <c r="AK190" s="398" t="str">
        <f>CONCATENATE(IF(D190&gt;D165," * start HAART L&amp;D  for Age "&amp;D6&amp;" "&amp;D7&amp;" is more than Positive Result L&amp;D "&amp;CHAR(10),""),IF(E190&gt;E165," * start HAART L&amp;D  for Age "&amp;D6&amp;" "&amp;E7&amp;" is more than Positive Result L&amp;D "&amp;CHAR(10),""),IF(F190&gt;F165," * start HAART L&amp;D  for Age "&amp;F6&amp;" "&amp;F7&amp;" is more than Positive Result L&amp;D "&amp;CHAR(10),""),IF(G190&gt;G165," * start HAART L&amp;D  for Age "&amp;F6&amp;" "&amp;G7&amp;" is more than Positive Result L&amp;D "&amp;CHAR(10),""),IF(H190&gt;H165," * start HAART L&amp;D  for Age "&amp;H6&amp;" "&amp;H7&amp;" is more than Positive Result L&amp;D "&amp;CHAR(10),""),IF(I190&gt;I165," * start HAART L&amp;D  for Age "&amp;H6&amp;" "&amp;I7&amp;" is more than Positive Result L&amp;D "&amp;CHAR(10),""),IF(J190&gt;J165," * start HAART L&amp;D  for Age "&amp;J6&amp;" "&amp;J7&amp;" is more than Positive Result L&amp;D "&amp;CHAR(10),""),IF(K190&gt;K165," * start HAART L&amp;D  for Age "&amp;J6&amp;" "&amp;K7&amp;" is more than Positive Result L&amp;D "&amp;CHAR(10),""),IF(L190&gt;L165," * start HAART L&amp;D  for Age "&amp;L6&amp;" "&amp;L7&amp;" is more than Positive Result L&amp;D "&amp;CHAR(10),""),IF(M190&gt;M165," * start HAART L&amp;D  for Age "&amp;L6&amp;" "&amp;M7&amp;" is more than Positive Result L&amp;D "&amp;CHAR(10),""),IF(N190&gt;N165," * start HAART L&amp;D  for Age "&amp;N6&amp;" "&amp;N7&amp;" is more than Positive Result L&amp;D "&amp;CHAR(10),""),IF(O190&gt;O165," * start HAART L&amp;D  for Age "&amp;N6&amp;" "&amp;O7&amp;" is more than Positive Result L&amp;D "&amp;CHAR(10),""),IF(P190&gt;P165," * start HAART L&amp;D  for Age "&amp;P6&amp;" "&amp;P7&amp;" is more than Positive Result L&amp;D "&amp;CHAR(10),""),IF(Q190&gt;Q165," * start HAART L&amp;D  for Age "&amp;P6&amp;" "&amp;Q7&amp;" is more than Positive Result L&amp;D "&amp;CHAR(10),""),IF(R190&gt;R165," * start HAART L&amp;D  for Age "&amp;R6&amp;" "&amp;R7&amp;" is more than Positive Result L&amp;D "&amp;CHAR(10),""),IF(S190&gt;S165," * start HAART L&amp;D  for Age "&amp;R6&amp;" "&amp;S7&amp;" is more than Positive Result L&amp;D "&amp;CHAR(10),""),IF(T190&gt;T165," * start HAART L&amp;D  for Age "&amp;T6&amp;" "&amp;T7&amp;" is more than Positive Result L&amp;D "&amp;CHAR(10),""),IF(U190&gt;U165," * start HAART L&amp;D  for Age "&amp;T6&amp;" "&amp;U7&amp;" is more than Positive Result L&amp;D "&amp;CHAR(10),""),IF(V190&gt;V165," * start HAART L&amp;D  for Age "&amp;V6&amp;" "&amp;V7&amp;" is more than Positive Result L&amp;D "&amp;CHAR(10),""),IF(W190&gt;W165," * start HAART L&amp;D  for Age "&amp;V6&amp;" "&amp;W7&amp;" is more than Positive Result L&amp;D "&amp;CHAR(10),""),IF(X190&gt;X165," * start HAART L&amp;D  for Age "&amp;X6&amp;" "&amp;X7&amp;" is more than Positive Result L&amp;D "&amp;CHAR(10),""),IF(Y190&gt;Y165," * start HAART L&amp;D  for Age "&amp;X6&amp;" "&amp;Y7&amp;" is more than Positive Result L&amp;D "&amp;CHAR(10),""),IF(Z190&gt;Z165," * start HAART L&amp;D  for Age "&amp;Z6&amp;" "&amp;Z7&amp;" is more than Positive Result L&amp;D "&amp;CHAR(10),""),IF(AA190&gt;AA165," * start HAART L&amp;D  for Age "&amp;Z6&amp;" "&amp;AA7&amp;" is more than Positive Result L&amp;D "&amp;CHAR(10),""))</f>
        <v/>
      </c>
      <c r="AL190" s="826"/>
      <c r="AM190" s="114" t="str">
        <f>CONCATENATE(IF(D190&lt;D165," * start HAART L&amp;D  for Age "&amp;D6&amp;" "&amp;D7&amp;" is less than Positive Result L&amp;D "&amp;CHAR(10),""),IF(E190&lt;E165," * start HAART L&amp;D  for Age "&amp;D6&amp;" "&amp;E7&amp;" is less than Positive Result L&amp;D "&amp;CHAR(10),""),IF(F190&lt;F165," * start HAART L&amp;D  for Age "&amp;F6&amp;" "&amp;F7&amp;" is less than Positive Result L&amp;D "&amp;CHAR(10),""),IF(G190&lt;G165," * start HAART L&amp;D  for Age "&amp;F6&amp;" "&amp;G7&amp;" is less than Positive Result L&amp;D "&amp;CHAR(10),""),IF(H190&lt;H165," * start HAART L&amp;D  for Age "&amp;H6&amp;" "&amp;H7&amp;" is less than Positive Result L&amp;D "&amp;CHAR(10),""),IF(I190&lt;I165," * start HAART L&amp;D  for Age "&amp;H6&amp;" "&amp;I7&amp;" is less than Positive Result L&amp;D "&amp;CHAR(10),""),IF(J190&lt;J165," * start HAART L&amp;D  for Age "&amp;J6&amp;" "&amp;J7&amp;" is less than Positive Result L&amp;D "&amp;CHAR(10),""),IF(K190&lt;K165," * start HAART L&amp;D  for Age "&amp;J6&amp;" "&amp;K7&amp;" is less than Positive Result L&amp;D "&amp;CHAR(10),""),IF(L190&lt;L165," * start HAART L&amp;D  for Age "&amp;L6&amp;" "&amp;L7&amp;" is less than Positive Result L&amp;D "&amp;CHAR(10),""),IF(M190&lt;M165," * start HAART L&amp;D  for Age "&amp;L6&amp;" "&amp;M7&amp;" is less than Positive Result L&amp;D "&amp;CHAR(10),""),IF(N190&lt;N165," * start HAART L&amp;D  for Age "&amp;N6&amp;" "&amp;N7&amp;" is less than Positive Result L&amp;D "&amp;CHAR(10),""),IF(O190&lt;O165," * start HAART L&amp;D  for Age "&amp;N6&amp;" "&amp;O7&amp;" is less than Positive Result L&amp;D "&amp;CHAR(10),""),IF(P190&lt;P165," * start HAART L&amp;D  for Age "&amp;P6&amp;" "&amp;P7&amp;" is less than Positive Result L&amp;D "&amp;CHAR(10),""),IF(Q190&lt;Q165," * start HAART L&amp;D  for Age "&amp;P6&amp;" "&amp;Q7&amp;" is less than Positive Result L&amp;D "&amp;CHAR(10),""),IF(R190&lt;R165," * start HAART L&amp;D  for Age "&amp;R6&amp;" "&amp;R7&amp;" is less than Positive Result L&amp;D "&amp;CHAR(10),""),IF(S190&lt;S165," * start HAART L&amp;D  for Age "&amp;R6&amp;" "&amp;S7&amp;" is less than Positive Result L&amp;D "&amp;CHAR(10),""),IF(T190&lt;T165," * start HAART L&amp;D  for Age "&amp;T6&amp;" "&amp;T7&amp;" is less than Positive Result L&amp;D "&amp;CHAR(10),""),IF(U190&lt;U165," * start HAART L&amp;D  for Age "&amp;T6&amp;" "&amp;U7&amp;" is less than Positive Result L&amp;D "&amp;CHAR(10),""),IF(V190&lt;V165," * start HAART L&amp;D  for Age "&amp;V6&amp;" "&amp;V7&amp;" is less than Positive Result L&amp;D "&amp;CHAR(10),""),IF(W190&lt;W165," * start HAART L&amp;D  for Age "&amp;V6&amp;" "&amp;W7&amp;" is less than Positive Result L&amp;D "&amp;CHAR(10),""),IF(X190&lt;X165," * start HAART L&amp;D  for Age "&amp;X6&amp;" "&amp;X7&amp;" is less than Positive Result L&amp;D "&amp;CHAR(10),""),IF(Y190&lt;Y165," * start HAART L&amp;D  for Age "&amp;X6&amp;" "&amp;Y7&amp;" is less than Positive Result L&amp;D "&amp;CHAR(10),""),IF(Z190&lt;Z165," * start HAART L&amp;D  for Age "&amp;Z6&amp;" "&amp;Z7&amp;" is less than Positive Result L&amp;D "&amp;CHAR(10),""),IF(AA190&lt;AA165," * start HAART L&amp;D  for Age "&amp;Z6&amp;" "&amp;AA7&amp;" is less than Positive Result L&amp;D "&amp;CHAR(10),""))</f>
        <v/>
      </c>
      <c r="AN190" s="820"/>
      <c r="AO190" s="283">
        <v>235</v>
      </c>
    </row>
    <row r="191" spans="1:41" ht="31.5" thickBot="1">
      <c r="A191" s="1002"/>
      <c r="B191" s="290" t="s">
        <v>459</v>
      </c>
      <c r="C191" s="19" t="s">
        <v>460</v>
      </c>
      <c r="D191" s="334"/>
      <c r="E191" s="172"/>
      <c r="F191" s="172"/>
      <c r="G191" s="172"/>
      <c r="H191" s="172"/>
      <c r="I191" s="172"/>
      <c r="J191" s="356"/>
      <c r="K191" s="359"/>
      <c r="L191" s="172"/>
      <c r="M191" s="360"/>
      <c r="N191" s="172"/>
      <c r="O191" s="360"/>
      <c r="P191" s="172"/>
      <c r="Q191" s="360"/>
      <c r="R191" s="172"/>
      <c r="S191" s="360"/>
      <c r="T191" s="172"/>
      <c r="U191" s="360"/>
      <c r="V191" s="172"/>
      <c r="W191" s="360"/>
      <c r="X191" s="172"/>
      <c r="Y191" s="360"/>
      <c r="Z191" s="172"/>
      <c r="AA191" s="378">
        <f t="shared" si="129"/>
        <v>0</v>
      </c>
      <c r="AB191" s="380"/>
      <c r="AC191" s="381"/>
      <c r="AD191" s="360"/>
      <c r="AE191" s="381"/>
      <c r="AF191" s="360"/>
      <c r="AG191" s="381"/>
      <c r="AH191" s="397"/>
      <c r="AI191" s="773"/>
      <c r="AJ191" s="256">
        <f t="shared" si="130"/>
        <v>0</v>
      </c>
      <c r="AK191" s="398" t="str">
        <f>CONCATENATE(IF(D191&gt;D167," * Retested start HAART L&amp;D  for Age "&amp;D6&amp;" "&amp;D7&amp;" is more than Retested Positive Result L&amp;D "&amp;CHAR(10),""),IF(E191&gt;E167," * Retested start HAART L&amp;D  for Age "&amp;D6&amp;" "&amp;E7&amp;" is more than Retested Positive Result L&amp;D "&amp;CHAR(10),""),IF(F191&gt;F167," * Retested start HAART L&amp;D  for Age "&amp;F6&amp;" "&amp;F7&amp;" is more than Retested Positive Result L&amp;D "&amp;CHAR(10),""),IF(G191&gt;G167," * Retested start HAART L&amp;D  for Age "&amp;F6&amp;" "&amp;G7&amp;" is more than Retested Positive Result L&amp;D "&amp;CHAR(10),""),IF(H191&gt;H167," * Retested start HAART L&amp;D  for Age "&amp;H6&amp;" "&amp;H7&amp;" is more than Retested Positive Result L&amp;D "&amp;CHAR(10),""),IF(I191&gt;I167," * Retested start HAART L&amp;D  for Age "&amp;H6&amp;" "&amp;I7&amp;" is more than Retested Positive Result L&amp;D "&amp;CHAR(10),""),IF(J191&gt;J167," * Retested start HAART L&amp;D  for Age "&amp;J6&amp;" "&amp;J7&amp;" is more than Retested Positive Result L&amp;D "&amp;CHAR(10),""),IF(K191&gt;K167," * Retested start HAART L&amp;D  for Age "&amp;J6&amp;" "&amp;K7&amp;" is more than Retested Positive Result L&amp;D "&amp;CHAR(10),""),IF(L191&gt;L167," * Retested start HAART L&amp;D  for Age "&amp;L6&amp;" "&amp;L7&amp;" is more than Retested Positive Result L&amp;D "&amp;CHAR(10),""),IF(M191&gt;M167," * Retested start HAART L&amp;D  for Age "&amp;L6&amp;" "&amp;M7&amp;" is more than Retested Positive Result L&amp;D "&amp;CHAR(10),""),IF(N191&gt;N167," * Retested start HAART L&amp;D  for Age "&amp;N6&amp;" "&amp;N7&amp;" is more than Retested Positive Result L&amp;D "&amp;CHAR(10),""),IF(O191&gt;O167," * Retested start HAART L&amp;D  for Age "&amp;N6&amp;" "&amp;O7&amp;" is more than Retested Positive Result L&amp;D "&amp;CHAR(10),""),IF(P191&gt;P167," * Retested start HAART L&amp;D  for Age "&amp;P6&amp;" "&amp;P7&amp;" is more than Retested Positive Result L&amp;D "&amp;CHAR(10),""),IF(Q191&gt;Q167," * Retested start HAART L&amp;D  for Age "&amp;P6&amp;" "&amp;Q7&amp;" is more than Retested Positive Result L&amp;D "&amp;CHAR(10),""),IF(R191&gt;R167," * Retested start HAART L&amp;D  for Age "&amp;R6&amp;" "&amp;R7&amp;" is more than Retested Positive Result L&amp;D "&amp;CHAR(10),""),IF(S191&gt;S167," * Retested start HAART L&amp;D  for Age "&amp;R6&amp;" "&amp;S7&amp;" is more than Retested Positive Result L&amp;D "&amp;CHAR(10),""),IF(T191&gt;T167," * Retested start HAART L&amp;D  for Age "&amp;T6&amp;" "&amp;T7&amp;" is more than Retested Positive Result L&amp;D "&amp;CHAR(10),""),IF(U191&gt;U167," * Retested start HAART L&amp;D  for Age "&amp;T6&amp;" "&amp;U7&amp;" is more than Retested Positive Result L&amp;D "&amp;CHAR(10),""),IF(V191&gt;V167," * Retested start HAART L&amp;D  for Age "&amp;V6&amp;" "&amp;V7&amp;" is more than Retested Positive Result L&amp;D "&amp;CHAR(10),""),IF(W191&gt;W167," * Retested start HAART L&amp;D  for Age "&amp;V6&amp;" "&amp;W7&amp;" is more than Retested Positive Result L&amp;D "&amp;CHAR(10),""),IF(X191&gt;X167," * Retested start HAART L&amp;D  for Age "&amp;X6&amp;" "&amp;X7&amp;" is more than Retested Positive Result L&amp;D "&amp;CHAR(10),""),IF(Y191&gt;Y167," * Retested start HAART L&amp;D  for Age "&amp;X6&amp;" "&amp;Y7&amp;" is more than Retested Positive Result L&amp;D "&amp;CHAR(10),""),IF(Z191&gt;Z167," * Retested start HAART L&amp;D  for Age "&amp;Z6&amp;" "&amp;Z7&amp;" is more than Retested Positive Result L&amp;D "&amp;CHAR(10),""),IF(AA191&gt;AA167," * Retested start HAART L&amp;D  for Age "&amp;Z6&amp;" "&amp;AA7&amp;" is more than Retested Positive Result L&amp;D "&amp;CHAR(10),""))</f>
        <v/>
      </c>
      <c r="AL191" s="826"/>
      <c r="AM191" s="114"/>
      <c r="AN191" s="820"/>
      <c r="AO191" s="283">
        <v>236</v>
      </c>
    </row>
    <row r="192" spans="1:41">
      <c r="A192" s="934" t="s">
        <v>462</v>
      </c>
      <c r="B192" s="289" t="s">
        <v>463</v>
      </c>
      <c r="C192" s="18" t="s">
        <v>464</v>
      </c>
      <c r="D192" s="329"/>
      <c r="E192" s="170"/>
      <c r="F192" s="170"/>
      <c r="G192" s="170"/>
      <c r="H192" s="170"/>
      <c r="I192" s="170"/>
      <c r="J192" s="354"/>
      <c r="K192" s="222"/>
      <c r="L192" s="170"/>
      <c r="M192" s="153"/>
      <c r="N192" s="170"/>
      <c r="O192" s="153"/>
      <c r="P192" s="170"/>
      <c r="Q192" s="153"/>
      <c r="R192" s="170"/>
      <c r="S192" s="153"/>
      <c r="T192" s="170"/>
      <c r="U192" s="153"/>
      <c r="V192" s="170"/>
      <c r="W192" s="153"/>
      <c r="X192" s="170"/>
      <c r="Y192" s="153"/>
      <c r="Z192" s="170"/>
      <c r="AA192" s="226">
        <f t="shared" si="129"/>
        <v>0</v>
      </c>
      <c r="AB192" s="374"/>
      <c r="AC192" s="375"/>
      <c r="AD192" s="153"/>
      <c r="AE192" s="375"/>
      <c r="AF192" s="153"/>
      <c r="AG192" s="375"/>
      <c r="AH192" s="219"/>
      <c r="AI192" s="773"/>
      <c r="AJ192" s="256">
        <f t="shared" si="130"/>
        <v>0</v>
      </c>
      <c r="AK192" s="274" t="str">
        <f>CONCATENATE(IF(D192&gt;D169," * F06-16 for Age "&amp;D6&amp;" "&amp;D7&amp;" is more than F06-10"&amp;CHAR(10),""),IF(E192&gt;E169," * F06-16 for Age "&amp;D6&amp;" "&amp;E7&amp;" is more than F06-10"&amp;CHAR(10),""),IF(F192&gt;F169," * F06-16 for Age "&amp;F6&amp;" "&amp;F7&amp;" is more than F06-10"&amp;CHAR(10),""),IF(G192&gt;G169," * F06-16 for Age "&amp;F6&amp;" "&amp;G7&amp;" is more than F06-10"&amp;CHAR(10),""),IF(H192&gt;H169," * F06-16 for Age "&amp;H6&amp;" "&amp;H7&amp;" is more than F06-10"&amp;CHAR(10),""),IF(I192&gt;I169," * F06-16 for Age "&amp;H6&amp;" "&amp;I7&amp;" is more than F06-10"&amp;CHAR(10),""),IF(J192&gt;J169," * F06-16 for Age "&amp;J6&amp;" "&amp;J7&amp;" is more than F06-10"&amp;CHAR(10),""),IF(K192&gt;K169," * F06-16 for Age "&amp;J6&amp;" "&amp;K7&amp;" is more than F06-10"&amp;CHAR(10),""),IF(L192&gt;L169," * F06-16 for Age "&amp;L6&amp;" "&amp;L7&amp;" is more than F06-10"&amp;CHAR(10),""),IF(M192&gt;M169," * F06-16 for Age "&amp;L6&amp;" "&amp;M7&amp;" is more than F06-10"&amp;CHAR(10),""),IF(N192&gt;N169," * F06-16 for Age "&amp;N6&amp;" "&amp;N7&amp;" is more than F06-10"&amp;CHAR(10),""),IF(O192&gt;O169," * F06-16 for Age "&amp;N6&amp;" "&amp;O7&amp;" is more than F06-10"&amp;CHAR(10),""),IF(P192&gt;P169," * F06-16 for Age "&amp;P6&amp;" "&amp;P7&amp;" is more than F06-10"&amp;CHAR(10),""),IF(Q192&gt;Q169," * F06-16 for Age "&amp;P6&amp;" "&amp;Q7&amp;" is more than F06-10"&amp;CHAR(10),""),IF(R192&gt;R169," * F06-16 for Age "&amp;R6&amp;" "&amp;R7&amp;" is more than F06-10"&amp;CHAR(10),""),IF(S192&gt;S169," * F06-16 for Age "&amp;R6&amp;" "&amp;S7&amp;" is more than F06-10"&amp;CHAR(10),""),IF(T192&gt;T169," * F06-16 for Age "&amp;T6&amp;" "&amp;T7&amp;" is more than F06-10"&amp;CHAR(10),""),IF(U192&gt;U169," * F06-16 for Age "&amp;T6&amp;" "&amp;U7&amp;" is more than F06-10"&amp;CHAR(10),""),IF(V192&gt;V169," * F06-16 for Age "&amp;V6&amp;" "&amp;V7&amp;" is more than F06-10"&amp;CHAR(10),""),IF(W192&gt;W169," * F06-16 for Age "&amp;V6&amp;" "&amp;W7&amp;" is more than F06-10"&amp;CHAR(10),""),IF(X192&gt;X169," * F06-16 for Age "&amp;X6&amp;" "&amp;X7&amp;" is more than F06-10"&amp;CHAR(10),""),IF(Y192&gt;Y169," * F06-16 for Age "&amp;X6&amp;" "&amp;Y7&amp;" is more than F06-10"&amp;CHAR(10),""),IF(Z192&gt;Z169," * F06-16 for Age "&amp;Z6&amp;" "&amp;Z7&amp;" is more than F06-10"&amp;CHAR(10),""),IF(AA192&gt;AA169," * F06-16 for Age "&amp;Z6&amp;" "&amp;AA7&amp;" is more than F06-10"&amp;CHAR(10),""),IF(AJ192&gt;AJ169," * Total F06-16 is more than Total F06-10"&amp;CHAR(10),""))</f>
        <v/>
      </c>
      <c r="AL192" s="826"/>
      <c r="AM192" s="113" t="str">
        <f>CONCATENATE(IF(D192&lt;D169," * F06-16 for Age "&amp;D6&amp;" "&amp;D7&amp;" is less than F06-10"&amp;CHAR(10),""),IF(E192&lt;E169," * F06-16 for Age "&amp;D6&amp;" "&amp;E7&amp;" is less than F06-10"&amp;CHAR(10),""),IF(F192&lt;F169," * F06-16 for Age "&amp;F6&amp;" "&amp;F7&amp;" is less than F06-10"&amp;CHAR(10),""),IF(G192&lt;G169," * F06-16 for Age "&amp;F6&amp;" "&amp;G7&amp;" is less than F06-10"&amp;CHAR(10),""),IF(H192&lt;H169," * F06-16 for Age "&amp;H6&amp;" "&amp;H7&amp;" is less than F06-10"&amp;CHAR(10),""),IF(I192&lt;I169," * F06-16 for Age "&amp;H6&amp;" "&amp;I7&amp;" is less than F06-10"&amp;CHAR(10),""),IF(J192&lt;J169," * F06-16 for Age "&amp;J6&amp;" "&amp;J7&amp;" is less than F06-10"&amp;CHAR(10),""),IF(K192&lt;K169," * F06-16 for Age "&amp;J6&amp;" "&amp;K7&amp;" is less than F06-10"&amp;CHAR(10),""),IF(L192&lt;L169," * F06-16 for Age "&amp;L6&amp;" "&amp;L7&amp;" is less than F06-10"&amp;CHAR(10),""),IF(M192&lt;M169," * F06-16 for Age "&amp;L6&amp;" "&amp;M7&amp;" is less than F06-10"&amp;CHAR(10),""),IF(N192&lt;N169," * F06-16 for Age "&amp;N6&amp;" "&amp;N7&amp;" is less than F06-10"&amp;CHAR(10),""),IF(O192&lt;O169," * F06-16 for Age "&amp;N6&amp;" "&amp;O7&amp;" is less than F06-10"&amp;CHAR(10),""),IF(P192&lt;P169," * F06-16 for Age "&amp;P6&amp;" "&amp;P7&amp;" is less than F06-10"&amp;CHAR(10),""),IF(Q192&lt;Q169," * F06-16 for Age "&amp;P6&amp;" "&amp;Q7&amp;" is less than F06-10"&amp;CHAR(10),""),IF(R192&lt;R169," * F06-16 for Age "&amp;R6&amp;" "&amp;R7&amp;" is less than F06-10"&amp;CHAR(10),""),IF(S192&lt;S169," * F06-16 for Age "&amp;R6&amp;" "&amp;S7&amp;" is less than F06-10"&amp;CHAR(10),""),IF(T192&lt;T169," * F06-16 for Age "&amp;T6&amp;" "&amp;T7&amp;" is less than F06-10"&amp;CHAR(10),""),IF(U192&lt;U169," * F06-16 for Age "&amp;T6&amp;" "&amp;U7&amp;" is less than F06-10"&amp;CHAR(10),""),IF(V192&lt;V169," * F06-16 for Age "&amp;V6&amp;" "&amp;V7&amp;" is less than F06-10"&amp;CHAR(10),""),IF(W192&lt;W169," * F06-16 for Age "&amp;V6&amp;" "&amp;W7&amp;" is less than F06-10"&amp;CHAR(10),""),IF(X192&lt;X169," * F06-16 for Age "&amp;X6&amp;" "&amp;X7&amp;" is less than F06-10"&amp;CHAR(10),""),IF(Y192&lt;Y169," * F06-16 for Age "&amp;X6&amp;" "&amp;Y7&amp;" is less than F06-10"&amp;CHAR(10),""),IF(Z192&lt;Z169," * F06-16 for Age "&amp;Z6&amp;" "&amp;Z7&amp;" is less than F06-10"&amp;CHAR(10),""),IF(AA192&lt;AA169," * F06-16 for Age "&amp;Z6&amp;" "&amp;AA7&amp;" is less than F06-10"&amp;CHAR(10),""),IF(AJ192&lt;AJ169," * Total F06-16 is less than Total F06-10"&amp;CHAR(10),""))</f>
        <v/>
      </c>
      <c r="AN192" s="820"/>
      <c r="AO192" s="283">
        <v>237</v>
      </c>
    </row>
    <row r="193" spans="1:45" ht="31.5" thickBot="1">
      <c r="A193" s="935"/>
      <c r="B193" s="290" t="s">
        <v>467</v>
      </c>
      <c r="C193" s="19" t="s">
        <v>468</v>
      </c>
      <c r="D193" s="334"/>
      <c r="E193" s="172"/>
      <c r="F193" s="172"/>
      <c r="G193" s="172"/>
      <c r="H193" s="172"/>
      <c r="I193" s="172"/>
      <c r="J193" s="356"/>
      <c r="K193" s="359"/>
      <c r="L193" s="172"/>
      <c r="M193" s="360"/>
      <c r="N193" s="172"/>
      <c r="O193" s="360"/>
      <c r="P193" s="172"/>
      <c r="Q193" s="360"/>
      <c r="R193" s="172"/>
      <c r="S193" s="360"/>
      <c r="T193" s="172"/>
      <c r="U193" s="360"/>
      <c r="V193" s="172"/>
      <c r="W193" s="360"/>
      <c r="X193" s="172"/>
      <c r="Y193" s="360"/>
      <c r="Z193" s="172"/>
      <c r="AA193" s="378">
        <f t="shared" si="129"/>
        <v>0</v>
      </c>
      <c r="AB193" s="380"/>
      <c r="AC193" s="381"/>
      <c r="AD193" s="360"/>
      <c r="AE193" s="381"/>
      <c r="AF193" s="360"/>
      <c r="AG193" s="381"/>
      <c r="AH193" s="397"/>
      <c r="AI193" s="773"/>
      <c r="AJ193" s="256">
        <f t="shared" si="130"/>
        <v>0</v>
      </c>
      <c r="AK193" s="274" t="str">
        <f>CONCATENATE(IF(D193&gt;D171," * Retest Start HAART at PNC &lt; = 6 weeks for Age "&amp;D6&amp;" "&amp;D7&amp;" is more than Retesting positive result at PNC &lt; = 6 weeks"&amp;CHAR(10),""),IF(E193&gt;E171," * Retest Start HAART at PNC &lt; = 6 weeks for Age "&amp;D6&amp;" "&amp;E7&amp;" is more than Retesting positive result at PNC &lt; = 6 weeks"&amp;CHAR(10),""),IF(F193&gt;F171," * Retest Start HAART at PNC &lt; = 6 weeks for Age "&amp;F6&amp;" "&amp;F7&amp;" is more than Retesting positive result at PNC &lt; = 6 weeks"&amp;CHAR(10),""),IF(G193&gt;G171," * Retest Start HAART at PNC &lt; = 6 weeks for Age "&amp;F6&amp;" "&amp;G7&amp;" is more than Retesting positive result at PNC &lt; = 6 weeks"&amp;CHAR(10),""),IF(H193&gt;H171," * Retest Start HAART at PNC &lt; = 6 weeks for Age "&amp;H6&amp;" "&amp;H7&amp;" is more than Retesting positive result at PNC &lt; = 6 weeks"&amp;CHAR(10),""),IF(I193&gt;I171," * Retest Start HAART at PNC &lt; = 6 weeks for Age "&amp;H6&amp;" "&amp;I7&amp;" is more than Retesting positive result at PNC &lt; = 6 weeks"&amp;CHAR(10),""),IF(J193&gt;J171," * Retest Start HAART at PNC &lt; = 6 weeks for Age "&amp;J6&amp;" "&amp;J7&amp;" is more than Retesting positive result at PNC &lt; = 6 weeks"&amp;CHAR(10),""),IF(K193&gt;K171," * Retest Start HAART at PNC &lt; = 6 weeks for Age "&amp;J6&amp;" "&amp;K7&amp;" is more than Retesting positive result at PNC &lt; = 6 weeks"&amp;CHAR(10),""),IF(L193&gt;L171," * Retest Start HAART at PNC &lt; = 6 weeks for Age "&amp;L6&amp;" "&amp;L7&amp;" is more than Retesting positive result at PNC &lt; = 6 weeks"&amp;CHAR(10),""),IF(M193&gt;M171," * Retest Start HAART at PNC &lt; = 6 weeks for Age "&amp;L6&amp;" "&amp;M7&amp;" is more than Retesting positive result at PNC &lt; = 6 weeks"&amp;CHAR(10),""),IF(N193&gt;N171," * Retest Start HAART at PNC &lt; = 6 weeks for Age "&amp;N6&amp;" "&amp;N7&amp;" is more than Retesting positive result at PNC &lt; = 6 weeks"&amp;CHAR(10),""),IF(O193&gt;O171," * Retest Start HAART at PNC &lt; = 6 weeks for Age "&amp;N6&amp;" "&amp;O7&amp;" is more than Retesting positive result at PNC &lt; = 6 weeks"&amp;CHAR(10),""),IF(P193&gt;P171," * Retest Start HAART at PNC &lt; = 6 weeks for Age "&amp;P6&amp;" "&amp;P7&amp;" is more than Retesting positive result at PNC &lt; = 6 weeks"&amp;CHAR(10),""),IF(Q193&gt;Q171," * Retest Start HAART at PNC &lt; = 6 weeks for Age "&amp;P6&amp;" "&amp;Q7&amp;" is more than Retesting positive result at PNC &lt; = 6 weeks"&amp;CHAR(10),""),IF(R193&gt;R171," * Retest Start HAART at PNC &lt; = 6 weeks for Age "&amp;R6&amp;" "&amp;R7&amp;" is more than Retesting positive result at PNC &lt; = 6 weeks"&amp;CHAR(10),""),IF(S193&gt;S171," * Retest Start HAART at PNC &lt; = 6 weeks for Age "&amp;R6&amp;" "&amp;S7&amp;" is more than Retesting positive result at PNC &lt; = 6 weeks"&amp;CHAR(10),""),IF(T193&gt;T171," * Retest Start HAART at PNC &lt; = 6 weeks for Age "&amp;T6&amp;" "&amp;T7&amp;" is more than Retesting positive result at PNC &lt; = 6 weeks"&amp;CHAR(10),""),IF(U193&gt;U171," * Retest Start HAART at PNC &lt; = 6 weeks for Age "&amp;T6&amp;" "&amp;U7&amp;" is more than Retesting positive result at PNC &lt; = 6 weeks"&amp;CHAR(10),""),IF(V193&gt;V171," * Retest Start HAART at PNC &lt; = 6 weeks for Age "&amp;V6&amp;" "&amp;V7&amp;" is more than Retesting positive result at PNC &lt; = 6 weeks"&amp;CHAR(10),""),IF(W193&gt;W171," * Retest Start HAART at PNC &lt; = 6 weeks for Age "&amp;V6&amp;" "&amp;W7&amp;" is more than Retesting positive result at PNC &lt; = 6 weeks"&amp;CHAR(10),""),IF(X193&gt;X171," * Retest Start HAART at PNC &lt; = 6 weeks for Age "&amp;X6&amp;" "&amp;X7&amp;" is more than Retesting positive result at PNC &lt; = 6 weeks"&amp;CHAR(10),""),IF(Y193&gt;Y171," * Retest Start HAART at PNC &lt; = 6 weeks for Age "&amp;X6&amp;" "&amp;Y7&amp;" is more than Retesting positive result at PNC &lt; = 6 weeks"&amp;CHAR(10),""),IF(Z193&gt;Z171," * Retest Start HAART at PNC &lt; = 6 weeks for Age "&amp;Z6&amp;" "&amp;Z7&amp;" is more than Retesting positive result at PNC &lt; = 6 weeks"&amp;CHAR(10),""),IF(AA193&gt;AA171," * Retest Start HAART at PNC &lt; = 6 weeks for Age "&amp;Z6&amp;" "&amp;AA7&amp;" is more than Retesting positive result at PNC &lt; = 6 weeks"&amp;CHAR(10),""))</f>
        <v/>
      </c>
      <c r="AL193" s="826"/>
      <c r="AM193" s="113"/>
      <c r="AN193" s="820"/>
      <c r="AO193" s="283">
        <v>238</v>
      </c>
    </row>
    <row r="194" spans="1:45">
      <c r="A194" s="935"/>
      <c r="B194" s="303" t="s">
        <v>470</v>
      </c>
      <c r="C194" s="18" t="s">
        <v>471</v>
      </c>
      <c r="D194" s="395"/>
      <c r="E194" s="399"/>
      <c r="F194" s="399"/>
      <c r="G194" s="399"/>
      <c r="H194" s="399"/>
      <c r="I194" s="399"/>
      <c r="J194" s="468"/>
      <c r="K194" s="469"/>
      <c r="L194" s="399"/>
      <c r="M194" s="470"/>
      <c r="N194" s="399"/>
      <c r="O194" s="470"/>
      <c r="P194" s="399"/>
      <c r="Q194" s="470"/>
      <c r="R194" s="399"/>
      <c r="S194" s="470"/>
      <c r="T194" s="399"/>
      <c r="U194" s="470"/>
      <c r="V194" s="399"/>
      <c r="W194" s="470"/>
      <c r="X194" s="399"/>
      <c r="Y194" s="470"/>
      <c r="Z194" s="399"/>
      <c r="AA194" s="477">
        <f t="shared" si="129"/>
        <v>0</v>
      </c>
      <c r="AB194" s="374"/>
      <c r="AC194" s="375"/>
      <c r="AD194" s="153"/>
      <c r="AE194" s="375"/>
      <c r="AF194" s="153"/>
      <c r="AG194" s="375"/>
      <c r="AH194" s="219"/>
      <c r="AI194" s="773"/>
      <c r="AJ194" s="256">
        <f t="shared" si="130"/>
        <v>0</v>
      </c>
      <c r="AK194" s="274" t="str">
        <f>CONCATENATE(IF(D194&gt;D173," * Initial Start HAART at PNC  &gt; 6 weeks for Age "&amp;D6&amp;" "&amp;D7&amp;" is more than Initial Tested Positive  at PNC  &gt; 6 weeks"&amp;CHAR(10),""),IF(E194&gt;E173," * Initial Start HAART at PNC  &gt; 6 weeks for Age "&amp;D6&amp;" "&amp;E7&amp;" is more than Initial Tested Positive  at PNC  &gt; 6 weeks"&amp;CHAR(10),""),IF(F194&gt;F173," * Initial Start HAART at PNC  &gt; 6 weeks for Age "&amp;F6&amp;" "&amp;F7&amp;" is more than Initial Tested Positive  at PNC  &gt; 6 weeks"&amp;CHAR(10),""),IF(G194&gt;G173," * Initial Start HAART at PNC  &gt; 6 weeks for Age "&amp;F6&amp;" "&amp;G7&amp;" is more than Initial Tested Positive  at PNC  &gt; 6 weeks"&amp;CHAR(10),""),IF(H194&gt;H173," * Initial Start HAART at PNC  &gt; 6 weeks for Age "&amp;H6&amp;" "&amp;H7&amp;" is more than Initial Tested Positive  at PNC  &gt; 6 weeks"&amp;CHAR(10),""),IF(I194&gt;I173," * Initial Start HAART at PNC  &gt; 6 weeks for Age "&amp;H6&amp;" "&amp;I7&amp;" is more than Initial Tested Positive  at PNC  &gt; 6 weeks"&amp;CHAR(10),""),IF(J194&gt;J173," * Initial Start HAART at PNC  &gt; 6 weeks for Age "&amp;J6&amp;" "&amp;J7&amp;" is more than Initial Tested Positive  at PNC  &gt; 6 weeks"&amp;CHAR(10),""),IF(K194&gt;K173," * Initial Start HAART at PNC  &gt; 6 weeks for Age "&amp;J6&amp;" "&amp;K7&amp;" is more than Initial Tested Positive  at PNC  &gt; 6 weeks"&amp;CHAR(10),""),IF(L194&gt;L173," * Initial Start HAART at PNC  &gt; 6 weeks for Age "&amp;L6&amp;" "&amp;L7&amp;" is more than Initial Tested Positive  at PNC  &gt; 6 weeks"&amp;CHAR(10),""),IF(M194&gt;M173," * Initial Start HAART at PNC  &gt; 6 weeks for Age "&amp;L6&amp;" "&amp;M7&amp;" is more than Initial Tested Positive  at PNC  &gt; 6 weeks"&amp;CHAR(10),""),IF(N194&gt;N173," * Initial Start HAART at PNC  &gt; 6 weeks for Age "&amp;N6&amp;" "&amp;N7&amp;" is more than Initial Tested Positive  at PNC  &gt; 6 weeks"&amp;CHAR(10),""),IF(O194&gt;O173," * Initial Start HAART at PNC  &gt; 6 weeks for Age "&amp;N6&amp;" "&amp;O7&amp;" is more than Initial Tested Positive  at PNC  &gt; 6 weeks"&amp;CHAR(10),""),IF(P194&gt;P173," * Initial Start HAART at PNC  &gt; 6 weeks for Age "&amp;P6&amp;" "&amp;P7&amp;" is more than Initial Tested Positive  at PNC  &gt; 6 weeks"&amp;CHAR(10),""),IF(Q194&gt;Q173," * Initial Start HAART at PNC  &gt; 6 weeks for Age "&amp;P6&amp;" "&amp;Q7&amp;" is more than Initial Tested Positive  at PNC  &gt; 6 weeks"&amp;CHAR(10),""),IF(R194&gt;R173," * Initial Start HAART at PNC  &gt; 6 weeks for Age "&amp;R6&amp;" "&amp;R7&amp;" is more than Initial Tested Positive  at PNC  &gt; 6 weeks"&amp;CHAR(10),""),IF(S194&gt;S173," * Initial Start HAART at PNC  &gt; 6 weeks for Age "&amp;R6&amp;" "&amp;S7&amp;" is more than Initial Tested Positive  at PNC  &gt; 6 weeks"&amp;CHAR(10),""),IF(T194&gt;T173," * Initial Start HAART at PNC  &gt; 6 weeks for Age "&amp;T6&amp;" "&amp;T7&amp;" is more than Initial Tested Positive  at PNC  &gt; 6 weeks"&amp;CHAR(10),""),IF(U194&gt;U173," * Initial Start HAART at PNC  &gt; 6 weeks for Age "&amp;T6&amp;" "&amp;U7&amp;" is more than Initial Tested Positive  at PNC  &gt; 6 weeks"&amp;CHAR(10),""),IF(V194&gt;V173," * Initial Start HAART at PNC  &gt; 6 weeks for Age "&amp;V6&amp;" "&amp;V7&amp;" is more than Initial Tested Positive  at PNC  &gt; 6 weeks"&amp;CHAR(10),""),IF(W194&gt;W173," * Initial Start HAART at PNC  &gt; 6 weeks for Age "&amp;V6&amp;" "&amp;W7&amp;" is more than Initial Tested Positive  at PNC  &gt; 6 weeks"&amp;CHAR(10),""),IF(X194&gt;X173," * Initial Start HAART at PNC  &gt; 6 weeks for Age "&amp;X6&amp;" "&amp;X7&amp;" is more than Initial Tested Positive  at PNC  &gt; 6 weeks"&amp;CHAR(10),""),IF(Y194&gt;Y173," * Initial Start HAART at PNC  &gt; 6 weeks for Age "&amp;X6&amp;" "&amp;Y7&amp;" is more than Initial Tested Positive  at PNC  &gt; 6 weeks"&amp;CHAR(10),""),IF(Z194&gt;Z173," * Initial Start HAART at PNC  &gt; 6 weeks for Age "&amp;Z6&amp;" "&amp;Z7&amp;" is more than Initial Tested Positive  at PNC  &gt; 6 weeks"&amp;CHAR(10),""),IF(AA194&gt;AA173," * Initial Start HAART at PNC  &gt; 6 weeks for Age "&amp;Z6&amp;" "&amp;AA7&amp;" is more than Initial Tested Positive  at PNC  &gt; 6 weeks"&amp;CHAR(10),""))</f>
        <v/>
      </c>
      <c r="AL194" s="826"/>
      <c r="AM194" s="114"/>
      <c r="AN194" s="820"/>
      <c r="AO194" s="283">
        <v>239</v>
      </c>
    </row>
    <row r="195" spans="1:45" ht="31.5" thickBot="1">
      <c r="A195" s="936"/>
      <c r="B195" s="290" t="s">
        <v>474</v>
      </c>
      <c r="C195" s="400" t="s">
        <v>475</v>
      </c>
      <c r="D195" s="401"/>
      <c r="E195" s="402"/>
      <c r="F195" s="402"/>
      <c r="G195" s="402"/>
      <c r="H195" s="402"/>
      <c r="I195" s="402"/>
      <c r="J195" s="471"/>
      <c r="K195" s="472"/>
      <c r="L195" s="402"/>
      <c r="M195" s="473"/>
      <c r="N195" s="402"/>
      <c r="O195" s="473"/>
      <c r="P195" s="402"/>
      <c r="Q195" s="473"/>
      <c r="R195" s="402"/>
      <c r="S195" s="473"/>
      <c r="T195" s="402"/>
      <c r="U195" s="473"/>
      <c r="V195" s="402"/>
      <c r="W195" s="473"/>
      <c r="X195" s="402"/>
      <c r="Y195" s="473"/>
      <c r="Z195" s="402"/>
      <c r="AA195" s="234">
        <f t="shared" si="129"/>
        <v>0</v>
      </c>
      <c r="AB195" s="380"/>
      <c r="AC195" s="381"/>
      <c r="AD195" s="360"/>
      <c r="AE195" s="381"/>
      <c r="AF195" s="360"/>
      <c r="AG195" s="381"/>
      <c r="AH195" s="397"/>
      <c r="AI195" s="773"/>
      <c r="AJ195" s="670">
        <f t="shared" si="130"/>
        <v>0</v>
      </c>
      <c r="AK195" s="274" t="str">
        <f>CONCATENATE(IF(D195&gt;D175," * Retest Start HAART at PNC &gt; 6 weeks to 6 months for Age "&amp;D7&amp;" "&amp;D8&amp;" is more than  Retesting positive result at PNC &gt; 6 weeks to 6 months"&amp;CHAR(10),""),IF(E195&gt;E175," * Retest Start HAART at PNC &gt; 6 weeks to 6 months for Age "&amp;D7&amp;" "&amp;E8&amp;" is more than  Retesting positive result at PNC &gt; 6 weeks to 6 months"&amp;CHAR(10),""),IF(F195&gt;F175," * Retest Start HAART at PNC &gt; 6 weeks to 6 months for Age "&amp;F7&amp;" "&amp;F8&amp;" is more than  Retesting positive result at PNC &gt; 6 weeks to 6 months"&amp;CHAR(10),""),IF(G195&gt;G175," * Retest Start HAART at PNC &gt; 6 weeks to 6 months for Age "&amp;F7&amp;" "&amp;G8&amp;" is more than  Retesting positive result at PNC &gt; 6 weeks to 6 months"&amp;CHAR(10),""),IF(H195&gt;H175," * Retest Start HAART at PNC &gt; 6 weeks to 6 months for Age "&amp;H7&amp;" "&amp;H8&amp;" is more than  Retesting positive result at PNC &gt; 6 weeks to 6 months"&amp;CHAR(10),""),IF(I195&gt;I175," * Retest Start HAART at PNC &gt; 6 weeks to 6 months for Age "&amp;H7&amp;" "&amp;I8&amp;" is more than  Retesting positive result at PNC &gt; 6 weeks to 6 months"&amp;CHAR(10),""),IF(J195&gt;J175," * Retest Start HAART at PNC &gt; 6 weeks to 6 months for Age "&amp;J7&amp;" "&amp;J8&amp;" is more than  Retesting positive result at PNC &gt; 6 weeks to 6 months"&amp;CHAR(10),""),IF(K195&gt;K175," * Retest Start HAART at PNC &gt; 6 weeks to 6 months for Age "&amp;J7&amp;" "&amp;K8&amp;" is more than  Retesting positive result at PNC &gt; 6 weeks to 6 months"&amp;CHAR(10),""),IF(L195&gt;L175," * Retest Start HAART at PNC &gt; 6 weeks to 6 months for Age "&amp;L7&amp;" "&amp;L8&amp;" is more than  Retesting positive result at PNC &gt; 6 weeks to 6 months"&amp;CHAR(10),""),IF(M195&gt;M175," * Retest Start HAART at PNC &gt; 6 weeks to 6 months for Age "&amp;L7&amp;" "&amp;M8&amp;" is more than  Retesting positive result at PNC &gt; 6 weeks to 6 months"&amp;CHAR(10),""),IF(N195&gt;N175," * Retest Start HAART at PNC &gt; 6 weeks to 6 months for Age "&amp;N7&amp;" "&amp;N8&amp;" is more than  Retesting positive result at PNC &gt; 6 weeks to 6 months"&amp;CHAR(10),""),IF(O195&gt;O175," * Retest Start HAART at PNC &gt; 6 weeks to 6 months for Age "&amp;N7&amp;" "&amp;O8&amp;" is more than  Retesting positive result at PNC &gt; 6 weeks to 6 months"&amp;CHAR(10),""),IF(P195&gt;P175," * Retest Start HAART at PNC &gt; 6 weeks to 6 months for Age "&amp;P7&amp;" "&amp;P8&amp;" is more than  Retesting positive result at PNC &gt; 6 weeks to 6 months"&amp;CHAR(10),""),IF(Q195&gt;Q175," * Retest Start HAART at PNC &gt; 6 weeks to 6 months for Age "&amp;P7&amp;" "&amp;Q8&amp;" is more than  Retesting positive result at PNC &gt; 6 weeks to 6 months"&amp;CHAR(10),""),IF(R195&gt;R175," * Retest Start HAART at PNC &gt; 6 weeks to 6 months for Age "&amp;R7&amp;" "&amp;R8&amp;" is more than  Retesting positive result at PNC &gt; 6 weeks to 6 months"&amp;CHAR(10),""),IF(S195&gt;S175," * Retest Start HAART at PNC &gt; 6 weeks to 6 months for Age "&amp;R7&amp;" "&amp;S8&amp;" is more than  Retesting positive result at PNC &gt; 6 weeks to 6 months"&amp;CHAR(10),""),IF(T195&gt;T175," * Retest Start HAART at PNC &gt; 6 weeks to 6 months for Age "&amp;T7&amp;" "&amp;T8&amp;" is more than  Retesting positive result at PNC &gt; 6 weeks to 6 months"&amp;CHAR(10),""),IF(U195&gt;U175," * Retest Start HAART at PNC &gt; 6 weeks to 6 months for Age "&amp;T7&amp;" "&amp;U8&amp;" is more than  Retesting positive result at PNC &gt; 6 weeks to 6 months"&amp;CHAR(10),""),IF(V195&gt;V175," * Retest Start HAART at PNC &gt; 6 weeks to 6 months for Age "&amp;V7&amp;" "&amp;V8&amp;" is more than  Retesting positive result at PNC &gt; 6 weeks to 6 months"&amp;CHAR(10),""),IF(W195&gt;W175," * Retest Start HAART at PNC &gt; 6 weeks to 6 months for Age "&amp;V7&amp;" "&amp;W8&amp;" is more than  Retesting positive result at PNC &gt; 6 weeks to 6 months"&amp;CHAR(10),""),IF(X195&gt;X175," * Retest Start HAART at PNC &gt; 6 weeks to 6 months for Age "&amp;X7&amp;" "&amp;X8&amp;" is more than  Retesting positive result at PNC &gt; 6 weeks to 6 months"&amp;CHAR(10),""),IF(Y195&gt;Y175," * Retest Start HAART at PNC &gt; 6 weeks to 6 months for Age "&amp;X7&amp;" "&amp;Y8&amp;" is more than  Retesting positive result at PNC &gt; 6 weeks to 6 months"&amp;CHAR(10),""),IF(Z195&gt;Z175," * Retest Start HAART at PNC &gt; 6 weeks to 6 months for Age "&amp;Z7&amp;" "&amp;Z8&amp;" is more than  Retesting positive result at PNC &gt; 6 weeks to 6 months"&amp;CHAR(10),""),IF(AA195&gt;AA175," * Retest Start HAART at PNC &gt; 6 weeks to 6 months for Age "&amp;Z7&amp;" "&amp;AA8&amp;" is more than  Retesting positive result at PNC &gt; 6 weeks to 6 months"&amp;CHAR(10),""))</f>
        <v/>
      </c>
      <c r="AL195" s="827"/>
      <c r="AM195" s="114"/>
      <c r="AN195" s="821"/>
      <c r="AO195" s="283">
        <v>239</v>
      </c>
    </row>
    <row r="196" spans="1:45" ht="31.5" thickBot="1">
      <c r="A196" s="1019" t="s">
        <v>476</v>
      </c>
      <c r="B196" s="1020"/>
      <c r="C196" s="1020"/>
      <c r="D196" s="1020"/>
      <c r="E196" s="1020"/>
      <c r="F196" s="1020"/>
      <c r="G196" s="1020"/>
      <c r="H196" s="1020"/>
      <c r="I196" s="1020"/>
      <c r="J196" s="1020"/>
      <c r="K196" s="1020"/>
      <c r="L196" s="1020"/>
      <c r="M196" s="1020"/>
      <c r="N196" s="1020"/>
      <c r="O196" s="1020"/>
      <c r="P196" s="1020"/>
      <c r="Q196" s="1020"/>
      <c r="R196" s="1020"/>
      <c r="S196" s="1020"/>
      <c r="T196" s="1020"/>
      <c r="U196" s="1020"/>
      <c r="V196" s="1020"/>
      <c r="W196" s="1020"/>
      <c r="X196" s="1020"/>
      <c r="Y196" s="1020"/>
      <c r="Z196" s="1020"/>
      <c r="AA196" s="1020"/>
      <c r="AB196" s="1020"/>
      <c r="AC196" s="1020"/>
      <c r="AD196" s="1020"/>
      <c r="AE196" s="1020"/>
      <c r="AF196" s="1020"/>
      <c r="AG196" s="1020"/>
      <c r="AH196" s="1020"/>
      <c r="AI196" s="372"/>
      <c r="AJ196" s="326"/>
      <c r="AK196" s="327"/>
      <c r="AL196" s="325"/>
      <c r="AM196" s="392"/>
      <c r="AN196" s="325"/>
      <c r="AO196" s="283"/>
    </row>
    <row r="197" spans="1:45" ht="26.25" customHeight="1">
      <c r="A197" s="937" t="s">
        <v>969</v>
      </c>
      <c r="B197" s="22" t="s">
        <v>478</v>
      </c>
      <c r="C197" s="174" t="s">
        <v>479</v>
      </c>
      <c r="D197" s="169"/>
      <c r="E197" s="170"/>
      <c r="F197" s="170"/>
      <c r="G197" s="170"/>
      <c r="H197" s="170"/>
      <c r="I197" s="170"/>
      <c r="J197" s="354"/>
      <c r="K197" s="222"/>
      <c r="L197" s="170"/>
      <c r="M197" s="222"/>
      <c r="N197" s="170"/>
      <c r="O197" s="222"/>
      <c r="P197" s="170"/>
      <c r="Q197" s="222"/>
      <c r="R197" s="170"/>
      <c r="S197" s="222"/>
      <c r="T197" s="170"/>
      <c r="U197" s="222"/>
      <c r="V197" s="170"/>
      <c r="W197" s="222"/>
      <c r="X197" s="170"/>
      <c r="Y197" s="222"/>
      <c r="Z197" s="329"/>
      <c r="AA197" s="329"/>
      <c r="AB197" s="329"/>
      <c r="AC197" s="170"/>
      <c r="AD197" s="170"/>
      <c r="AE197" s="170"/>
      <c r="AF197" s="170"/>
      <c r="AG197" s="170"/>
      <c r="AH197" s="509"/>
      <c r="AI197" s="331"/>
      <c r="AJ197" s="221">
        <f t="shared" si="130"/>
        <v>0</v>
      </c>
      <c r="AK197" s="510" t="str">
        <f>CONCATENATE(IF(D197&gt;SUM(D153,D161,D151,D163)," * Infant Prophylaxis ANC for Age "&amp;D6&amp;" "&amp;D7&amp;" is more than Positive at ANC (F06-02+F06-04+F06-06+F06-062)"&amp;CHAR(10),""),IF(E197&gt;SUM(E153,E161,E151,E163)," * Infant Prophylaxis ANC  for Age "&amp;D6&amp;" "&amp;E7&amp;" is more than Positive at ANC (F06-02+F06-04+F06-06+F06-062)"&amp;CHAR(10),""),IF(F197&gt;SUM(F153,F161,F151,F163)," * Infant Prophylaxis ANC  for Age "&amp;F6&amp;" "&amp;F7&amp;" is more than Positive at ANC (F06-02+F06-04+F06-06+F06-062)"&amp;CHAR(10),""),IF(G197&gt;SUM(G153,G161,G151,F163)," * Infant Prophylaxis ANC  for Age "&amp;F6&amp;" "&amp;G7&amp;" is more than Positive at ANC (F06-02+F06-04+F06-06+F06-062)"&amp;CHAR(10),""),IF(H197&gt;SUM(H153,H161,H151)," * Infant Prophylaxis ANC  for Age "&amp;H6&amp;" "&amp;H7&amp;" is more than Positive at ANC (F06-02+F06-04+F06-06+F06-062)"&amp;CHAR(10),""),IF(I197&gt;SUM(I153,I161,I151)," * Infant Prophylaxis ANC  for Age "&amp;H6&amp;" "&amp;I7&amp;" is more than Positive at ANC (F06-02+F06-04+F06-06+F06-062)"&amp;CHAR(10),""),IF(J197&gt;SUM(J153,J161,J151)," * Infant Prophylaxis ANC  for Age "&amp;J6&amp;" "&amp;J7&amp;" is more than Positive at ANC (F06-02+F06-04+F06-06+F06-062)"&amp;CHAR(10),""),IF(K197&gt;SUM(K153,K161,K151,K163)," * Infant Prophylaxis ANC  for Age "&amp;J6&amp;" "&amp;K7&amp;" is more than Positive at ANC (F06-02+F06-04+F06-06+F06-062)"&amp;CHAR(10),""),IF(L197&gt;SUM(L153,L161,L151,L163)," * Infant Prophylaxis ANC  for Age "&amp;L6&amp;" "&amp;L7&amp;" is more than Positive at ANC (F06-02+F06-04+F06-06+F06-062)"&amp;CHAR(10),""),IF(M197&gt;SUM(M153,M161,M151,M163)," * Infant Prophylaxis ANC  for Age "&amp;L6&amp;" "&amp;M7&amp;" is more than Positive at ANC (F06-02+F06-04+F06-06+F06-062)"&amp;CHAR(10),""),IF(N197&gt;SUM(N153,N161,N151,N163)," * Infant Prophylaxis ANC  for Age "&amp;N6&amp;" "&amp;N7&amp;" is more than Positive at ANC (F06-02+F06-04+F06-06+F06-062)"&amp;CHAR(10),""),IF(O197&gt;SUM(O153,O161,O151,O163)," * Infant Prophylaxis ANC  for Age "&amp;N6&amp;" "&amp;O7&amp;" is more than Positive at ANC (F06-02+F06-04+F06-06+F06-062)"&amp;CHAR(10),""),IF(P197&gt;SUM(P153,P161,P151,P163)," * Infant Prophylaxis ANC  for Age "&amp;P6&amp;" "&amp;P7&amp;" is more than Positive at ANC (F06-02+F06-04+F06-06+F06-062)"&amp;CHAR(10),""),IF(Q197&gt;SUM(Q153,Q161,Q151,Q163)," * Infant Prophylaxis ANC  for Age "&amp;P6&amp;" "&amp;Q7&amp;" is more than Positive at ANC (F06-02+F06-04+F06-06+F06-062)"&amp;CHAR(10),""),IF(R197&gt;SUM(R153,R161,R151,R163)," * Infant Prophylaxis ANC  for Age "&amp;R6&amp;" "&amp;R7&amp;" is more than Positive at ANC (F06-02+F06-04+F06-06+F06-062)"&amp;CHAR(10),""),IF(S197&gt;SUM(S153,S161,S151,S163)," * Infant Prophylaxis ANC  for Age "&amp;R6&amp;" "&amp;S7&amp;" is more than Positive at ANC (F06-02+F06-04+F06-06+F06-062)"&amp;CHAR(10),""),IF(T197&gt;SUM(T153,T161,T151,T163)," * Infant Prophylaxis ANC  for Age "&amp;T6&amp;" "&amp;T7&amp;" is more than Positive at ANC (F06-02+F06-04+F06-06+F06-062)"&amp;CHAR(10),""),IF(U197&gt;SUM(U153,U161,U151,U163)," * Infant Prophylaxis ANC  for Age "&amp;T6&amp;" "&amp;U7&amp;" is more than Positive at ANC (F06-02+F06-04+F06-06+F06-062)"&amp;CHAR(10),""),IF(V197&gt;SUM(V153,V161,V151,V163)," * Infant Prophylaxis ANC  for Age "&amp;V6&amp;" "&amp;V7&amp;" is more than Positive at ANC (F06-02+F06-04+F06-06+F06-062)"&amp;CHAR(10),""),IF(W197&gt;SUM(W153,W161,W151,W163)," * Infant Prophylaxis ANC  for Age "&amp;V6&amp;" "&amp;W7&amp;" is more than Positive at ANC (F06-02+F06-04+F06-06+F06-062)"&amp;CHAR(10),""),IF(X197&gt;SUM(X153,X161,X151,X163)," * Infant Prophylaxis ANC  for Age "&amp;X6&amp;" "&amp;X7&amp;" is more than Positive at ANC (F06-02+F06-04+F06-06+F06-062)"&amp;CHAR(10),""),IF(Y197&gt;SUM(Y153,Y161,Y151,Y163)," * Infant Prophylaxis ANC  for Age "&amp;X6&amp;" "&amp;Y7&amp;" is more than Positive at ANC (F06-02+F06-04+F06-06+F06-062)"&amp;CHAR(10),""),IF(Z197&gt;SUM(Z153,Z161,Z151,Z163)," * Infant Prophylaxis ANC  for Age "&amp;Z6&amp;" "&amp;Z7&amp;" is more than Positive at ANC (F06-02+F06-04+F06-06+F06-062)"&amp;CHAR(10),""),IF(AA197&gt;SUM(AA153,AA161,AA151,AA163)," * Infant Prophylaxis ANC  for Age "&amp;Z6&amp;" "&amp;AA7&amp;" is more than Positive at ANC (F06-02+F06-04+F06-06+F06-062)"&amp;CHAR(10),""))</f>
        <v/>
      </c>
      <c r="AL197" s="825"/>
      <c r="AM197" s="114" t="str">
        <f>CONCATENATE(IF(D197&lt;SUM(D153,D151,D161,D163)," * Sum of (KP at 1st ANC +New positive at ANC1 + New positive at ANC2 or More+Retesting positive Result at ANC2 or More) for Age "&amp;D6&amp;" "&amp;D7&amp;" is greater than Infant Prophylaxis ANC"&amp;CHAR(10),""),IF(E197&lt;SUM(E153,E151,E161,E163)," * Sum of (KP at 1st ANC +New positive at ANC1 + New positive at ANC2 or More+Retesting positive Result at ANC2 or More) for Age "&amp;D6&amp;" "&amp;E7&amp;" is greater than Infant Prophylaxis ANC"&amp;CHAR(10),""),IF(F197&lt;SUM(F153,F151,F161,F163)," * Sum of (KP at 1st ANC +New positive at ANC1 + New positive at ANC2 or More+Retesting positive Result at ANC2 or More) for Age "&amp;F6&amp;" "&amp;F7&amp;" is greater than Infant Prophylaxis ANC"&amp;CHAR(10),""),IF(G197&lt;SUM(G153,G151,G161,G163)," * Sum of (KP at 1st ANC +New positive at ANC1 + New positive at ANC2 or More+Retesting positive Result at ANC2 or More) for Age "&amp;F6&amp;" "&amp;G7&amp;" is greater than Infant Prophylaxis ANC"&amp;CHAR(10),""),IF(H197&lt;SUM(H153,H151,H161,H163)," * Sum of (KP at 1st ANC +New positive at ANC1 + New positive at ANC2 or More+Retesting positive Result at ANC2 or More) for Age "&amp;H6&amp;" "&amp;H7&amp;" is greater than Infant Prophylaxis ANC"&amp;CHAR(10),""),IF(I197&lt;SUM(I153,I151,I161,I163)," * Sum of (KP at 1st ANC +New positive at ANC1 + New positive at ANC2 or More+Retesting positive Result at ANC2 or More) for Age "&amp;H6&amp;" "&amp;I7&amp;" is greater than Infant Prophylaxis ANC"&amp;CHAR(10),""),IF(J197&lt;SUM(J153,J151,J161,J163)," * Sum of (KP at 1st ANC +New positive at ANC1 + New positive at ANC2 or More+Retesting positive Result at ANC2 or More) for Age "&amp;J6&amp;" "&amp;J7&amp;" is greater than Infant Prophylaxis ANC"&amp;CHAR(10),""),IF(K197&lt;SUM(K153,K151,K161,K163)," * Sum of (KP at 1st ANC +New positive at ANC1 + New positive at ANC2 or More+Retesting positive Result at ANC2 or More) for Age "&amp;J6&amp;" "&amp;K7&amp;" is greater than Infant Prophylaxis ANC"&amp;CHAR(10),""),IF(L197&lt;SUM(L153,L151,L161,L163)," * Sum of (KP at 1st ANC +New positive at ANC1 + New positive at ANC2 or More+Retesting positive Result at ANC2 or More) for Age "&amp;L6&amp;" "&amp;L7&amp;" is greater than Infant Prophylaxis ANC"&amp;CHAR(10),""),IF(M197&lt;SUM(M153,M151,M161,M163)," * Sum of (KP at 1st ANC +New positive at ANC1 + New positive at ANC2 or More+Retesting positive Result at ANC2 or More) for Age "&amp;L6&amp;" "&amp;M7&amp;" is greater than Infant Prophylaxis ANC"&amp;CHAR(10),""),IF(N197&lt;SUM(N153,N151,N161,N163)," * Sum of (KP at 1st ANC +New positive at ANC1 + New positive at ANC2 or More+Retesting positive Result at ANC2 or More) for Age "&amp;N6&amp;" "&amp;N7&amp;" is greater than Infant Prophylaxis ANC"&amp;CHAR(10),""),IF(O197&lt;SUM(O153,O151,O161,O163)," * Sum of (KP at 1st ANC +New positive at ANC1 + New positive at ANC2 or More+Retesting positive Result at ANC2 or More) for Age "&amp;N6&amp;" "&amp;O7&amp;" is greater than Infant Prophylaxis ANC"&amp;CHAR(10),""),IF(P197&lt;SUM(P153,P151,P161,P163)," * Sum of (KP at 1st ANC +New positive at ANC1 + New positive at ANC2 or More+Retesting positive Result at ANC2 or More) for Age "&amp;P6&amp;" "&amp;P7&amp;" is greater than Infant Prophylaxis ANC"&amp;CHAR(10),""),IF(Q197&lt;SUM(Q153,Q151,Q161,Q163)," * Sum of (KP at 1st ANC +New positive at ANC1 + New positive at ANC2 or More+Retesting positive Result at ANC2 or More) for Age "&amp;P6&amp;" "&amp;Q7&amp;" is greater than Infant Prophylaxis ANC"&amp;CHAR(10),""),IF(R197&lt;SUM(R153,R151,R161,R163)," * Sum of (KP at 1st ANC +New positive at ANC1 + New positive at ANC2 or More+Retesting positive Result at ANC2 or More) for Age "&amp;R6&amp;" "&amp;R7&amp;" is greater than Infant Prophylaxis ANC"&amp;CHAR(10),""),IF(S197&lt;SUM(S153,S151,S161,S163)," * Sum of (KP at 1st ANC +New positive at ANC1 + New positive at ANC2 or More+Retesting positive Result at ANC2 or More) for Age "&amp;R6&amp;" "&amp;S7&amp;" is greater than Infant Prophylaxis ANC"&amp;CHAR(10),""),IF(T197&lt;SUM(T153,T151,T161&lt;T163)," * Sum of (KP at 1st ANC +New positive at ANC1 + New positive at ANC2 or More+Retesting positive Result at ANC2 or More) for Age "&amp;T6&amp;" "&amp;T7&amp;" is greater than Infant Prophylaxis ANC"&amp;CHAR(10),""),IF(U197&lt;SUM(U153,U151,U161,U163)," * Sum of (KP at 1st ANC +New positive at ANC1 + New positive at ANC2 or More+Retesting positive Result at ANC2 or More) for Age "&amp;T6&amp;" "&amp;U7&amp;" is greater than Infant Prophylaxis ANC"&amp;CHAR(10),""),IF(V197&lt;SUM(V153,V151,V161,V163)," * Sum of (KP at 1st ANC +New positive at ANC1 + New positive at ANC2 or More+Retesting positive Result at ANC2 or More) for Age "&amp;V6&amp;" "&amp;V7&amp;" is greater than Infant Prophylaxis ANC"&amp;CHAR(10),""),IF(W197&lt;SUM(W153,W151,W161,W163)," * Sum of (KP at 1st ANC +New positive at ANC1 + New positive at ANC2 or More+Retesting positive Result at ANC2 or More) for Age "&amp;V6&amp;" "&amp;W7&amp;" is greater than Infant Prophylaxis ANC"&amp;CHAR(10),""),IF(X197&lt;SUM(X153,X151,X161,X163)," * Sum of (KP at 1st ANC +New positive at ANC1 + New positive at ANC2 or More+Retesting positive Result at ANC2 or More) for Age "&amp;X6&amp;" "&amp;X7&amp;" is greater than Infant Prophylaxis ANC"&amp;CHAR(10),""),IF(Y197&lt;SUM(Y153,Y151,Y161,Y163)," * Sum of (KP at 1st ANC +New positive at ANC1 + New positive at ANC2 or More+Retesting positive Result at ANC2 or More) for Age "&amp;X6&amp;" "&amp;Y7&amp;" is greater than Infant Prophylaxis ANC"&amp;CHAR(10),""),IF(Z197&lt;SUM(Z153,Z151,Z161,Z163)," * Sum of (KP at 1st ANC +New positive at ANC1 + New positive at ANC2 or More+Retesting positive Result at ANC2 or More) for Age "&amp;Z6&amp;" "&amp;Z7&amp;" is greater than Infant Prophylaxis ANC"&amp;CHAR(10),""),IF(AA197&lt;SUM(AA153,AA151,AA161,AA163)," * Sum of (KP at 1st ANC +New positive at ANC1 + New positive at ANC2 or More+Retesting positive Result at ANC2 or More) for Age "&amp;Z6&amp;" "&amp;AA7&amp;" is greater than Infant Prophylaxis ANC"&amp;CHAR(10),""))</f>
        <v/>
      </c>
      <c r="AN197" s="819" t="str">
        <f>CONCATENATE(AM197,AM198,AM199,AM200,AM201)</f>
        <v/>
      </c>
      <c r="AO197" s="283">
        <v>241</v>
      </c>
    </row>
    <row r="198" spans="1:45">
      <c r="A198" s="938"/>
      <c r="B198" s="403" t="s">
        <v>482</v>
      </c>
      <c r="C198" s="404" t="s">
        <v>483</v>
      </c>
      <c r="D198" s="405"/>
      <c r="E198" s="399"/>
      <c r="F198" s="399"/>
      <c r="G198" s="399"/>
      <c r="H198" s="399"/>
      <c r="I198" s="399"/>
      <c r="J198" s="468"/>
      <c r="K198" s="230"/>
      <c r="L198" s="332"/>
      <c r="M198" s="230"/>
      <c r="N198" s="332"/>
      <c r="O198" s="230"/>
      <c r="P198" s="332"/>
      <c r="Q198" s="230"/>
      <c r="R198" s="332"/>
      <c r="S198" s="230"/>
      <c r="T198" s="332"/>
      <c r="U198" s="230"/>
      <c r="V198" s="332"/>
      <c r="W198" s="230"/>
      <c r="X198" s="332"/>
      <c r="Y198" s="230"/>
      <c r="Z198" s="395"/>
      <c r="AA198" s="399"/>
      <c r="AB198" s="395"/>
      <c r="AC198" s="399"/>
      <c r="AD198" s="399"/>
      <c r="AE198" s="399"/>
      <c r="AF198" s="399"/>
      <c r="AG198" s="399"/>
      <c r="AH198" s="511"/>
      <c r="AI198" s="331"/>
      <c r="AJ198" s="221">
        <f t="shared" si="130"/>
        <v>0</v>
      </c>
      <c r="AK198" s="512"/>
      <c r="AL198" s="826"/>
      <c r="AM198" s="114"/>
      <c r="AN198" s="820"/>
      <c r="AO198" s="283"/>
    </row>
    <row r="199" spans="1:45">
      <c r="A199" s="939"/>
      <c r="B199" s="26" t="s">
        <v>485</v>
      </c>
      <c r="C199" s="27" t="s">
        <v>486</v>
      </c>
      <c r="D199" s="406"/>
      <c r="E199" s="332"/>
      <c r="F199" s="332"/>
      <c r="G199" s="332"/>
      <c r="H199" s="332"/>
      <c r="I199" s="332"/>
      <c r="J199" s="355"/>
      <c r="K199" s="230"/>
      <c r="L199" s="332"/>
      <c r="M199" s="157"/>
      <c r="N199" s="332"/>
      <c r="O199" s="157"/>
      <c r="P199" s="332"/>
      <c r="Q199" s="157"/>
      <c r="R199" s="332"/>
      <c r="S199" s="157"/>
      <c r="T199" s="332"/>
      <c r="U199" s="157"/>
      <c r="V199" s="332"/>
      <c r="W199" s="157"/>
      <c r="X199" s="332"/>
      <c r="Y199" s="157"/>
      <c r="Z199" s="395"/>
      <c r="AA199" s="399"/>
      <c r="AB199" s="395"/>
      <c r="AC199" s="399"/>
      <c r="AD199" s="399"/>
      <c r="AE199" s="399"/>
      <c r="AF199" s="399"/>
      <c r="AG199" s="399"/>
      <c r="AH199" s="511"/>
      <c r="AI199" s="331"/>
      <c r="AJ199" s="221">
        <f t="shared" si="130"/>
        <v>0</v>
      </c>
      <c r="AK199" s="512" t="str">
        <f>CONCATENATE(IF(D199&gt;(D165+D167)," * Infant Prophylaxis LD for Age "&amp;D6&amp;" "&amp;D7&amp;" is more than Initial LD Positive + Retest LD positive"&amp;CHAR(10),""),IF(E199&gt;(E165+E167)," * Infant Prophylaxis LD for Age "&amp;D6&amp;" "&amp;E7&amp;" is more than Initial LD Positive + Retest LD positive"&amp;CHAR(10),""),IF(F199&gt;(F165+F167)," * Infant Prophylaxis LD for Age "&amp;F6&amp;" "&amp;F7&amp;" is more than Initial LD Positive + Retest LD positive"&amp;CHAR(10),""),IF(G199&gt;(G165+G167)," * Infant Prophylaxis LD for Age "&amp;F6&amp;" "&amp;G7&amp;" is more than Initial LD Positive + Retest LD positive"&amp;CHAR(10),""),IF(H199&gt;(H165+H167)," * Infant Prophylaxis LD for Age "&amp;H6&amp;" "&amp;H7&amp;" is more than Initial LD Positive + Retest LD positive"&amp;CHAR(10),""),IF(I199&gt;(I165+I167)," * Infant Prophylaxis LD for Age "&amp;H6&amp;" "&amp;I7&amp;" is more than Initial LD Positive + Retest LD positive"&amp;CHAR(10),""),IF(J199&gt;(J165+J167)," * Infant Prophylaxis LD for Age "&amp;J6&amp;" "&amp;J7&amp;" is more than Initial LD Positive + Retest LD positive"&amp;CHAR(10),""),IF(K199&gt;(K165+K167)," * Infant Prophylaxis LD for Age "&amp;J6&amp;" "&amp;K7&amp;" is more than Initial LD Positive + Retest LD positive"&amp;CHAR(10),""),IF(L199&gt;(L165+L167)," * Infant Prophylaxis LD for Age "&amp;L6&amp;" "&amp;L7&amp;" is more than Initial LD Positive + Retest LD positive"&amp;CHAR(10),""),IF(M199&gt;(M165+M167)," * Infant Prophylaxis LD for Age "&amp;L6&amp;" "&amp;M7&amp;" is more than Initial LD Positive + Retest LD positive"&amp;CHAR(10),""),IF(N199&gt;(N165+N167)," * Infant Prophylaxis LD for Age "&amp;N6&amp;" "&amp;N7&amp;" is more than Initial LD Positive + Retest LD positive"&amp;CHAR(10),""),IF(O199&gt;(O165+O167)," * Infant Prophylaxis LD for Age "&amp;N6&amp;" "&amp;O7&amp;" is more than Initial LD Positive + Retest LD positive"&amp;CHAR(10),""),IF(P199&gt;(P165+P167)," * Infant Prophylaxis LD for Age "&amp;P6&amp;" "&amp;P7&amp;" is more than Initial LD Positive + Retest LD positive"&amp;CHAR(10),""),IF(Q199&gt;(Q165+Q167)," * Infant Prophylaxis LD for Age "&amp;P6&amp;" "&amp;Q7&amp;" is more than Initial LD Positive + Retest LD positive"&amp;CHAR(10),""),IF(R199&gt;(R165+R167)," * Infant Prophylaxis LD for Age "&amp;R6&amp;" "&amp;R7&amp;" is more than Initial LD Positive + Retest LD positive"&amp;CHAR(10),""),IF(S199&gt;(S165+S167)," * Infant Prophylaxis LD for Age "&amp;R6&amp;" "&amp;S7&amp;" is more than Initial LD Positive + Retest LD positive"&amp;CHAR(10),""),IF(T199&gt;(T165+T167)," * Infant Prophylaxis LD for Age "&amp;T6&amp;" "&amp;T7&amp;" is more than Initial LD Positive + Retest LD positive"&amp;CHAR(10),""),IF(U199&gt;(U165+U167)," * Infant Prophylaxis LD for Age "&amp;T6&amp;" "&amp;U7&amp;" is more than Initial LD Positive + Retest LD positive"&amp;CHAR(10),""),IF(V199&gt;(V165+V167)," * Infant Prophylaxis LD for Age "&amp;V6&amp;" "&amp;V7&amp;" is more than Initial LD Positive + Retest LD positive"&amp;CHAR(10),""),IF(W199&gt;(W165+W167)," * Infant Prophylaxis LD for Age "&amp;V6&amp;" "&amp;W7&amp;" is more than Initial LD Positive + Retest LD positive"&amp;CHAR(10),""),IF(X199&gt;X165," * Infant Prophylaxis LD for Age "&amp;X6&amp;" "&amp;X7&amp;" is more than Initial LD Positive + Retest LD positive"&amp;CHAR(10),""),IF(Y199&gt;(Y165+Y167)," * Infant Prophylaxis LD for Age "&amp;X6&amp;" "&amp;Y7&amp;" is more than Initial LD Positive + Retest LD positive"&amp;CHAR(10),""),IF(Z199&gt;(Z165+Z167)," * Infant Prophylaxis LD for Age "&amp;Z6&amp;" "&amp;Z7&amp;" is more than Initial LD Positive + Retest LD positive"&amp;CHAR(10),""),IF(AA199&gt;(AA165+AA167)," * Infant Prophylaxis LD for Age "&amp;Z6&amp;" "&amp;AA7&amp;" is more than Initial LD Positive + Retest LD positive"&amp;CHAR(10),""),IF(AJ199&gt;(AJ165+AJ167)," * Total Infant Prophylaxis LD is more than Total Initial LD Positive + Retest LD positive"&amp;CHAR(10),""))</f>
        <v/>
      </c>
      <c r="AL199" s="826"/>
      <c r="AM199" s="113" t="str">
        <f>CONCATENATE(IF(D199&lt;(D165+D167)," * Infant Prophylaxis LD for Age "&amp;D6&amp;" "&amp;D7&amp;" is less than Initial LD Positive + Retest LD positive"&amp;CHAR(10),""),IF(E199&lt;(E165+E167)," * Infant Prophylaxis LD for Age "&amp;D6&amp;" "&amp;E7&amp;" is less than Initial LD Positive + Retest LD positive"&amp;CHAR(10),""),IF(F199&lt;(F165+F167)," * Infant Prophylaxis LD for Age "&amp;F6&amp;" "&amp;F7&amp;" is less than Initial LD Positive + Retest LD positive"&amp;CHAR(10),""),IF(G199&lt;(G165+G167)," * Infant Prophylaxis LD for Age "&amp;F6&amp;" "&amp;G7&amp;" is less than Initial LD Positive + Retest LD positive"&amp;CHAR(10),""),IF(H199&lt;(H165+H167)," * Infant Prophylaxis LD for Age "&amp;H6&amp;" "&amp;H7&amp;" is less than Initial LD Positive + Retest LD positive"&amp;CHAR(10),""),IF(I199&lt;(I165+I167)," * Infant Prophylaxis LD for Age "&amp;H6&amp;" "&amp;I7&amp;" is less than Initial LD Positive + Retest LD positive"&amp;CHAR(10),""),IF(J199&lt;(J165+J167)," * Infant Prophylaxis LD for Age "&amp;J6&amp;" "&amp;J7&amp;" is less than Initial LD Positive + Retest LD positive"&amp;CHAR(10),""),IF(K199&lt;(K165+K167)," * Infant Prophylaxis LD for Age "&amp;J6&amp;" "&amp;K7&amp;" is less than Initial LD Positive + Retest LD positive"&amp;CHAR(10),""),IF(L199&lt;(L165+L167)," * Infant Prophylaxis LD for Age "&amp;L6&amp;" "&amp;L7&amp;" is less than Initial LD Positive + Retest LD positive"&amp;CHAR(10),""),IF(M199&lt;(M165+M167)," * Infant Prophylaxis LD for Age "&amp;L6&amp;" "&amp;M7&amp;" is less than Initial LD Positive + Retest LD positive"&amp;CHAR(10),""),IF(N199&lt;(N165+N167)," * Infant Prophylaxis LD for Age "&amp;N6&amp;" "&amp;N7&amp;" is less than Initial LD Positive + Retest LD positive"&amp;CHAR(10),""),IF(O199&lt;(O165+O167)," * Infant Prophylaxis LD for Age "&amp;N6&amp;" "&amp;O7&amp;" is less than Initial LD Positive + Retest LD positive"&amp;CHAR(10),""),IF(P199&lt;(P165+P167)," * Infant Prophylaxis LD for Age "&amp;P6&amp;" "&amp;P7&amp;" is less than Initial LD Positive + Retest LD positive"&amp;CHAR(10),""),IF(Q199&lt;(Q165+Q167)," * Infant Prophylaxis LD for Age "&amp;P6&amp;" "&amp;Q7&amp;" is less than Initial LD Positive + Retest LD positive"&amp;CHAR(10),""),IF(R199&lt;(R165+R167)," * Infant Prophylaxis LD for Age "&amp;R6&amp;" "&amp;R7&amp;" is less than Initial LD Positive + Retest LD positive"&amp;CHAR(10),""),IF(S199&lt;(S165+S167)," * Infant Prophylaxis LD for Age "&amp;R6&amp;" "&amp;S7&amp;" is less than Initial LD Positive + Retest LD positive"&amp;CHAR(10),""),IF(T199&lt;(T165+T167)," * Infant Prophylaxis LD for Age "&amp;T6&amp;" "&amp;T7&amp;" is less than Initial LD Positive + Retest LD positive"&amp;CHAR(10),""),IF(U199&lt;(U165+U167)," * Infant Prophylaxis LD for Age "&amp;T6&amp;" "&amp;U7&amp;" is less than Initial LD Positive + Retest LD positive"&amp;CHAR(10),""),IF(V199&lt;(V165+V167)," * Infant Prophylaxis LD for Age "&amp;V6&amp;" "&amp;V7&amp;" is less than Initial LD Positive + Retest LD positive"&amp;CHAR(10),""),IF(W199&lt;(W165+W167)," * Infant Prophylaxis LD for Age "&amp;V6&amp;" "&amp;W7&amp;" is less than Initial LD Positive + Retest LD positive"&amp;CHAR(10),""),IF(X199&lt;X165," * Infant Prophylaxis LD for Age "&amp;X6&amp;" "&amp;X7&amp;" is less than Initial LD Positive + Retest LD positive"&amp;CHAR(10),""),IF(Y199&lt;(Y165+Y167)," * Infant Prophylaxis LD for Age "&amp;X6&amp;" "&amp;Y7&amp;" is less than Initial LD Positive + Retest LD positive"&amp;CHAR(10),""),IF(Z199&lt;(Z165+Z167)," * Infant Prophylaxis LD for Age "&amp;Z6&amp;" "&amp;Z7&amp;" is less than Initial LD Positive + Retest LD positive"&amp;CHAR(10),""),IF(AA199&lt;(AA165+AA167)," * Infant Prophylaxis LD for Age "&amp;Z6&amp;" "&amp;AA7&amp;" is less than Initial LD Positive + Retest LD positive"&amp;CHAR(10),""),IF(AJ199&lt;(AJ165+AJ167)," * Total Infant Prophylaxis LD is less than Total Initial LD Positive + Retest LD positive"&amp;CHAR(10),""))</f>
        <v/>
      </c>
      <c r="AN199" s="820"/>
      <c r="AO199" s="283">
        <v>242</v>
      </c>
    </row>
    <row r="200" spans="1:45">
      <c r="A200" s="940"/>
      <c r="B200" s="188" t="s">
        <v>489</v>
      </c>
      <c r="C200" s="27" t="s">
        <v>490</v>
      </c>
      <c r="D200" s="406"/>
      <c r="E200" s="332"/>
      <c r="F200" s="332"/>
      <c r="G200" s="332"/>
      <c r="H200" s="332"/>
      <c r="I200" s="332"/>
      <c r="J200" s="355"/>
      <c r="K200" s="230"/>
      <c r="L200" s="332"/>
      <c r="M200" s="157"/>
      <c r="N200" s="332"/>
      <c r="O200" s="157"/>
      <c r="P200" s="332"/>
      <c r="Q200" s="157"/>
      <c r="R200" s="332"/>
      <c r="S200" s="157"/>
      <c r="T200" s="332"/>
      <c r="U200" s="157"/>
      <c r="V200" s="332"/>
      <c r="W200" s="157"/>
      <c r="X200" s="332"/>
      <c r="Y200" s="157"/>
      <c r="Z200" s="395"/>
      <c r="AA200" s="399"/>
      <c r="AB200" s="395"/>
      <c r="AC200" s="399"/>
      <c r="AD200" s="399"/>
      <c r="AE200" s="399"/>
      <c r="AF200" s="399"/>
      <c r="AG200" s="399"/>
      <c r="AH200" s="511"/>
      <c r="AI200" s="331"/>
      <c r="AJ200" s="221">
        <f t="shared" si="130"/>
        <v>0</v>
      </c>
      <c r="AK200" s="513" t="str">
        <f>CONCATENATE(IF(D200&gt;D169+D171," * Infant Prophylaxis PNC &lt; 6 Weeks for Age "&amp;D6&amp;" "&amp;D7&amp;" is more than Positive PNC &lt;= 6 weeks"&amp;CHAR(10),""),IF(E200&gt;E169+E171," * Infant Prophylaxis PNC &lt; 6 Weeks for Age "&amp;D6&amp;" "&amp;E7&amp;" is more than Positive PNC &lt;= 6 weeks"&amp;CHAR(10),""),IF(F200&gt;F169+F171," * Infant Prophylaxis PNC &lt; 6 Weeks for Age "&amp;F6&amp;" "&amp;F7&amp;" is more than Positive PNC &lt;= 6 weeks"&amp;CHAR(10),""),IF(G200&gt;G169+G171," * Infant Prophylaxis PNC &lt; 6 Weeks for Age "&amp;F6&amp;" "&amp;G7&amp;" is more than Positive PNC &lt;= 6 weeks"&amp;CHAR(10),""),IF(H200&gt;H169+H171," * Infant Prophylaxis PNC &lt; 6 Weeks for Age "&amp;H6&amp;" "&amp;H7&amp;" is more than Positive PNC &lt;= 6 weeks"&amp;CHAR(10),""),IF(I200&gt;I169+I171," * Infant Prophylaxis PNC &lt; 6 Weeks for Age "&amp;H6&amp;" "&amp;I7&amp;" is more than Positive PNC &lt;= 6 weeks"&amp;CHAR(10),""),IF(J200&gt;J169+J171," * Infant Prophylaxis PNC &lt; 6 Weeks for Age "&amp;J6&amp;" "&amp;J7&amp;" is more than Positive PNC &lt;= 6 weeks"&amp;CHAR(10),""),IF(K200&gt;K169+K171," * Infant Prophylaxis PNC &lt; 6 Weeks for Age "&amp;J6&amp;" "&amp;K7&amp;" is more than Positive PNC &lt;= 6 weeks"&amp;CHAR(10),""),IF(L200&gt;L169+L171," * Infant Prophylaxis PNC &lt; 6 Weeks for Age "&amp;L6&amp;" "&amp;L7&amp;" is more than Positive PNC &lt;= 6 weeks"&amp;CHAR(10),""),IF(M200&gt;M169+M171," * Infant Prophylaxis PNC &lt; 6 Weeks for Age "&amp;L6&amp;" "&amp;M7&amp;" is more than Positive PNC &lt;= 6 weeks"&amp;CHAR(10),""),IF(N200&gt;N169+N171," * Infant Prophylaxis PNC &lt; 6 Weeks for Age "&amp;N6&amp;" "&amp;N7&amp;" is more than Positive PNC &lt;= 6 weeks"&amp;CHAR(10),""),IF(O200&gt;O169+O171," * Infant Prophylaxis PNC &lt; 6 Weeks for Age "&amp;N6&amp;" "&amp;O7&amp;" is more than Positive PNC &lt;= 6 weeks"&amp;CHAR(10),""),IF(P200&gt;P169+P171," * Infant Prophylaxis PNC &lt; 6 Weeks for Age "&amp;P6&amp;" "&amp;P7&amp;" is more than Positive PNC &lt;= 6 weeks"&amp;CHAR(10),""),IF(Q200&gt;Q169+Q171," * Infant Prophylaxis PNC &lt; 6 Weeks for Age "&amp;P6&amp;" "&amp;Q7&amp;" is more than Positive PNC &lt;= 6 weeks"&amp;CHAR(10),""),IF(R200&gt;R169+R171," * Infant Prophylaxis PNC &lt; 6 Weeks for Age "&amp;R6&amp;" "&amp;R7&amp;" is more than Positive PNC &lt;= 6 weeks"&amp;CHAR(10),""),IF(S200&gt;S169+S171+S171," * Infant Prophylaxis PNC &lt; 6 Weeks for Age "&amp;R6&amp;" "&amp;S7&amp;" is more than Positive PNC &lt;= 6 weeks"&amp;CHAR(10),""),IF(T200&gt;T169+T171," * Infant Prophylaxis PNC &lt; 6 Weeks for Age "&amp;T6&amp;" "&amp;T7&amp;" is more than Positive PNC &lt;= 6 weeks"&amp;CHAR(10),""),IF(U200&gt;U169+U171," * Infant Prophylaxis PNC &lt; 6 Weeks for Age "&amp;T6&amp;" "&amp;U7&amp;" is more than Positive PNC &lt;= 6 weeks"&amp;CHAR(10),""),IF(V200&gt;V169+V171," * Infant Prophylaxis PNC &lt; 6 Weeks for Age "&amp;V6&amp;" "&amp;V7&amp;" is more than Positive PNC &lt;= 6 weeks"&amp;CHAR(10),""),IF(W200&gt;W169+W171," * Infant Prophylaxis PNC &lt; 6 Weeks for Age "&amp;V6&amp;" "&amp;W7&amp;" is more than Positive PNC &lt;= 6 weeks"&amp;CHAR(10),""),IF(X200&gt;X169+X171," * Infant Prophylaxis PNC &lt; 6 Weeks for Age "&amp;X6&amp;" "&amp;X7&amp;" is more than Positive PNC &lt;= 6 weeks"&amp;CHAR(10),""),IF(Y200&gt;Y169+Y171," * Infant Prophylaxis PNC &lt; 6 Weeks for Age "&amp;X6&amp;" "&amp;Y7&amp;" is more than Positive PNC &lt;= 6 weeks"&amp;CHAR(10),""),IF(Z200&gt;Z169+Z171," * Infant Prophylaxis PNC &lt; 6 Weeks for Age "&amp;Z6&amp;" "&amp;Z7&amp;" is more than Positive PNC &lt;= 6 weeks"&amp;CHAR(10),""),IF(AA200&gt;AA169+AA171," * Infant Prophylaxis PNC &lt; 6 Weeks for Age "&amp;Z6&amp;" "&amp;AA7&amp;" is more than Positive PNC &lt;= 6 weeks"&amp;CHAR(10),""))</f>
        <v/>
      </c>
      <c r="AL200" s="826"/>
      <c r="AM200" s="277" t="str">
        <f>CONCATENATE(IF(D200&lt;D169," * F06-20 for Age "&amp;D6&amp;" "&amp;D7&amp;" is less than F06-10"&amp;CHAR(10),""),IF(E200&lt;E169," * F06-20 for Age "&amp;D6&amp;" "&amp;E7&amp;" is less than F06-10"&amp;CHAR(10),""),IF(F200&lt;F169," * F06-20 for Age "&amp;F6&amp;" "&amp;F7&amp;" is less than F06-10"&amp;CHAR(10),""),IF(G200&lt;G169," * F06-20 for Age "&amp;F6&amp;" "&amp;G7&amp;" is less than F06-10"&amp;CHAR(10),""),IF(H200&lt;H169," * F06-20 for Age "&amp;H6&amp;" "&amp;H7&amp;" is less than F06-10"&amp;CHAR(10),""),IF(I200&lt;I169," * F06-20 for Age "&amp;H6&amp;" "&amp;I7&amp;" is less than F06-10"&amp;CHAR(10),""),IF(J200&lt;J169," * F06-20 for Age "&amp;J6&amp;" "&amp;J7&amp;" is less than F06-10"&amp;CHAR(10),""),IF(K200&lt;K169," * F06-20 for Age "&amp;J6&amp;" "&amp;K7&amp;" is less than F06-10"&amp;CHAR(10),""),IF(L200&lt;L169," * F06-20 for Age "&amp;L6&amp;" "&amp;L7&amp;" is less than F06-10"&amp;CHAR(10),""),IF(M200&lt;M169," * F06-20 for Age "&amp;L6&amp;" "&amp;M7&amp;" is less than F06-10"&amp;CHAR(10),""),IF(N200&lt;N169," * F06-20 for Age "&amp;N6&amp;" "&amp;N7&amp;" is less than F06-10"&amp;CHAR(10),""),IF(O200&lt;O169," * F06-20 for Age "&amp;N6&amp;" "&amp;O7&amp;" is less than F06-10"&amp;CHAR(10),""),IF(P200&lt;P169," * F06-20 for Age "&amp;P6&amp;" "&amp;P7&amp;" is less than F06-10"&amp;CHAR(10),""),IF(Q200&lt;Q169," * F06-20 for Age "&amp;P6&amp;" "&amp;Q7&amp;" is less than F06-10"&amp;CHAR(10),""),IF(R200&lt;R169," * F06-20 for Age "&amp;R6&amp;" "&amp;R7&amp;" is less than F06-10"&amp;CHAR(10),""),IF(S200&lt;S169," * F06-20 for Age "&amp;R6&amp;" "&amp;S7&amp;" is less than F06-10"&amp;CHAR(10),""),IF(T200&lt;T169," * F06-20 for Age "&amp;T6&amp;" "&amp;T7&amp;" is less than F06-10"&amp;CHAR(10),""),IF(U200&lt;U169," * F06-20 for Age "&amp;T6&amp;" "&amp;U7&amp;" is less than F06-10"&amp;CHAR(10),""),IF(V200&lt;V169," * F06-20 for Age "&amp;V6&amp;" "&amp;V7&amp;" is less than F06-10"&amp;CHAR(10),""),IF(W200&lt;W169," * F06-20 for Age "&amp;V6&amp;" "&amp;W7&amp;" is less than F06-10"&amp;CHAR(10),""),IF(X200&lt;X169," * F06-20 for Age "&amp;X6&amp;" "&amp;X7&amp;" is less than F06-10"&amp;CHAR(10),""),IF(Y200&lt;Y169," * F06-20 for Age "&amp;X6&amp;" "&amp;Y7&amp;" is less than F06-10"&amp;CHAR(10),""),IF(Z200&lt;Z169," * F06-20 for Age "&amp;Z6&amp;" "&amp;Z7&amp;" is less than F06-10"&amp;CHAR(10),""),IF(AA200&lt;AA169," * F06-20 for Age "&amp;Z6&amp;" "&amp;AA7&amp;" is less than F06-10"&amp;CHAR(10),""),IF(AJ200&lt;AJ169," * Total F06-20 is less than Total F06-10"&amp;CHAR(10),""))</f>
        <v/>
      </c>
      <c r="AN200" s="820"/>
      <c r="AO200" s="283">
        <v>243</v>
      </c>
    </row>
    <row r="201" spans="1:45" ht="31.5" thickBot="1">
      <c r="A201" s="940"/>
      <c r="B201" s="407" t="s">
        <v>493</v>
      </c>
      <c r="C201" s="408" t="s">
        <v>494</v>
      </c>
      <c r="D201" s="409"/>
      <c r="E201" s="402"/>
      <c r="F201" s="402"/>
      <c r="G201" s="402"/>
      <c r="H201" s="402"/>
      <c r="I201" s="402"/>
      <c r="J201" s="471"/>
      <c r="K201" s="472"/>
      <c r="L201" s="402"/>
      <c r="M201" s="473"/>
      <c r="N201" s="402"/>
      <c r="O201" s="473"/>
      <c r="P201" s="402"/>
      <c r="Q201" s="473"/>
      <c r="R201" s="402"/>
      <c r="S201" s="473"/>
      <c r="T201" s="402"/>
      <c r="U201" s="473"/>
      <c r="V201" s="402"/>
      <c r="W201" s="473"/>
      <c r="X201" s="402"/>
      <c r="Y201" s="473"/>
      <c r="Z201" s="478"/>
      <c r="AA201" s="479"/>
      <c r="AB201" s="478"/>
      <c r="AC201" s="479"/>
      <c r="AD201" s="479"/>
      <c r="AE201" s="479"/>
      <c r="AF201" s="479"/>
      <c r="AG201" s="479"/>
      <c r="AH201" s="514"/>
      <c r="AI201" s="241"/>
      <c r="AJ201" s="221">
        <f t="shared" si="130"/>
        <v>0</v>
      </c>
      <c r="AK201" s="515"/>
      <c r="AL201" s="827"/>
      <c r="AM201" s="383"/>
      <c r="AN201" s="821"/>
      <c r="AO201" s="283"/>
    </row>
    <row r="202" spans="1:45" ht="31.5" thickBot="1">
      <c r="A202" s="964" t="s">
        <v>497</v>
      </c>
      <c r="B202" s="965"/>
      <c r="C202" s="965"/>
      <c r="D202" s="965"/>
      <c r="E202" s="965"/>
      <c r="F202" s="965"/>
      <c r="G202" s="965"/>
      <c r="H202" s="965"/>
      <c r="I202" s="965"/>
      <c r="J202" s="965"/>
      <c r="K202" s="965"/>
      <c r="L202" s="965"/>
      <c r="M202" s="965"/>
      <c r="N202" s="965"/>
      <c r="O202" s="965"/>
      <c r="P202" s="965"/>
      <c r="Q202" s="965"/>
      <c r="R202" s="965"/>
      <c r="S202" s="965"/>
      <c r="T202" s="965"/>
      <c r="U202" s="965"/>
      <c r="V202" s="965"/>
      <c r="W202" s="965"/>
      <c r="X202" s="965"/>
      <c r="Y202" s="965"/>
      <c r="Z202" s="965"/>
      <c r="AA202" s="965"/>
      <c r="AB202" s="965"/>
      <c r="AC202" s="965"/>
      <c r="AD202" s="965"/>
      <c r="AE202" s="965"/>
      <c r="AF202" s="965"/>
      <c r="AG202" s="965"/>
      <c r="AH202" s="965"/>
      <c r="AI202" s="965"/>
      <c r="AJ202" s="965"/>
      <c r="AK202" s="965"/>
      <c r="AL202" s="965"/>
      <c r="AM202" s="965"/>
      <c r="AN202" s="966"/>
      <c r="AO202" s="283">
        <v>316</v>
      </c>
    </row>
    <row r="203" spans="1:45" ht="31.5" thickBot="1">
      <c r="A203" s="1019" t="s">
        <v>498</v>
      </c>
      <c r="B203" s="965"/>
      <c r="C203" s="965"/>
      <c r="D203" s="965"/>
      <c r="E203" s="965"/>
      <c r="F203" s="965"/>
      <c r="G203" s="965"/>
      <c r="H203" s="965"/>
      <c r="I203" s="965"/>
      <c r="J203" s="965"/>
      <c r="K203" s="965"/>
      <c r="L203" s="965"/>
      <c r="M203" s="965"/>
      <c r="N203" s="965"/>
      <c r="O203" s="965"/>
      <c r="P203" s="965"/>
      <c r="Q203" s="965"/>
      <c r="R203" s="965"/>
      <c r="S203" s="965"/>
      <c r="T203" s="965"/>
      <c r="U203" s="965"/>
      <c r="V203" s="965"/>
      <c r="W203" s="965"/>
      <c r="X203" s="965"/>
      <c r="Y203" s="965"/>
      <c r="Z203" s="965"/>
      <c r="AA203" s="965"/>
      <c r="AB203" s="965"/>
      <c r="AC203" s="965"/>
      <c r="AD203" s="965"/>
      <c r="AE203" s="965"/>
      <c r="AF203" s="965"/>
      <c r="AG203" s="965"/>
      <c r="AH203" s="965"/>
      <c r="AI203" s="965"/>
      <c r="AJ203" s="965"/>
      <c r="AK203" s="965"/>
      <c r="AL203" s="965"/>
      <c r="AM203" s="965"/>
      <c r="AN203" s="966"/>
      <c r="AO203" s="283">
        <v>316</v>
      </c>
    </row>
    <row r="204" spans="1:45" ht="50.25" customHeight="1">
      <c r="A204" s="941" t="s">
        <v>499</v>
      </c>
      <c r="B204" s="22" t="s">
        <v>500</v>
      </c>
      <c r="C204" s="410" t="s">
        <v>501</v>
      </c>
      <c r="D204" s="411"/>
      <c r="E204" s="411"/>
      <c r="F204" s="411"/>
      <c r="G204" s="411"/>
      <c r="H204" s="411"/>
      <c r="I204" s="411"/>
      <c r="J204" s="411"/>
      <c r="K204" s="411"/>
      <c r="L204" s="411"/>
      <c r="M204" s="411"/>
      <c r="N204" s="411"/>
      <c r="O204" s="411"/>
      <c r="P204" s="411"/>
      <c r="Q204" s="411"/>
      <c r="R204" s="411"/>
      <c r="S204" s="411"/>
      <c r="T204" s="411"/>
      <c r="U204" s="411"/>
      <c r="V204" s="411"/>
      <c r="W204" s="411"/>
      <c r="X204" s="411"/>
      <c r="Y204" s="411"/>
      <c r="Z204" s="480">
        <f t="shared" ref="Z204:AA206" si="131">SUM(AB204,AD204,AF204,AH204)</f>
        <v>0</v>
      </c>
      <c r="AA204" s="480">
        <f t="shared" si="131"/>
        <v>0</v>
      </c>
      <c r="AB204" s="411"/>
      <c r="AC204" s="411"/>
      <c r="AD204" s="411"/>
      <c r="AE204" s="411"/>
      <c r="AF204" s="411"/>
      <c r="AG204" s="411"/>
      <c r="AH204" s="411"/>
      <c r="AI204" s="411"/>
      <c r="AJ204" s="516">
        <f>SUM(D204:AA204)</f>
        <v>0</v>
      </c>
      <c r="AK204" s="517" t="str">
        <f>CONCATENATE(IF(D205&gt;D204," * TB Cases with Known HIV Positive status "&amp;$D$6&amp;" "&amp;$D$7&amp;" is more than Total TB Cases New and relapsed"&amp;CHAR(10),""),IF(E205&gt;E204," * TB Cases with Known HIV Positive status "&amp;$D$6&amp;" "&amp;$E$7&amp;" is more than Total TB Cases New and relapsed"&amp;CHAR(10),""),IF(F205&gt;F204," * TB Cases with Known HIV Positive status "&amp;$F$6&amp;" "&amp;$F$7&amp;" is more than Total TB Cases New and relapsed"&amp;CHAR(10),""),IF(G205&gt;G204," * TB Cases with Known HIV Positive status "&amp;$F$6&amp;" "&amp;$G$7&amp;" is more than Total TB Cases New and relapsed"&amp;CHAR(10),""),IF(H205&gt;H204," * TB Cases with Known HIV Positive status "&amp;$H$6&amp;" "&amp;$H$7&amp;" is more than Total TB Cases New and relapsed"&amp;CHAR(10),""),IF(I205&gt;I204," * TB Cases with Known HIV Positive status "&amp;$H$6&amp;" "&amp;$I$7&amp;" is more than Total TB Cases New and relapsed"&amp;CHAR(10),""),IF(J205&gt;J204," * TB Cases with Known HIV Positive status "&amp;$J$6&amp;" "&amp;$J$7&amp;" is more than Total TB Cases New and relapsed"&amp;CHAR(10),""),IF(K205&gt;K204," * TB Cases with Known HIV Positive status "&amp;$J$6&amp;" "&amp;$K$7&amp;" is more than Total TB Cases New and relapsed"&amp;CHAR(10),""),IF(L205&gt;L204," * TB Cases with Known HIV Positive status "&amp;$L$6&amp;" "&amp;$L$7&amp;" is more than Total TB Cases New and relapsed"&amp;CHAR(10),""),IF(M205&gt;M204," * TB Cases with Known HIV Positive status "&amp;$L$6&amp;" "&amp;$M$7&amp;" is more than Total TB Cases New and relapsed"&amp;CHAR(10),""),IF(N205&gt;N204," * TB Cases with Known HIV Positive status "&amp;$N$6&amp;" "&amp;$N$7&amp;" is more than Total TB Cases New and relapsed"&amp;CHAR(10),""),IF(O205&gt;O204," * TB Cases with Known HIV Positive status "&amp;$N$6&amp;" "&amp;$O$7&amp;" is more than Total TB Cases New and relapsed"&amp;CHAR(10),""),IF(P205&gt;P204," * TB Cases with Known HIV Positive status "&amp;$P$6&amp;" "&amp;$P$7&amp;" is more than Total TB Cases New and relapsed"&amp;CHAR(10),""),IF(Q205&gt;Q204," * TB Cases with Known HIV Positive status "&amp;$P$6&amp;" "&amp;$Q$7&amp;" is more than Total TB Cases New and relapsed"&amp;CHAR(10),""),IF(R205&gt;R204," * TB Cases with Known HIV Positive status "&amp;$R$6&amp;" "&amp;$R$7&amp;" is more than Total TB Cases New and relapsed"&amp;CHAR(10),""),IF(S205&gt;S204," * TB Cases with Known HIV Positive status "&amp;$R$6&amp;" "&amp;$S$7&amp;" is more than Total TB Cases New and relapsed"&amp;CHAR(10),""),IF(T205&gt;T204," * TB Cases with Known HIV Positive status "&amp;$T$6&amp;" "&amp;$T$7&amp;" is more than Total TB Cases New and relapsed"&amp;CHAR(10),""),IF(U205&gt;U204," * TB Cases with Known HIV Positive status "&amp;$T$6&amp;" "&amp;$U$7&amp;" is more than Total TB Cases New and relapsed"&amp;CHAR(10),""),IF(V205&gt;V204," * TB Cases with Known HIV Positive status "&amp;$V$6&amp;" "&amp;$V$7&amp;" is more than Total TB Cases New and relapsed"&amp;CHAR(10),""),IF(W205&gt;W204," * TB Cases with Known HIV Positive status "&amp;$V$6&amp;" "&amp;$W$7&amp;" is more than Total TB Cases New and relapsed"&amp;CHAR(10),""),IF(X205&gt;X204," * TB Cases with Known HIV Positive status "&amp;$X$6&amp;" "&amp;$X$7&amp;" is more than Total TB Cases New and relapsed"&amp;CHAR(10),""),IF(Y205&gt;Y204," * TB Cases with Known HIV Positive status "&amp;$X$6&amp;" "&amp;$Y$7&amp;" is more than Total TB Cases New and relapsed"&amp;CHAR(10),""),IF(Z205&gt;Z204," * TB Cases with Known HIV Positive status "&amp;$Z$6&amp;" "&amp;$Z$7&amp;" is more than Total TB Cases New and relapsed"&amp;CHAR(10),""),IF(AA205&gt;AA204," * TB Cases with Known HIV Positive status "&amp;$Z$6&amp;" "&amp;$AA$7&amp;" is more than Total TB Cases New and relapsed"&amp;CHAR(10),""))</f>
        <v/>
      </c>
      <c r="AL204" s="913" t="str">
        <f>CONCATENATE(AK204,AK205,AK208,AK209,AK210,AK215,AK206,AK207,AK211,AK212,AK213,AK214)</f>
        <v/>
      </c>
      <c r="AM204" s="518"/>
      <c r="AN204" s="828" t="str">
        <f>CONCATENATE(AM204,AM205,AM207,AM208,AM209,AM210,AM215,AM217,AM218,AM219,AM206,AM211,AM212,AM213,AM214)</f>
        <v/>
      </c>
      <c r="AO204" s="283">
        <v>317</v>
      </c>
    </row>
    <row r="205" spans="1:45" s="5" customFormat="1" ht="56.25">
      <c r="A205" s="942"/>
      <c r="B205" s="412" t="s">
        <v>941</v>
      </c>
      <c r="C205" s="413" t="s">
        <v>505</v>
      </c>
      <c r="D205" s="414"/>
      <c r="E205" s="414"/>
      <c r="F205" s="414"/>
      <c r="G205" s="414"/>
      <c r="H205" s="414"/>
      <c r="I205" s="414"/>
      <c r="J205" s="414"/>
      <c r="K205" s="414"/>
      <c r="L205" s="414"/>
      <c r="M205" s="414"/>
      <c r="N205" s="414"/>
      <c r="O205" s="414"/>
      <c r="P205" s="414"/>
      <c r="Q205" s="414"/>
      <c r="R205" s="414"/>
      <c r="S205" s="414"/>
      <c r="T205" s="414"/>
      <c r="U205" s="414"/>
      <c r="V205" s="414"/>
      <c r="W205" s="414"/>
      <c r="X205" s="414"/>
      <c r="Y205" s="414"/>
      <c r="Z205" s="480">
        <f t="shared" si="131"/>
        <v>0</v>
      </c>
      <c r="AA205" s="480">
        <f t="shared" si="131"/>
        <v>0</v>
      </c>
      <c r="AB205" s="414"/>
      <c r="AC205" s="414"/>
      <c r="AD205" s="414"/>
      <c r="AE205" s="414"/>
      <c r="AF205" s="414"/>
      <c r="AG205" s="414"/>
      <c r="AH205" s="414"/>
      <c r="AI205" s="414"/>
      <c r="AJ205" s="519">
        <f t="shared" ref="AJ205:AJ219" si="132">SUM(D205:AA205)</f>
        <v>0</v>
      </c>
      <c r="AK205" s="520"/>
      <c r="AL205" s="914"/>
      <c r="AM205" s="521"/>
      <c r="AN205" s="829"/>
      <c r="AO205" s="283">
        <v>318</v>
      </c>
      <c r="AQ205" s="132"/>
      <c r="AR205" s="132"/>
      <c r="AS205" s="132"/>
    </row>
    <row r="206" spans="1:45" s="5" customFormat="1" ht="56.25">
      <c r="A206" s="942"/>
      <c r="B206" s="412" t="s">
        <v>508</v>
      </c>
      <c r="C206" s="413" t="s">
        <v>509</v>
      </c>
      <c r="D206" s="415"/>
      <c r="E206" s="416"/>
      <c r="F206" s="414"/>
      <c r="G206" s="414"/>
      <c r="H206" s="414"/>
      <c r="I206" s="414"/>
      <c r="J206" s="414"/>
      <c r="K206" s="414"/>
      <c r="L206" s="414"/>
      <c r="M206" s="414"/>
      <c r="N206" s="414"/>
      <c r="O206" s="414"/>
      <c r="P206" s="414"/>
      <c r="Q206" s="414"/>
      <c r="R206" s="414"/>
      <c r="S206" s="414"/>
      <c r="T206" s="414"/>
      <c r="U206" s="414"/>
      <c r="V206" s="414"/>
      <c r="W206" s="414"/>
      <c r="X206" s="414"/>
      <c r="Y206" s="414"/>
      <c r="Z206" s="480">
        <f t="shared" si="131"/>
        <v>0</v>
      </c>
      <c r="AA206" s="480">
        <f t="shared" si="131"/>
        <v>0</v>
      </c>
      <c r="AB206" s="414"/>
      <c r="AC206" s="414"/>
      <c r="AD206" s="414"/>
      <c r="AE206" s="414"/>
      <c r="AF206" s="414"/>
      <c r="AG206" s="414"/>
      <c r="AH206" s="414"/>
      <c r="AI206" s="414"/>
      <c r="AJ206" s="519">
        <f t="shared" si="132"/>
        <v>0</v>
      </c>
      <c r="AK206" s="520"/>
      <c r="AL206" s="914"/>
      <c r="AM206" s="521"/>
      <c r="AN206" s="829"/>
      <c r="AO206" s="283"/>
      <c r="AQ206" s="132"/>
      <c r="AR206" s="132"/>
      <c r="AS206" s="132"/>
    </row>
    <row r="207" spans="1:45" s="5" customFormat="1">
      <c r="A207" s="942"/>
      <c r="B207" s="417" t="s">
        <v>511</v>
      </c>
      <c r="C207" s="413" t="s">
        <v>512</v>
      </c>
      <c r="D207" s="415"/>
      <c r="E207" s="416"/>
      <c r="F207" s="418">
        <f>F204-(F205+F206)</f>
        <v>0</v>
      </c>
      <c r="G207" s="418">
        <f t="shared" ref="G207:Y207" si="133">G204-(G205+G206)</f>
        <v>0</v>
      </c>
      <c r="H207" s="418">
        <f t="shared" si="133"/>
        <v>0</v>
      </c>
      <c r="I207" s="418">
        <f t="shared" si="133"/>
        <v>0</v>
      </c>
      <c r="J207" s="418">
        <f t="shared" si="133"/>
        <v>0</v>
      </c>
      <c r="K207" s="418">
        <f t="shared" si="133"/>
        <v>0</v>
      </c>
      <c r="L207" s="418">
        <f t="shared" si="133"/>
        <v>0</v>
      </c>
      <c r="M207" s="418">
        <f t="shared" si="133"/>
        <v>0</v>
      </c>
      <c r="N207" s="418">
        <f t="shared" si="133"/>
        <v>0</v>
      </c>
      <c r="O207" s="418">
        <f t="shared" si="133"/>
        <v>0</v>
      </c>
      <c r="P207" s="418">
        <f t="shared" si="133"/>
        <v>0</v>
      </c>
      <c r="Q207" s="418">
        <f t="shared" si="133"/>
        <v>0</v>
      </c>
      <c r="R207" s="418">
        <f t="shared" si="133"/>
        <v>0</v>
      </c>
      <c r="S207" s="418">
        <f t="shared" si="133"/>
        <v>0</v>
      </c>
      <c r="T207" s="418">
        <f t="shared" si="133"/>
        <v>0</v>
      </c>
      <c r="U207" s="418">
        <f t="shared" si="133"/>
        <v>0</v>
      </c>
      <c r="V207" s="418">
        <f t="shared" si="133"/>
        <v>0</v>
      </c>
      <c r="W207" s="418">
        <f t="shared" si="133"/>
        <v>0</v>
      </c>
      <c r="X207" s="418">
        <f t="shared" si="133"/>
        <v>0</v>
      </c>
      <c r="Y207" s="418">
        <f t="shared" si="133"/>
        <v>0</v>
      </c>
      <c r="Z207" s="480">
        <f t="shared" ref="Z207:AA217" si="134">SUM(AB207,AD207,AF207,AH207)</f>
        <v>0</v>
      </c>
      <c r="AA207" s="480">
        <f t="shared" ref="AA207:AA219" si="135">SUM(AC207,AE207,AG207,AI207)</f>
        <v>0</v>
      </c>
      <c r="AB207" s="418">
        <f t="shared" ref="AB207:AI207" si="136">AB204-(AB205+AB206)</f>
        <v>0</v>
      </c>
      <c r="AC207" s="418">
        <f t="shared" si="136"/>
        <v>0</v>
      </c>
      <c r="AD207" s="418">
        <f t="shared" si="136"/>
        <v>0</v>
      </c>
      <c r="AE207" s="418">
        <f t="shared" si="136"/>
        <v>0</v>
      </c>
      <c r="AF207" s="418">
        <f t="shared" si="136"/>
        <v>0</v>
      </c>
      <c r="AG207" s="418">
        <f t="shared" si="136"/>
        <v>0</v>
      </c>
      <c r="AH207" s="418">
        <f t="shared" si="136"/>
        <v>0</v>
      </c>
      <c r="AI207" s="418">
        <f t="shared" si="136"/>
        <v>0</v>
      </c>
      <c r="AJ207" s="519">
        <f t="shared" si="132"/>
        <v>0</v>
      </c>
      <c r="AK207" s="520"/>
      <c r="AL207" s="914"/>
      <c r="AM207" s="521" t="str">
        <f>CONCATENATE(IF(D207&gt;D208," * TB Cases newly tested for HIV "&amp;$D$6&amp;" "&amp;$D$7&amp;" is less than TB Cases eligible for Testing"&amp;CHAR(10),""),IF(E207&gt;E208," * TB Cases newly tested for HIV "&amp;$D$6&amp;" "&amp;$E$7&amp;" is less than TB Cases eligible for Testing"&amp;CHAR(10),""),IF(F207&gt;F208," * TB Cases newly tested for HIV "&amp;$F$6&amp;" "&amp;$F$7&amp;" is less than TB Cases eligible for Testing"&amp;CHAR(10),""),IF(G207&gt;G208," * TB Cases newly tested for HIV "&amp;$F$6&amp;" "&amp;$G$7&amp;" is less than TB Cases eligible for Testing"&amp;CHAR(10),""),IF(H207&gt;H208," * TB Cases newly tested for HIV "&amp;$H$6&amp;" "&amp;$H$7&amp;" is less than TB Cases eligible for Testing"&amp;CHAR(10),""),IF(I207&gt;I208," * TB Cases newly tested for HIV "&amp;$H$6&amp;" "&amp;$I$7&amp;" is less than TB Cases eligible for Testing"&amp;CHAR(10),""),IF(J207&gt;J208," * TB Cases newly tested for HIV "&amp;$J$6&amp;" "&amp;$J$7&amp;" is less than TB Cases eligible for Testing"&amp;CHAR(10),""),IF(K207&gt;K208," * TB Cases newly tested for HIV "&amp;$J$6&amp;" "&amp;$K$7&amp;" is less than TB Cases eligible for Testing"&amp;CHAR(10),""),IF(L207&gt;L208," * TB Cases newly tested for HIV "&amp;$L$6&amp;" "&amp;$L$7&amp;" is less than TB Cases eligible for Testing"&amp;CHAR(10),""),IF(M207&gt;M208," * TB Cases newly tested for HIV "&amp;$L$6&amp;" "&amp;$M$7&amp;" is less than TB Cases eligible for Testing"&amp;CHAR(10),""),IF(N207&gt;N208," * TB Cases newly tested for HIV "&amp;$N$6&amp;" "&amp;$N$7&amp;" is less than TB Cases eligible for Testing"&amp;CHAR(10),""),IF(O207&gt;O208," * TB Cases newly tested for HIV "&amp;$N$6&amp;" "&amp;$O$7&amp;" is less than TB Cases eligible for Testing"&amp;CHAR(10),""),IF(P207&gt;P208," * TB Cases newly tested for HIV "&amp;$P$6&amp;" "&amp;$P$7&amp;" is less than TB Cases eligible for Testing"&amp;CHAR(10),""),IF(Q207&gt;Q208," * TB Cases newly tested for HIV "&amp;$P$6&amp;" "&amp;$Q$7&amp;" is less than TB Cases eligible for Testing"&amp;CHAR(10),""),IF(R207&gt;R208," * TB Cases newly tested for HIV "&amp;$R$6&amp;" "&amp;$R$7&amp;" is less than TB Cases eligible for Testing"&amp;CHAR(10),""),IF(S207&gt;S208," * TB Cases newly tested for HIV "&amp;$R$6&amp;" "&amp;$S$7&amp;" is less than TB Cases eligible for Testing"&amp;CHAR(10),""),IF(T207&gt;T208," * TB Cases newly tested for HIV "&amp;$T$6&amp;" "&amp;$T$7&amp;" is less than TB Cases eligible for Testing"&amp;CHAR(10),""),IF(U207&gt;U208," * TB Cases newly tested for HIV "&amp;$T$6&amp;" "&amp;$U$7&amp;" is less than TB Cases eligible for Testing"&amp;CHAR(10),""),IF(V207&gt;V208," * TB Cases newly tested for HIV "&amp;$V$6&amp;" "&amp;$V$7&amp;" is less than TB Cases eligible for Testing"&amp;CHAR(10),""),IF(W207&gt;W208," * TB Cases newly tested for HIV "&amp;$V$6&amp;" "&amp;$W$7&amp;" is less than TB Cases eligible for Testing"&amp;CHAR(10),""),IF(X207&gt;X208," * TB Cases newly tested for HIV "&amp;$X$6&amp;" "&amp;$X$7&amp;" is less than TB Cases eligible for Testing"&amp;CHAR(10),""),IF(Y207&gt;Y208," * TB Cases newly tested for HIV "&amp;$X$6&amp;" "&amp;$Y$7&amp;" is less than TB Cases eligible for Testing"&amp;CHAR(10),""),IF(Z207&gt;Z208," * TB Cases newly tested for HIV "&amp;$Z$6&amp;" "&amp;$Z$7&amp;" is less than TB Cases eligible for Testing"&amp;CHAR(10),""),IF(AA207&gt;AA208," * TB Cases newly tested for HIV "&amp;$Z$6&amp;" "&amp;$AA$7&amp;" is less than TB Cases eligible for Testing"&amp;CHAR(10),""))</f>
        <v/>
      </c>
      <c r="AN207" s="829"/>
      <c r="AO207" s="283">
        <v>319</v>
      </c>
      <c r="AQ207" s="132"/>
      <c r="AR207" s="132"/>
      <c r="AS207" s="132"/>
    </row>
    <row r="208" spans="1:45" s="5" customFormat="1">
      <c r="A208" s="942"/>
      <c r="B208" s="412" t="s">
        <v>514</v>
      </c>
      <c r="C208" s="413" t="s">
        <v>515</v>
      </c>
      <c r="D208" s="415"/>
      <c r="E208" s="416"/>
      <c r="F208" s="419"/>
      <c r="G208" s="419"/>
      <c r="H208" s="419"/>
      <c r="I208" s="419"/>
      <c r="J208" s="419"/>
      <c r="K208" s="419"/>
      <c r="L208" s="419"/>
      <c r="M208" s="419"/>
      <c r="N208" s="419"/>
      <c r="O208" s="419"/>
      <c r="P208" s="419"/>
      <c r="Q208" s="419"/>
      <c r="R208" s="419"/>
      <c r="S208" s="419"/>
      <c r="T208" s="419"/>
      <c r="U208" s="419"/>
      <c r="V208" s="419"/>
      <c r="W208" s="419"/>
      <c r="X208" s="419"/>
      <c r="Y208" s="419"/>
      <c r="Z208" s="480">
        <f t="shared" si="134"/>
        <v>0</v>
      </c>
      <c r="AA208" s="480">
        <f t="shared" si="135"/>
        <v>0</v>
      </c>
      <c r="AB208" s="419"/>
      <c r="AC208" s="419"/>
      <c r="AD208" s="419"/>
      <c r="AE208" s="419"/>
      <c r="AF208" s="419"/>
      <c r="AG208" s="419"/>
      <c r="AH208" s="419"/>
      <c r="AI208" s="419"/>
      <c r="AJ208" s="519">
        <f t="shared" si="132"/>
        <v>0</v>
      </c>
      <c r="AK208" s="522" t="str">
        <f>CONCATENATE(IF(D204&lt;D208," * TB Cases newly tested for HIV "&amp;$D$6&amp;" "&amp;$D$7&amp;" is more than Total TB Cases New and relapsed"&amp;CHAR(10),""),IF(E204&lt;E208," * TB Cases newly tested for HIV "&amp;$D$6&amp;" "&amp;$E$7&amp;" is more than Total TB Cases New and relapsed"&amp;CHAR(10),""),IF(F204&lt;F208," * TB Cases newly tested for HIV "&amp;$F$6&amp;" "&amp;$F$7&amp;" is more than Total TB Cases New and relapsed"&amp;CHAR(10),""),IF(G204&lt;G208," * TB Cases newly tested for HIV "&amp;$F$6&amp;" "&amp;$G$7&amp;" is more than Total TB Cases New and relapsed"&amp;CHAR(10),""),IF(H204&lt;H208," * TB Cases newly tested for HIV "&amp;$H$6&amp;" "&amp;$H$7&amp;" is more than Total TB Cases New and relapsed"&amp;CHAR(10),""),IF(I204&lt;I208," * TB Cases newly tested for HIV "&amp;$H$6&amp;" "&amp;$I$7&amp;" is more than Total TB Cases New and relapsed"&amp;CHAR(10),""),IF(J204&lt;J208," * TB Cases newly tested for HIV "&amp;$J$6&amp;" "&amp;$J$7&amp;" is more than Total TB Cases New and relapsed"&amp;CHAR(10),""),IF(K204&lt;K208," * TB Cases newly tested for HIV "&amp;$J$6&amp;" "&amp;$K$7&amp;" is more than Total TB Cases New and relapsed"&amp;CHAR(10),""),IF(L204&lt;L208," * TB Cases newly tested for HIV "&amp;$L$6&amp;" "&amp;$L$7&amp;" is more than Total TB Cases New and relapsed"&amp;CHAR(10),""),IF(M204&lt;M208," * TB Cases newly tested for HIV "&amp;$L$6&amp;" "&amp;$M$7&amp;" is more than Total TB Cases New and relapsed"&amp;CHAR(10),""),IF(N204&lt;N208," * TB Cases newly tested for HIV "&amp;$N$6&amp;" "&amp;$N$7&amp;" is more than Total TB Cases New and relapsed"&amp;CHAR(10),""),IF(O204&lt;O208," * TB Cases newly tested for HIV "&amp;$N$6&amp;" "&amp;$O$7&amp;" is more than Total TB Cases New and relapsed"&amp;CHAR(10),""),IF(P204&lt;P208," * TB Cases newly tested for HIV "&amp;$P$6&amp;" "&amp;$P$7&amp;" is more than Total TB Cases New and relapsed"&amp;CHAR(10),""),IF(Q204&lt;Q208," * TB Cases newly tested for HIV "&amp;$P$6&amp;" "&amp;$Q$7&amp;" is more than Total TB Cases New and relapsed"&amp;CHAR(10),""),IF(R204&lt;R208," * TB Cases newly tested for HIV "&amp;$R$6&amp;" "&amp;$R$7&amp;" is more than Total TB Cases New and relapsed"&amp;CHAR(10),""),IF(S204&lt;S208," * TB Cases newly tested for HIV "&amp;$R$6&amp;" "&amp;$S$7&amp;" is more than Total TB Cases New and relapsed"&amp;CHAR(10),""),IF(T204&lt;T208," * TB Cases newly tested for HIV "&amp;$T$6&amp;" "&amp;$T$7&amp;" is more than Total TB Cases New and relapsed"&amp;CHAR(10),""),IF(U204&lt;U208," * TB Cases newly tested for HIV "&amp;$T$6&amp;" "&amp;$U$7&amp;" is more than Total TB Cases New and relapsed"&amp;CHAR(10),""),IF(V204&lt;V208," * TB Cases newly tested for HIV "&amp;$V$6&amp;" "&amp;$V$7&amp;" is more than Total TB Cases New and relapsed"&amp;CHAR(10),""),IF(W204&lt;W208," * TB Cases newly tested for HIV "&amp;$V$6&amp;" "&amp;$W$7&amp;" is more than Total TB Cases New and relapsed"&amp;CHAR(10),""),IF(X204&lt;X208," * TB Cases newly tested for HIV "&amp;$X$6&amp;" "&amp;$X$7&amp;" is more than Total TB Cases New and relapsed"&amp;CHAR(10),""),IF(Y204&lt;Y208," * TB Cases newly tested for HIV "&amp;$X$6&amp;" "&amp;$Y$7&amp;" is more than Total TB Cases New and relapsed"&amp;CHAR(10),""),IF(Z204&lt;Z208," * TB Cases newly tested for HIV "&amp;$Z$6&amp;" "&amp;$Z$7&amp;" is more than Total TB Cases New and relapsed"&amp;CHAR(10),""),IF(AA204&lt;AA208," * TB Cases newly tested for HIV "&amp;$Z$6&amp;" "&amp;$AA$7&amp;" is more than Total TB Cases New and relapsed"&amp;CHAR(10),""))</f>
        <v/>
      </c>
      <c r="AL208" s="914"/>
      <c r="AM208" s="523"/>
      <c r="AN208" s="829"/>
      <c r="AO208" s="283">
        <v>320</v>
      </c>
      <c r="AQ208" s="132"/>
      <c r="AR208" s="132"/>
      <c r="AS208" s="132"/>
    </row>
    <row r="209" spans="1:45" s="5" customFormat="1" ht="56.25">
      <c r="A209" s="942"/>
      <c r="B209" s="417" t="s">
        <v>517</v>
      </c>
      <c r="C209" s="413" t="s">
        <v>518</v>
      </c>
      <c r="D209" s="418">
        <f>D208+D205+D206</f>
        <v>0</v>
      </c>
      <c r="E209" s="418">
        <f>E208+E205+E206</f>
        <v>0</v>
      </c>
      <c r="F209" s="418">
        <f>F208+F205+F206</f>
        <v>0</v>
      </c>
      <c r="G209" s="418">
        <f t="shared" ref="G209:AC209" si="137">G208+G205+G206</f>
        <v>0</v>
      </c>
      <c r="H209" s="418">
        <f t="shared" si="137"/>
        <v>0</v>
      </c>
      <c r="I209" s="418">
        <f t="shared" si="137"/>
        <v>0</v>
      </c>
      <c r="J209" s="418">
        <f t="shared" si="137"/>
        <v>0</v>
      </c>
      <c r="K209" s="418">
        <f t="shared" si="137"/>
        <v>0</v>
      </c>
      <c r="L209" s="418">
        <f t="shared" si="137"/>
        <v>0</v>
      </c>
      <c r="M209" s="418">
        <f t="shared" si="137"/>
        <v>0</v>
      </c>
      <c r="N209" s="418">
        <f t="shared" si="137"/>
        <v>0</v>
      </c>
      <c r="O209" s="418">
        <f t="shared" si="137"/>
        <v>0</v>
      </c>
      <c r="P209" s="418">
        <f t="shared" si="137"/>
        <v>0</v>
      </c>
      <c r="Q209" s="418">
        <f t="shared" si="137"/>
        <v>0</v>
      </c>
      <c r="R209" s="418">
        <f t="shared" si="137"/>
        <v>0</v>
      </c>
      <c r="S209" s="418">
        <f t="shared" si="137"/>
        <v>0</v>
      </c>
      <c r="T209" s="418">
        <f t="shared" si="137"/>
        <v>0</v>
      </c>
      <c r="U209" s="418">
        <f t="shared" si="137"/>
        <v>0</v>
      </c>
      <c r="V209" s="418">
        <f t="shared" si="137"/>
        <v>0</v>
      </c>
      <c r="W209" s="418">
        <f t="shared" si="137"/>
        <v>0</v>
      </c>
      <c r="X209" s="418">
        <f t="shared" si="137"/>
        <v>0</v>
      </c>
      <c r="Y209" s="418">
        <f t="shared" si="137"/>
        <v>0</v>
      </c>
      <c r="Z209" s="418">
        <f t="shared" si="137"/>
        <v>0</v>
      </c>
      <c r="AA209" s="418">
        <f t="shared" si="137"/>
        <v>0</v>
      </c>
      <c r="AB209" s="418">
        <f t="shared" si="137"/>
        <v>0</v>
      </c>
      <c r="AC209" s="418">
        <f t="shared" si="137"/>
        <v>0</v>
      </c>
      <c r="AD209" s="418">
        <f t="shared" ref="AD209:AI209" si="138">AD208+AD205+AD206</f>
        <v>0</v>
      </c>
      <c r="AE209" s="418">
        <f t="shared" si="138"/>
        <v>0</v>
      </c>
      <c r="AF209" s="418">
        <f t="shared" si="138"/>
        <v>0</v>
      </c>
      <c r="AG209" s="418">
        <f t="shared" si="138"/>
        <v>0</v>
      </c>
      <c r="AH209" s="418">
        <f t="shared" si="138"/>
        <v>0</v>
      </c>
      <c r="AI209" s="418">
        <f t="shared" si="138"/>
        <v>0</v>
      </c>
      <c r="AJ209" s="519">
        <f t="shared" si="132"/>
        <v>0</v>
      </c>
      <c r="AK209" s="522" t="str">
        <f>CONCATENATE(IF(D204&lt;D209," * TB cases with documented HIV status "&amp;$D$6&amp;" "&amp;$D$7&amp;" is more than Total TB Cases New and relapsed"&amp;CHAR(10),""),IF(E204&lt;E209," * TB cases with documented HIV status "&amp;$D$6&amp;" "&amp;$E$7&amp;" is more than Total TB Cases New and relapsed"&amp;CHAR(10),""),IF(F204&lt;F209," * TB cases with documented HIV status "&amp;$F$6&amp;" "&amp;$F$7&amp;" is more than Total TB Cases New and relapsed"&amp;CHAR(10),""),IF(G204&lt;G209," * TB cases with documented HIV status "&amp;$F$6&amp;" "&amp;$G$7&amp;" is more than Total TB Cases New and relapsed"&amp;CHAR(10),""),IF(H204&lt;H209," * TB cases with documented HIV status "&amp;$H$6&amp;" "&amp;$H$7&amp;" is more than Total TB Cases New and relapsed"&amp;CHAR(10),""),IF(I204&lt;I209," * TB cases with documented HIV status "&amp;$H$6&amp;" "&amp;$I$7&amp;" is more than Total TB Cases New and relapsed"&amp;CHAR(10),""),IF(J204&lt;J209," * TB cases with documented HIV status "&amp;$J$6&amp;" "&amp;$J$7&amp;" is more than Total TB Cases New and relapsed"&amp;CHAR(10),""),IF(K204&lt;K209," * TB cases with documented HIV status "&amp;$J$6&amp;" "&amp;$K$7&amp;" is more than Total TB Cases New and relapsed"&amp;CHAR(10),""),IF(L204&lt;L209," * TB cases with documented HIV status "&amp;$L$6&amp;" "&amp;$L$7&amp;" is more than Total TB Cases New and relapsed"&amp;CHAR(10),""),IF(M204&lt;M209," * TB cases with documented HIV status "&amp;$L$6&amp;" "&amp;$M$7&amp;" is more than Total TB Cases New and relapsed"&amp;CHAR(10),""),IF(N204&lt;N209," * TB cases with documented HIV status "&amp;$N$6&amp;" "&amp;$N$7&amp;" is more than Total TB Cases New and relapsed"&amp;CHAR(10),""),IF(O204&lt;O209," * TB cases with documented HIV status "&amp;$N$6&amp;" "&amp;$O$7&amp;" is more than Total TB Cases New and relapsed"&amp;CHAR(10),""),IF(P204&lt;P209," * TB cases with documented HIV status "&amp;$P$6&amp;" "&amp;$P$7&amp;" is more than Total TB Cases New and relapsed"&amp;CHAR(10),""),IF(Q204&lt;Q209," * TB cases with documented HIV status "&amp;$P$6&amp;" "&amp;$Q$7&amp;" is more than Total TB Cases New and relapsed"&amp;CHAR(10),""),IF(R204&lt;R209," * TB cases with documented HIV status "&amp;$R$6&amp;" "&amp;$R$7&amp;" is more than Total TB Cases New and relapsed"&amp;CHAR(10),""),IF(S204&lt;S209," * TB cases with documented HIV status "&amp;$R$6&amp;" "&amp;$S$7&amp;" is more than Total TB Cases New and relapsed"&amp;CHAR(10),""),IF(T204&lt;T209," * TB cases with documented HIV status "&amp;$T$6&amp;" "&amp;$T$7&amp;" is more than Total TB Cases New and relapsed"&amp;CHAR(10),""),IF(U204&lt;U209," * TB cases with documented HIV status "&amp;$T$6&amp;" "&amp;$U$7&amp;" is more than Total TB Cases New and relapsed"&amp;CHAR(10),""),IF(V204&lt;V209," * TB cases with documented HIV status "&amp;$V$6&amp;" "&amp;$V$7&amp;" is more than Total TB Cases New and relapsed"&amp;CHAR(10),""),IF(W204&lt;W209," * TB cases with documented HIV status "&amp;$V$6&amp;" "&amp;$W$7&amp;" is more than Total TB Cases New and relapsed"&amp;CHAR(10),""),IF(X204&lt;X209," * TB cases with documented HIV status "&amp;$X$6&amp;" "&amp;$X$7&amp;" is more than Total TB Cases New and relapsed"&amp;CHAR(10),""),IF(Y204&lt;Y209," * TB cases with documented HIV status "&amp;$X$6&amp;" "&amp;$Y$7&amp;" is more than Total TB Cases New and relapsed"&amp;CHAR(10),""),IF(Z204&lt;Z209," * TB cases with documented HIV status "&amp;$Z$6&amp;" "&amp;$Z$7&amp;" is more than Total TB Cases New and relapsed"&amp;CHAR(10),""),IF(AA204&lt;AA209," * TB cases with documented HIV status "&amp;$Z$6&amp;" "&amp;$AA$7&amp;" is more than Total TB Cases New and relapsed"&amp;CHAR(10),""))</f>
        <v/>
      </c>
      <c r="AL209" s="914"/>
      <c r="AM209" s="521"/>
      <c r="AN209" s="829"/>
      <c r="AO209" s="283">
        <v>321</v>
      </c>
      <c r="AQ209" s="132"/>
      <c r="AR209" s="132"/>
      <c r="AS209" s="132"/>
    </row>
    <row r="210" spans="1:45" ht="56.25" thickBot="1">
      <c r="A210" s="942"/>
      <c r="B210" s="729" t="s">
        <v>520</v>
      </c>
      <c r="C210" s="413" t="s">
        <v>521</v>
      </c>
      <c r="D210" s="415"/>
      <c r="E210" s="416"/>
      <c r="F210" s="420"/>
      <c r="G210" s="420"/>
      <c r="H210" s="420"/>
      <c r="I210" s="420"/>
      <c r="J210" s="420"/>
      <c r="K210" s="420"/>
      <c r="L210" s="420"/>
      <c r="M210" s="420"/>
      <c r="N210" s="420"/>
      <c r="O210" s="420"/>
      <c r="P210" s="420"/>
      <c r="Q210" s="420"/>
      <c r="R210" s="420"/>
      <c r="S210" s="420"/>
      <c r="T210" s="420"/>
      <c r="U210" s="420"/>
      <c r="V210" s="420"/>
      <c r="W210" s="420"/>
      <c r="X210" s="420"/>
      <c r="Y210" s="420"/>
      <c r="Z210" s="480">
        <f t="shared" si="134"/>
        <v>0</v>
      </c>
      <c r="AA210" s="480">
        <f t="shared" si="135"/>
        <v>0</v>
      </c>
      <c r="AB210" s="420"/>
      <c r="AC210" s="420"/>
      <c r="AD210" s="420"/>
      <c r="AE210" s="420"/>
      <c r="AF210" s="420"/>
      <c r="AG210" s="420"/>
      <c r="AH210" s="420"/>
      <c r="AI210" s="420"/>
      <c r="AJ210" s="519">
        <f t="shared" si="132"/>
        <v>0</v>
      </c>
      <c r="AK210" s="112" t="str">
        <f>CONCATENATE(IF((D211+D212+D213+D214)&lt;&gt;D210," * "&amp;$A210&amp;" , "&amp;$B211&amp;" plus "&amp;$B212&amp;" plus "&amp;$B213&amp;" plus "&amp;$B214&amp;" For age "&amp;$D$20&amp;" "&amp;$D$21&amp;" should be equal to "&amp;$B210&amp;""&amp;CHAR(10),""),IF((E211+E212+E213+E214)&lt;&gt;E210," * "&amp;$A210&amp;" , "&amp;$B211&amp;" plus "&amp;$B212&amp;" plus "&amp;$B213&amp;" plus "&amp;$B214&amp;" For age "&amp;$D$20&amp;" "&amp;$E$21&amp;" should be equal to "&amp;$B210&amp;""&amp;CHAR(10),""),IF((F211+F212+F213+F214)&lt;&gt;F210," * "&amp;$A210&amp;" , "&amp;$B211&amp;" plus "&amp;$B212&amp;" plus "&amp;$B213&amp;" plus "&amp;$B214&amp;" For age "&amp;$F$20&amp;" "&amp;$F$21&amp;" should be equal to "&amp;$B210&amp;""&amp;CHAR(10),""),IF((G211+G212+G213+G214)&lt;&gt;G210," * "&amp;$A210&amp;" , "&amp;$B211&amp;" plus "&amp;$B212&amp;" plus "&amp;$B213&amp;" plus "&amp;$B214&amp;" For age "&amp;$F$20&amp;" "&amp;$G$21&amp;" should be equal to "&amp;$B210&amp;""&amp;CHAR(10),""),IF((H211+H212+H213+H214)&lt;&gt;H210," * "&amp;$A210&amp;" , "&amp;$B211&amp;" plus "&amp;$B212&amp;" plus "&amp;$B213&amp;" plus "&amp;$B214&amp;" For age "&amp;$H$20&amp;" "&amp;$H$21&amp;" should be equal to "&amp;$B210&amp;""&amp;CHAR(10),""),IF((I211+I212+I213+I214)&lt;&gt;I210," * "&amp;$A210&amp;" , "&amp;$B211&amp;" plus "&amp;$B212&amp;" plus "&amp;$B213&amp;" plus "&amp;$B214&amp;" For age "&amp;$H$20&amp;" "&amp;$I$21&amp;" should be equal to "&amp;$B210&amp;""&amp;CHAR(10),""),IF((J211+J212+J213+J214)&lt;&gt;J210," * "&amp;$A210&amp;" , "&amp;$B211&amp;" plus "&amp;$B212&amp;" plus "&amp;$B213&amp;" plus "&amp;$B214&amp;" For age "&amp;$J$20&amp;" "&amp;$J$21&amp;" should be equal to "&amp;$B210&amp;""&amp;CHAR(10),""),IF((K211+K212+K213+K214)&lt;&gt;K210," * "&amp;$A210&amp;" , "&amp;$B211&amp;" plus "&amp;$B212&amp;" plus "&amp;$B213&amp;" plus "&amp;$B214&amp;" For age "&amp;$J$20&amp;" "&amp;$K$21&amp;" should be equal to "&amp;$B210&amp;""&amp;CHAR(10),""),IF((L211+L212+L213+L214)&lt;&gt;L210," * "&amp;$A210&amp;" , "&amp;$B211&amp;" plus "&amp;$B212&amp;" plus "&amp;$B213&amp;" plus "&amp;$B214&amp;" For age "&amp;$L$20&amp;" "&amp;$L$21&amp;" should be equal to "&amp;$B210&amp;""&amp;CHAR(10),""),IF((M211+M212+M213+M214)&lt;&gt;M210," * "&amp;$A210&amp;" , "&amp;$B211&amp;" plus "&amp;$B212&amp;" plus "&amp;$B213&amp;" plus "&amp;$B214&amp;" For age "&amp;$L$20&amp;" "&amp;$M$21&amp;" should be equal to "&amp;$B210&amp;""&amp;CHAR(10),""),IF((N211+N212+N213+N214)&lt;&gt;N210," * "&amp;$A210&amp;" , "&amp;$B211&amp;" plus "&amp;$B212&amp;" plus "&amp;$B213&amp;" plus "&amp;$B214&amp;" For age "&amp;$N$20&amp;" "&amp;$N$21&amp;" should be equal to "&amp;$B210&amp;""&amp;CHAR(10),""),IF((O211+O212+O213+O214)&lt;&gt;O210," * "&amp;$A210&amp;" , "&amp;$B211&amp;" plus "&amp;$B212&amp;" plus "&amp;$B213&amp;" plus "&amp;$B214&amp;" For age "&amp;$N$20&amp;" "&amp;$O$21&amp;" should be equal to "&amp;$B210&amp;""&amp;CHAR(10),""),IF((P211+P212+P213+P214)&lt;&gt;P210," * "&amp;$A210&amp;" , "&amp;$B211&amp;" plus "&amp;$B212&amp;" plus "&amp;$B213&amp;" plus "&amp;$B214&amp;" For age "&amp;$P$20&amp;" "&amp;$P$21&amp;" should be equal to "&amp;$B210&amp;""&amp;CHAR(10),""),IF((Q211+Q212+Q213+Q214)&lt;&gt;Q210," * "&amp;$A210&amp;" , "&amp;$B211&amp;" plus "&amp;$B212&amp;" plus "&amp;$B213&amp;" plus "&amp;$B214&amp;" For age "&amp;$P$20&amp;" "&amp;$Q$21&amp;" should be equal to "&amp;$B210&amp;""&amp;CHAR(10),""),IF((R211+R212+R213+R214)&lt;&gt;R210," * "&amp;$A210&amp;" , "&amp;$B211&amp;" plus "&amp;$B212&amp;" plus "&amp;$B213&amp;" plus "&amp;$B214&amp;" For age "&amp;$R$20&amp;" "&amp;$R$21&amp;" should be equal to "&amp;$B210&amp;""&amp;CHAR(10),""),IF((S211+S212+S213+S214)&lt;&gt;S210," * "&amp;$A210&amp;" , "&amp;$B211&amp;" plus "&amp;$B212&amp;" plus "&amp;$B213&amp;" plus "&amp;$B214&amp;" For age "&amp;$R$20&amp;" "&amp;$S$21&amp;" should be equal to "&amp;$B210&amp;""&amp;CHAR(10),""),IF((T211+T212+T213+T214)&lt;&gt;T210," * "&amp;$A210&amp;" , "&amp;$B211&amp;" plus "&amp;$B212&amp;" plus "&amp;$B213&amp;" plus "&amp;$B214&amp;" For age "&amp;$T$20&amp;" "&amp;$T$21&amp;" should be equal to "&amp;$B210&amp;""&amp;CHAR(10),""),IF((U211+U212+U213+U214)&lt;&gt;U210," * "&amp;$A210&amp;" , "&amp;$B211&amp;" plus "&amp;$B212&amp;" plus "&amp;$B213&amp;" plus "&amp;$B214&amp;" For age "&amp;$T$20&amp;" "&amp;$U$21&amp;" should be equal to "&amp;$B210&amp;""&amp;CHAR(10),""),IF((V211+V212+V213+V214)&lt;&gt;V210," * "&amp;$A210&amp;" , "&amp;$B211&amp;" plus "&amp;$B212&amp;" plus "&amp;$B213&amp;" plus "&amp;$B214&amp;" For age "&amp;$V$20&amp;" "&amp;$V$21&amp;" should be equal to "&amp;$B210&amp;""&amp;CHAR(10),""),IF((W211+W212+W213+W214)&lt;&gt;W210," * "&amp;$A210&amp;" , "&amp;$B211&amp;" plus "&amp;$B212&amp;" plus "&amp;$B213&amp;" plus "&amp;$B214&amp;" For age "&amp;$V$20&amp;" "&amp;$W$21&amp;" should be equal to "&amp;$B210&amp;""&amp;CHAR(10),""),IF((X211+X212+X213+X214)&lt;&gt;X210," * "&amp;$A210&amp;" , "&amp;$B211&amp;" plus "&amp;$B212&amp;" plus "&amp;$B213&amp;" plus "&amp;$B214&amp;" For age "&amp;$X$20&amp;" "&amp;$X$21&amp;" should be equal to "&amp;$B210&amp;""&amp;CHAR(10),""),IF((Y211+Y212+Y213+Y214)&lt;&gt;Y210," * "&amp;$A210&amp;" , "&amp;$B211&amp;" plus "&amp;$B212&amp;" plus "&amp;$B213&amp;" plus "&amp;$B214&amp;" For age "&amp;$X$20&amp;" "&amp;$Y$21&amp;" should be equal to "&amp;$B210&amp;""&amp;CHAR(10),""),IF((Z211+Z212+Z213+Z214)&lt;&gt;Z210," * "&amp;$A210&amp;" , "&amp;$B211&amp;" plus "&amp;$B212&amp;" plus "&amp;$B213&amp;" plus "&amp;$B214&amp;" For age "&amp;$Z$20&amp;" "&amp;$Z$21&amp;" should be equal to "&amp;$B210&amp;""&amp;CHAR(10),""),IF((AA211+AA212+AA213+AA214)&lt;&gt;AA210," * "&amp;$A210&amp;" , "&amp;$B211&amp;" plus "&amp;$B212&amp;" plus "&amp;$B213&amp;" plus "&amp;$B214&amp;" For age "&amp;$Z$20&amp;" "&amp;$AA$21&amp;" should be equal to "&amp;$B210&amp;""&amp;CHAR(10),""))</f>
        <v/>
      </c>
      <c r="AL210" s="914"/>
      <c r="AM210" s="521"/>
      <c r="AN210" s="829"/>
      <c r="AO210" s="283">
        <v>322</v>
      </c>
    </row>
    <row r="211" spans="1:45">
      <c r="A211" s="942"/>
      <c r="B211" s="421" t="s">
        <v>37</v>
      </c>
      <c r="C211" s="422" t="s">
        <v>523</v>
      </c>
      <c r="D211" s="155"/>
      <c r="E211" s="423"/>
      <c r="F211" s="424"/>
      <c r="G211" s="344"/>
      <c r="H211" s="344"/>
      <c r="I211" s="344"/>
      <c r="J211" s="344"/>
      <c r="K211" s="344"/>
      <c r="L211" s="344"/>
      <c r="M211" s="344"/>
      <c r="N211" s="344"/>
      <c r="O211" s="344"/>
      <c r="P211" s="344"/>
      <c r="Q211" s="344"/>
      <c r="R211" s="344"/>
      <c r="S211" s="344"/>
      <c r="T211" s="344"/>
      <c r="U211" s="344"/>
      <c r="V211" s="344"/>
      <c r="W211" s="344"/>
      <c r="X211" s="344"/>
      <c r="Y211" s="344"/>
      <c r="Z211" s="481">
        <f t="shared" si="134"/>
        <v>0</v>
      </c>
      <c r="AA211" s="481">
        <f t="shared" si="134"/>
        <v>0</v>
      </c>
      <c r="AB211" s="344"/>
      <c r="AC211" s="344"/>
      <c r="AD211" s="344"/>
      <c r="AE211" s="344"/>
      <c r="AF211" s="344"/>
      <c r="AG211" s="344"/>
      <c r="AH211" s="344"/>
      <c r="AI211" s="344"/>
      <c r="AJ211" s="256">
        <f t="shared" ref="AJ211:AJ214" si="139">SUM(D211:AA211)</f>
        <v>0</v>
      </c>
      <c r="AK211" s="119" t="str">
        <f>CONCATENATE(IF(D208&lt;D210," * Newly Tested Positives "&amp;$D$6&amp;" "&amp;$D$7&amp;" is more than TB Cases newly tested for HIV"&amp;CHAR(10),""),IF(E208&lt;E210," * Newly Tested Positives "&amp;$D$6&amp;" "&amp;$E$7&amp;" is more than TB Cases newly tested for HIV"&amp;CHAR(10),""),IF(F208&lt;F210," * Newly Tested Positives "&amp;$F$6&amp;" "&amp;$F$7&amp;" is more than TB Cases newly tested for HIV"&amp;CHAR(10),""),IF(G208&lt;G210," * Newly Tested Positives "&amp;$F$6&amp;" "&amp;$G$7&amp;" is more than TB Cases newly tested for HIV"&amp;CHAR(10),""),IF(H208&lt;H210," * Newly Tested Positives "&amp;$H$6&amp;" "&amp;$H$7&amp;" is more than TB Cases newly tested for HIV"&amp;CHAR(10),""),IF(I208&lt;I210," * Newly Tested Positives "&amp;$H$6&amp;" "&amp;$I$7&amp;" is more than TB Cases newly tested for HIV"&amp;CHAR(10),""),IF(J208&lt;J210," * Newly Tested Positives "&amp;$J$6&amp;" "&amp;$J$7&amp;" is more than TB Cases newly tested for HIV"&amp;CHAR(10),""),IF(K208&lt;K210," * Newly Tested Positives "&amp;$J$6&amp;" "&amp;$K$7&amp;" is more than TB Cases newly tested for HIV"&amp;CHAR(10),""),IF(L208&lt;L210," * Newly Tested Positives "&amp;$L$6&amp;" "&amp;$L$7&amp;" is more than TB Cases newly tested for HIV"&amp;CHAR(10),""),IF(M208&lt;M210," * Newly Tested Positives "&amp;$L$6&amp;" "&amp;$M$7&amp;" is more than TB Cases newly tested for HIV"&amp;CHAR(10),""),IF(N208&lt;N210," * Newly Tested Positives "&amp;$N$6&amp;" "&amp;$N$7&amp;" is more than TB Cases newly tested for HIV"&amp;CHAR(10),""),IF(O208&lt;O210," * Newly Tested Positives "&amp;$N$6&amp;" "&amp;$O$7&amp;" is more than TB Cases newly tested for HIV"&amp;CHAR(10),""),IF(P208&lt;P210," * Newly Tested Positives "&amp;$P$6&amp;" "&amp;$P$7&amp;" is more than TB Cases newly tested for HIV"&amp;CHAR(10),""),IF(Q208&lt;Q210," * Newly Tested Positives "&amp;$P$6&amp;" "&amp;$Q$7&amp;" is more than TB Cases newly tested for HIV"&amp;CHAR(10),""),IF(R208&lt;R210," * Newly Tested Positives "&amp;$R$6&amp;" "&amp;$R$7&amp;" is more than TB Cases newly tested for HIV"&amp;CHAR(10),""),IF(S208&lt;S210," * Newly Tested Positives "&amp;$R$6&amp;" "&amp;$S$7&amp;" is more than TB Cases newly tested for HIV"&amp;CHAR(10),""),IF(T208&lt;T210," * Newly Tested Positives "&amp;$T$6&amp;" "&amp;$T$7&amp;" is more than TB Cases newly tested for HIV"&amp;CHAR(10),""),IF(U208&lt;U210," * Newly Tested Positives "&amp;$T$6&amp;" "&amp;$U$7&amp;" is more than TB Cases newly tested for HIV"&amp;CHAR(10),""),IF(V208&lt;V210," * Newly Tested Positives "&amp;$V$6&amp;" "&amp;$V$7&amp;" is more than TB Cases newly tested for HIV"&amp;CHAR(10),""),IF(W208&lt;W210," * Newly Tested Positives "&amp;$V$6&amp;" "&amp;$W$7&amp;" is more than TB Cases newly tested for HIV"&amp;CHAR(10),""),IF(X208&lt;X210," * Newly Tested Positives "&amp;$X$6&amp;" "&amp;$X$7&amp;" is more than TB Cases newly tested for HIV"&amp;CHAR(10),""),IF(Y208&lt;Y210," * Newly Tested Positives "&amp;$X$6&amp;" "&amp;$Y$7&amp;" is more than TB Cases newly tested for HIV"&amp;CHAR(10),""),IF(Z208&lt;Z210," * Newly Tested Positives "&amp;$Z$6&amp;" "&amp;$Z$7&amp;" is more than TB Cases newly tested for HIV"&amp;CHAR(10),""),IF(AA208&lt;AA210," * Newly Tested Positives "&amp;$Z$6&amp;" "&amp;$AA$7&amp;" is more than TB Cases newly tested for HIV"&amp;CHAR(10),""))</f>
        <v/>
      </c>
      <c r="AL211" s="914"/>
      <c r="AM211" s="521"/>
      <c r="AN211" s="829"/>
      <c r="AO211" s="283"/>
    </row>
    <row r="212" spans="1:45">
      <c r="A212" s="942"/>
      <c r="B212" s="421" t="s">
        <v>41</v>
      </c>
      <c r="C212" s="422" t="s">
        <v>525</v>
      </c>
      <c r="D212" s="163"/>
      <c r="E212" s="425"/>
      <c r="F212" s="32"/>
      <c r="G212" s="33"/>
      <c r="H212" s="33"/>
      <c r="I212" s="33"/>
      <c r="J212" s="33"/>
      <c r="K212" s="33"/>
      <c r="L212" s="33"/>
      <c r="M212" s="33"/>
      <c r="N212" s="33"/>
      <c r="O212" s="33"/>
      <c r="P212" s="33"/>
      <c r="Q212" s="33"/>
      <c r="R212" s="33"/>
      <c r="S212" s="33"/>
      <c r="T212" s="33"/>
      <c r="U212" s="33"/>
      <c r="V212" s="33"/>
      <c r="W212" s="33"/>
      <c r="X212" s="33"/>
      <c r="Y212" s="33"/>
      <c r="Z212" s="481">
        <f t="shared" si="134"/>
        <v>0</v>
      </c>
      <c r="AA212" s="481">
        <f t="shared" si="134"/>
        <v>0</v>
      </c>
      <c r="AB212" s="33"/>
      <c r="AC212" s="33"/>
      <c r="AD212" s="33"/>
      <c r="AE212" s="33"/>
      <c r="AF212" s="33"/>
      <c r="AG212" s="33"/>
      <c r="AH212" s="33"/>
      <c r="AI212" s="33"/>
      <c r="AJ212" s="111">
        <f t="shared" si="139"/>
        <v>0</v>
      </c>
      <c r="AK212" s="119"/>
      <c r="AL212" s="914"/>
      <c r="AM212" s="521"/>
      <c r="AN212" s="829"/>
      <c r="AO212" s="283"/>
    </row>
    <row r="213" spans="1:45">
      <c r="A213" s="942"/>
      <c r="B213" s="421" t="s">
        <v>44</v>
      </c>
      <c r="C213" s="422" t="s">
        <v>526</v>
      </c>
      <c r="D213" s="163"/>
      <c r="E213" s="425"/>
      <c r="F213" s="34"/>
      <c r="G213" s="35"/>
      <c r="H213" s="35"/>
      <c r="I213" s="35"/>
      <c r="J213" s="35"/>
      <c r="K213" s="35"/>
      <c r="L213" s="35"/>
      <c r="M213" s="35"/>
      <c r="N213" s="35"/>
      <c r="O213" s="35"/>
      <c r="P213" s="35"/>
      <c r="Q213" s="35"/>
      <c r="R213" s="35"/>
      <c r="S213" s="35"/>
      <c r="T213" s="35"/>
      <c r="U213" s="35"/>
      <c r="V213" s="35"/>
      <c r="W213" s="35"/>
      <c r="X213" s="35"/>
      <c r="Y213" s="35"/>
      <c r="Z213" s="481">
        <f t="shared" si="134"/>
        <v>0</v>
      </c>
      <c r="AA213" s="481">
        <f t="shared" si="134"/>
        <v>0</v>
      </c>
      <c r="AB213" s="35"/>
      <c r="AC213" s="35"/>
      <c r="AD213" s="35"/>
      <c r="AE213" s="35"/>
      <c r="AF213" s="35"/>
      <c r="AG213" s="35"/>
      <c r="AH213" s="35"/>
      <c r="AI213" s="35"/>
      <c r="AJ213" s="111">
        <f t="shared" si="139"/>
        <v>0</v>
      </c>
      <c r="AK213" s="121"/>
      <c r="AL213" s="914"/>
      <c r="AM213" s="521"/>
      <c r="AN213" s="829"/>
      <c r="AO213" s="283"/>
    </row>
    <row r="214" spans="1:45" ht="31.5" thickBot="1">
      <c r="A214" s="942"/>
      <c r="B214" s="421" t="s">
        <v>47</v>
      </c>
      <c r="C214" s="422" t="s">
        <v>527</v>
      </c>
      <c r="D214" s="426"/>
      <c r="E214" s="427"/>
      <c r="F214" s="36"/>
      <c r="G214" s="37"/>
      <c r="H214" s="37"/>
      <c r="I214" s="37"/>
      <c r="J214" s="37"/>
      <c r="K214" s="37"/>
      <c r="L214" s="37"/>
      <c r="M214" s="37"/>
      <c r="N214" s="37"/>
      <c r="O214" s="37"/>
      <c r="P214" s="37"/>
      <c r="Q214" s="37"/>
      <c r="R214" s="37"/>
      <c r="S214" s="37"/>
      <c r="T214" s="37"/>
      <c r="U214" s="37"/>
      <c r="V214" s="37"/>
      <c r="W214" s="37"/>
      <c r="X214" s="37"/>
      <c r="Y214" s="37"/>
      <c r="Z214" s="481">
        <f t="shared" si="134"/>
        <v>0</v>
      </c>
      <c r="AA214" s="481">
        <f t="shared" si="134"/>
        <v>0</v>
      </c>
      <c r="AB214" s="37"/>
      <c r="AC214" s="37"/>
      <c r="AD214" s="37"/>
      <c r="AE214" s="37"/>
      <c r="AF214" s="37"/>
      <c r="AG214" s="37"/>
      <c r="AH214" s="37"/>
      <c r="AI214" s="37"/>
      <c r="AJ214" s="117">
        <f t="shared" si="139"/>
        <v>0</v>
      </c>
      <c r="AK214" s="121"/>
      <c r="AL214" s="914"/>
      <c r="AM214" s="521"/>
      <c r="AN214" s="829"/>
      <c r="AO214" s="283"/>
    </row>
    <row r="215" spans="1:45" ht="31.5" thickBot="1">
      <c r="A215" s="943"/>
      <c r="B215" s="428" t="s">
        <v>528</v>
      </c>
      <c r="C215" s="422" t="s">
        <v>529</v>
      </c>
      <c r="D215" s="429">
        <f>D205</f>
        <v>0</v>
      </c>
      <c r="E215" s="429">
        <f>E205</f>
        <v>0</v>
      </c>
      <c r="F215" s="429">
        <f t="shared" ref="F215:Y215" si="140">F210+F205</f>
        <v>0</v>
      </c>
      <c r="G215" s="429">
        <f t="shared" si="140"/>
        <v>0</v>
      </c>
      <c r="H215" s="429">
        <f t="shared" si="140"/>
        <v>0</v>
      </c>
      <c r="I215" s="429">
        <f t="shared" si="140"/>
        <v>0</v>
      </c>
      <c r="J215" s="429">
        <f t="shared" si="140"/>
        <v>0</v>
      </c>
      <c r="K215" s="429">
        <f t="shared" si="140"/>
        <v>0</v>
      </c>
      <c r="L215" s="429">
        <f t="shared" si="140"/>
        <v>0</v>
      </c>
      <c r="M215" s="429">
        <f t="shared" si="140"/>
        <v>0</v>
      </c>
      <c r="N215" s="429">
        <f t="shared" si="140"/>
        <v>0</v>
      </c>
      <c r="O215" s="429">
        <f t="shared" si="140"/>
        <v>0</v>
      </c>
      <c r="P215" s="429">
        <f t="shared" si="140"/>
        <v>0</v>
      </c>
      <c r="Q215" s="429">
        <f t="shared" si="140"/>
        <v>0</v>
      </c>
      <c r="R215" s="429">
        <f t="shared" si="140"/>
        <v>0</v>
      </c>
      <c r="S215" s="429">
        <f t="shared" si="140"/>
        <v>0</v>
      </c>
      <c r="T215" s="429">
        <f t="shared" si="140"/>
        <v>0</v>
      </c>
      <c r="U215" s="429">
        <f t="shared" si="140"/>
        <v>0</v>
      </c>
      <c r="V215" s="429">
        <f t="shared" si="140"/>
        <v>0</v>
      </c>
      <c r="W215" s="429">
        <f t="shared" si="140"/>
        <v>0</v>
      </c>
      <c r="X215" s="429">
        <f t="shared" si="140"/>
        <v>0</v>
      </c>
      <c r="Y215" s="429">
        <f t="shared" si="140"/>
        <v>0</v>
      </c>
      <c r="Z215" s="480">
        <f t="shared" si="134"/>
        <v>0</v>
      </c>
      <c r="AA215" s="480">
        <f t="shared" si="135"/>
        <v>0</v>
      </c>
      <c r="AB215" s="429">
        <f t="shared" ref="AB215:AI215" si="141">AB210+AB205</f>
        <v>0</v>
      </c>
      <c r="AC215" s="429">
        <f t="shared" si="141"/>
        <v>0</v>
      </c>
      <c r="AD215" s="429">
        <f t="shared" si="141"/>
        <v>0</v>
      </c>
      <c r="AE215" s="429">
        <f t="shared" si="141"/>
        <v>0</v>
      </c>
      <c r="AF215" s="429">
        <f t="shared" si="141"/>
        <v>0</v>
      </c>
      <c r="AG215" s="429">
        <f t="shared" si="141"/>
        <v>0</v>
      </c>
      <c r="AH215" s="429">
        <f t="shared" si="141"/>
        <v>0</v>
      </c>
      <c r="AI215" s="429">
        <f t="shared" si="141"/>
        <v>0</v>
      </c>
      <c r="AJ215" s="524">
        <f t="shared" si="132"/>
        <v>0</v>
      </c>
      <c r="AK215" s="525"/>
      <c r="AL215" s="915"/>
      <c r="AM215" s="521"/>
      <c r="AN215" s="830"/>
      <c r="AO215" s="283">
        <v>323</v>
      </c>
    </row>
    <row r="216" spans="1:45" ht="31.5" thickBot="1">
      <c r="A216" s="1019" t="s">
        <v>531</v>
      </c>
      <c r="B216" s="965"/>
      <c r="C216" s="965"/>
      <c r="D216" s="965"/>
      <c r="E216" s="965"/>
      <c r="F216" s="965"/>
      <c r="G216" s="965"/>
      <c r="H216" s="965"/>
      <c r="I216" s="965"/>
      <c r="J216" s="965"/>
      <c r="K216" s="965"/>
      <c r="L216" s="965"/>
      <c r="M216" s="965"/>
      <c r="N216" s="965"/>
      <c r="O216" s="965"/>
      <c r="P216" s="965"/>
      <c r="Q216" s="965"/>
      <c r="R216" s="965"/>
      <c r="S216" s="965"/>
      <c r="T216" s="965"/>
      <c r="U216" s="965"/>
      <c r="V216" s="965"/>
      <c r="W216" s="965"/>
      <c r="X216" s="965"/>
      <c r="Y216" s="965"/>
      <c r="Z216" s="965"/>
      <c r="AA216" s="965"/>
      <c r="AB216" s="965"/>
      <c r="AC216" s="965"/>
      <c r="AD216" s="965"/>
      <c r="AE216" s="965"/>
      <c r="AF216" s="965"/>
      <c r="AG216" s="965"/>
      <c r="AH216" s="965"/>
      <c r="AI216" s="965"/>
      <c r="AJ216" s="965"/>
      <c r="AK216" s="965"/>
      <c r="AL216" s="965"/>
      <c r="AM216" s="965"/>
      <c r="AN216" s="966"/>
      <c r="AO216" s="283">
        <v>316</v>
      </c>
    </row>
    <row r="217" spans="1:45" ht="56.25">
      <c r="A217" s="941" t="s">
        <v>532</v>
      </c>
      <c r="B217" s="430" t="s">
        <v>533</v>
      </c>
      <c r="C217" s="431" t="s">
        <v>534</v>
      </c>
      <c r="D217" s="415"/>
      <c r="E217" s="416"/>
      <c r="F217" s="432"/>
      <c r="G217" s="432"/>
      <c r="H217" s="432"/>
      <c r="I217" s="432"/>
      <c r="J217" s="432"/>
      <c r="K217" s="432"/>
      <c r="L217" s="432"/>
      <c r="M217" s="432"/>
      <c r="N217" s="432"/>
      <c r="O217" s="432"/>
      <c r="P217" s="432"/>
      <c r="Q217" s="432"/>
      <c r="R217" s="432"/>
      <c r="S217" s="432"/>
      <c r="T217" s="432"/>
      <c r="U217" s="432"/>
      <c r="V217" s="432"/>
      <c r="W217" s="432"/>
      <c r="X217" s="432"/>
      <c r="Y217" s="432"/>
      <c r="Z217" s="480">
        <f t="shared" si="134"/>
        <v>0</v>
      </c>
      <c r="AA217" s="480">
        <f t="shared" si="135"/>
        <v>0</v>
      </c>
      <c r="AB217" s="432"/>
      <c r="AC217" s="432"/>
      <c r="AD217" s="432"/>
      <c r="AE217" s="432"/>
      <c r="AF217" s="432"/>
      <c r="AG217" s="432"/>
      <c r="AH217" s="432"/>
      <c r="AI217" s="432"/>
      <c r="AJ217" s="526">
        <f t="shared" si="132"/>
        <v>0</v>
      </c>
      <c r="AK217" s="522"/>
      <c r="AL217" s="913" t="str">
        <f>CONCATENATE(AK217,AK218,AK219)</f>
        <v/>
      </c>
      <c r="AM217" s="522" t="str">
        <f>CONCATENATE(IF(D210&gt;D217," * Newly Tested Positives "&amp;$D$6&amp;" "&amp;$D$7&amp;" is more than Total Positive Clients newly started on ART"&amp;CHAR(10),""),IF(E210&gt;E217," * Newly Tested Positives "&amp;$D$6&amp;" "&amp;$E$7&amp;" is more than Total Positive Clients newly started on ART"&amp;CHAR(10),""),IF(F210&gt;F217," * Newly Tested Positives "&amp;$F$6&amp;" "&amp;$F$7&amp;" is more than Total Positive Clients newly started on ART"&amp;CHAR(10),""),IF(G210&gt;G217," * Newly Tested Positives "&amp;$F$6&amp;" "&amp;$G$7&amp;" is more than Total Positive Clients newly started on ART"&amp;CHAR(10),""),IF(H210&gt;H217," * Newly Tested Positives "&amp;$H$6&amp;" "&amp;$H$7&amp;" is more than Total Positive Clients newly started on ART"&amp;CHAR(10),""),IF(I210&gt;I217," * Newly Tested Positives "&amp;$H$6&amp;" "&amp;$I$7&amp;" is more than Total Positive Clients newly started on ART"&amp;CHAR(10),""),IF(J210&gt;J217," * Newly Tested Positives "&amp;$J$6&amp;" "&amp;$J$7&amp;" is more than Total Positive Clients newly started on ART"&amp;CHAR(10),""),IF(K210&gt;K217," * Newly Tested Positives "&amp;$J$6&amp;" "&amp;$K$7&amp;" is more than Total Positive Clients newly started on ART"&amp;CHAR(10),""),IF(L210&gt;L217," * Newly Tested Positives "&amp;$L$6&amp;" "&amp;$L$7&amp;" is more than Total Positive Clients newly started on ART"&amp;CHAR(10),""),IF(M210&gt;M217," * Newly Tested Positives "&amp;$L$6&amp;" "&amp;$M$7&amp;" is more than Total Positive Clients newly started on ART"&amp;CHAR(10),""),IF(N210&gt;N217," * Newly Tested Positives "&amp;$N$6&amp;" "&amp;$N$7&amp;" is more than Total Positive Clients newly started on ART"&amp;CHAR(10),""),IF(O210&gt;O217," * Newly Tested Positives "&amp;$N$6&amp;" "&amp;$O$7&amp;" is more than Total Positive Clients newly started on ART"&amp;CHAR(10),""),IF(P210&gt;P217," * Newly Tested Positives "&amp;$P$6&amp;" "&amp;$P$7&amp;" is more than Total Positive Clients newly started on ART"&amp;CHAR(10),""),IF(Q210&gt;Q217," * Newly Tested Positives "&amp;$P$6&amp;" "&amp;$Q$7&amp;" is more than Total Positive Clients newly started on ART"&amp;CHAR(10),""),IF(R210&gt;R217," * Newly Tested Positives "&amp;$R$6&amp;" "&amp;$R$7&amp;" is more than Total Positive Clients newly started on ART"&amp;CHAR(10),""),IF(S210&gt;S217," * Newly Tested Positives "&amp;$R$6&amp;" "&amp;$S$7&amp;" is more than Total Positive Clients newly started on ART"&amp;CHAR(10),""),IF(T210&gt;T217," * Newly Tested Positives "&amp;$T$6&amp;" "&amp;$T$7&amp;" is more than Total Positive Clients newly started on ART"&amp;CHAR(10),""),IF(U210&gt;U217," * Newly Tested Positives "&amp;$T$6&amp;" "&amp;$U$7&amp;" is more than Total Positive Clients newly started on ART"&amp;CHAR(10),""),IF(V210&gt;V217," * Newly Tested Positives "&amp;$V$6&amp;" "&amp;$V$7&amp;" is more than Total Positive Clients newly started on ART"&amp;CHAR(10),""),IF(W210&gt;W217," * Newly Tested Positives "&amp;$V$6&amp;" "&amp;$W$7&amp;" is more than Total Positive Clients newly started on ART"&amp;CHAR(10),""),IF(X210&gt;X217," * Newly Tested Positives "&amp;$X$6&amp;" "&amp;$X$7&amp;" is more than Total Positive Clients newly started on ART"&amp;CHAR(10),""),IF(Y210&gt;Y217," * Newly Tested Positives "&amp;$X$6&amp;" "&amp;$Y$7&amp;" is more than Total Positive Clients newly started on ART"&amp;CHAR(10),""),IF(Z210&gt;Z217," * Newly Tested Positives "&amp;$Z$6&amp;" "&amp;$Z$7&amp;" is more than Total Positive Clients newly started on ART"&amp;CHAR(10),""),IF(AA210&gt;AA217," * Newly Tested Positives "&amp;$Z$6&amp;" "&amp;$AA$7&amp;" is more than Total Positive Clients newly started on ART"&amp;CHAR(10),""))</f>
        <v/>
      </c>
      <c r="AN217" s="828"/>
      <c r="AO217" s="283">
        <v>324</v>
      </c>
    </row>
    <row r="218" spans="1:45" ht="56.25">
      <c r="A218" s="942"/>
      <c r="B218" s="433" t="s">
        <v>536</v>
      </c>
      <c r="C218" s="413" t="s">
        <v>537</v>
      </c>
      <c r="D218" s="420"/>
      <c r="E218" s="420"/>
      <c r="F218" s="420"/>
      <c r="G218" s="420"/>
      <c r="H218" s="420"/>
      <c r="I218" s="420"/>
      <c r="J218" s="420"/>
      <c r="K218" s="420"/>
      <c r="L218" s="420"/>
      <c r="M218" s="420"/>
      <c r="N218" s="420"/>
      <c r="O218" s="420"/>
      <c r="P218" s="420"/>
      <c r="Q218" s="420"/>
      <c r="R218" s="420"/>
      <c r="S218" s="420"/>
      <c r="T218" s="420"/>
      <c r="U218" s="420"/>
      <c r="V218" s="420"/>
      <c r="W218" s="420"/>
      <c r="X218" s="420"/>
      <c r="Y218" s="420"/>
      <c r="Z218" s="480">
        <f>SUM(AB218,AD218,AF218,AH218)</f>
        <v>0</v>
      </c>
      <c r="AA218" s="480">
        <f t="shared" si="135"/>
        <v>0</v>
      </c>
      <c r="AB218" s="420"/>
      <c r="AC218" s="420"/>
      <c r="AD218" s="420"/>
      <c r="AE218" s="420"/>
      <c r="AF218" s="420"/>
      <c r="AG218" s="420"/>
      <c r="AH218" s="420"/>
      <c r="AI218" s="420"/>
      <c r="AJ218" s="519">
        <f t="shared" si="132"/>
        <v>0</v>
      </c>
      <c r="AK218" s="522" t="str">
        <f>CONCATENATE(IF(D205&lt;&gt;D218," * TB Cases Already on ART at entry in TB clinic "&amp;$D$6&amp;" "&amp;$D$7&amp;" is Not equal to  TB cases with known HIV +ve status"&amp;CHAR(10),""),IF(E205&lt;&gt;E218," * TB Cases Already on ART at entry in TB clinic "&amp;$D$6&amp;" "&amp;$E$7&amp;" is Not equal to  TB cases with known HIV +ve status"&amp;CHAR(10),""),IF(F205&lt;&gt;F218," * TB Cases Already on ART at entry in TB clinic "&amp;$F$6&amp;" "&amp;$F$7&amp;" is Not equal to  TB cases with known HIV +ve status"&amp;CHAR(10),""),IF(G205&lt;&gt;G218," * TB Cases Already on ART at entry in TB clinic "&amp;$F$6&amp;" "&amp;$G$7&amp;" is Not equal to  TB cases with known HIV +ve status"&amp;CHAR(10),""),IF(H205&lt;&gt;H218," * TB Cases Already on ART at entry in TB clinic "&amp;$H$6&amp;" "&amp;$H$7&amp;" is Not equal to  TB cases with known HIV +ve status"&amp;CHAR(10),""),IF(I205&lt;&gt;I218," * TB Cases Already on ART at entry in TB clinic "&amp;$H$6&amp;" "&amp;$I$7&amp;" is Not equal to  TB cases with known HIV +ve status"&amp;CHAR(10),""),IF(J205&lt;&gt;J218," * TB Cases Already on ART at entry in TB clinic "&amp;$J$6&amp;" "&amp;$J$7&amp;" is Not equal to  TB cases with known HIV +ve status"&amp;CHAR(10),""),IF(K205&lt;&gt;K218," * TB Cases Already on ART at entry in TB clinic "&amp;$J$6&amp;" "&amp;$K$7&amp;" is Not equal to  TB cases with known HIV +ve status"&amp;CHAR(10),""),IF(L205&lt;&gt;L218," * TB Cases Already on ART at entry in TB clinic "&amp;$L$6&amp;" "&amp;$L$7&amp;" is Not equal to  TB cases with known HIV +ve status"&amp;CHAR(10),""),IF(M205&lt;&gt;M218," * TB Cases Already on ART at entry in TB clinic "&amp;$L$6&amp;" "&amp;$M$7&amp;" is Not equal to  TB cases with known HIV +ve status"&amp;CHAR(10),""),IF(N205&lt;&gt;N218," * TB Cases Already on ART at entry in TB clinic "&amp;$N$6&amp;" "&amp;$N$7&amp;" is Not equal to  TB cases with known HIV +ve status"&amp;CHAR(10),""),IF(O205&lt;&gt;O218," * TB Cases Already on ART at entry in TB clinic "&amp;$N$6&amp;" "&amp;$O$7&amp;" is Not equal to  TB cases with known HIV +ve status"&amp;CHAR(10),""),IF(P205&lt;&gt;P218," * TB Cases Already on ART at entry in TB clinic "&amp;$P$6&amp;" "&amp;$P$7&amp;" is Not equal to  TB cases with known HIV +ve status"&amp;CHAR(10),""),IF(Q205&lt;&gt;Q218," * TB Cases Already on ART at entry in TB clinic "&amp;$P$6&amp;" "&amp;$Q$7&amp;" is Not equal to  TB cases with known HIV +ve status"&amp;CHAR(10),""),IF(R205&lt;&gt;R218," * TB Cases Already on ART at entry in TB clinic "&amp;$R$6&amp;" "&amp;$R$7&amp;" is Not equal to  TB cases with known HIV +ve status"&amp;CHAR(10),""),IF(S205&lt;&gt;S218," * TB Cases Already on ART at entry in TB clinic "&amp;$R$6&amp;" "&amp;$S$7&amp;" is Not equal to  TB cases with known HIV +ve status"&amp;CHAR(10),""),IF(T205&lt;&gt;T218," * TB Cases Already on ART at entry in TB clinic "&amp;$T$6&amp;" "&amp;$T$7&amp;" is Not equal to  TB cases with known HIV +ve status"&amp;CHAR(10),""),IF(U205&lt;&gt;U218," * TB Cases Already on ART at entry in TB clinic "&amp;$T$6&amp;" "&amp;$U$7&amp;" is Not equal to  TB cases with known HIV +ve status"&amp;CHAR(10),""),IF(V205&lt;&gt;V218," * TB Cases Already on ART at entry in TB clinic "&amp;$V$6&amp;" "&amp;$V$7&amp;" is Not equal to  TB cases with known HIV +ve status"&amp;CHAR(10),""),IF(W205&lt;&gt;W218," * TB Cases Already on ART at entry in TB clinic "&amp;$V$6&amp;" "&amp;$W$7&amp;" is Not equal to  TB cases with known HIV +ve status"&amp;CHAR(10),""),IF(X205&lt;&gt;X218," * TB Cases Already on ART at entry in TB clinic "&amp;$X$6&amp;" "&amp;$X$7&amp;" is Not equal to  TB cases with known HIV +ve status"&amp;CHAR(10),""),IF(Y205&lt;&gt;Y218," * TB Cases Already on ART at entry in TB clinic "&amp;$X$6&amp;" "&amp;$Y$7&amp;" is Not equal to  TB cases with known HIV +ve status"&amp;CHAR(10),""),IF(Z205&lt;&gt;Z218," * TB Cases Already on ART at entry in TB clinic "&amp;$Z$6&amp;" "&amp;$Z$7&amp;" is Not equal to  TB cases with known HIV +ve status"&amp;CHAR(10),""),IF(AA205&lt;&gt;AA218," * TB Cases Already on ART at entry in TB clinic "&amp;$Z$6&amp;" "&amp;$AA$7&amp;" is Not equal to  TB cases with known HIV +ve status"&amp;CHAR(10),""))</f>
        <v/>
      </c>
      <c r="AL218" s="914"/>
      <c r="AM218" s="521"/>
      <c r="AN218" s="829"/>
      <c r="AO218" s="283">
        <v>325</v>
      </c>
    </row>
    <row r="219" spans="1:45" ht="57" thickBot="1">
      <c r="A219" s="943"/>
      <c r="B219" s="333" t="s">
        <v>539</v>
      </c>
      <c r="C219" s="434" t="s">
        <v>540</v>
      </c>
      <c r="D219" s="435">
        <f t="shared" ref="D219:Y219" si="142">D218+D217</f>
        <v>0</v>
      </c>
      <c r="E219" s="435">
        <f t="shared" si="142"/>
        <v>0</v>
      </c>
      <c r="F219" s="435">
        <f t="shared" si="142"/>
        <v>0</v>
      </c>
      <c r="G219" s="435">
        <f t="shared" si="142"/>
        <v>0</v>
      </c>
      <c r="H219" s="435">
        <f t="shared" si="142"/>
        <v>0</v>
      </c>
      <c r="I219" s="435">
        <f t="shared" si="142"/>
        <v>0</v>
      </c>
      <c r="J219" s="435">
        <f t="shared" si="142"/>
        <v>0</v>
      </c>
      <c r="K219" s="435">
        <f t="shared" si="142"/>
        <v>0</v>
      </c>
      <c r="L219" s="435">
        <f t="shared" si="142"/>
        <v>0</v>
      </c>
      <c r="M219" s="435">
        <f t="shared" si="142"/>
        <v>0</v>
      </c>
      <c r="N219" s="435">
        <f t="shared" si="142"/>
        <v>0</v>
      </c>
      <c r="O219" s="435">
        <f t="shared" si="142"/>
        <v>0</v>
      </c>
      <c r="P219" s="435">
        <f t="shared" si="142"/>
        <v>0</v>
      </c>
      <c r="Q219" s="435">
        <f t="shared" si="142"/>
        <v>0</v>
      </c>
      <c r="R219" s="435">
        <f t="shared" si="142"/>
        <v>0</v>
      </c>
      <c r="S219" s="435">
        <f t="shared" si="142"/>
        <v>0</v>
      </c>
      <c r="T219" s="435">
        <f t="shared" si="142"/>
        <v>0</v>
      </c>
      <c r="U219" s="435">
        <f t="shared" si="142"/>
        <v>0</v>
      </c>
      <c r="V219" s="435">
        <f t="shared" si="142"/>
        <v>0</v>
      </c>
      <c r="W219" s="435">
        <f t="shared" si="142"/>
        <v>0</v>
      </c>
      <c r="X219" s="435">
        <f t="shared" si="142"/>
        <v>0</v>
      </c>
      <c r="Y219" s="435">
        <f t="shared" si="142"/>
        <v>0</v>
      </c>
      <c r="Z219" s="480">
        <f>SUM(AB219,AD219,AF219,AH219)</f>
        <v>0</v>
      </c>
      <c r="AA219" s="480">
        <f t="shared" si="135"/>
        <v>0</v>
      </c>
      <c r="AB219" s="435">
        <f t="shared" ref="AB219:AI219" si="143">AB218+AB217</f>
        <v>0</v>
      </c>
      <c r="AC219" s="435">
        <f t="shared" si="143"/>
        <v>0</v>
      </c>
      <c r="AD219" s="435">
        <f t="shared" si="143"/>
        <v>0</v>
      </c>
      <c r="AE219" s="435">
        <f t="shared" si="143"/>
        <v>0</v>
      </c>
      <c r="AF219" s="435">
        <f t="shared" si="143"/>
        <v>0</v>
      </c>
      <c r="AG219" s="435">
        <f t="shared" si="143"/>
        <v>0</v>
      </c>
      <c r="AH219" s="435">
        <f t="shared" si="143"/>
        <v>0</v>
      </c>
      <c r="AI219" s="435">
        <f t="shared" si="143"/>
        <v>0</v>
      </c>
      <c r="AJ219" s="527">
        <f t="shared" si="132"/>
        <v>0</v>
      </c>
      <c r="AK219" s="522" t="str">
        <f>CONCATENATE(IF(D209&lt;D219," * HIV coinfected clients started on ART "&amp;$D$6&amp;" "&amp;$D$7&amp;" is more than TB cases with documented HIV status"&amp;CHAR(10),""),IF(E209&lt;E219," * HIV coinfected clients started on ART "&amp;$D$6&amp;" "&amp;$E$7&amp;" is more than TB cases with documented HIV status"&amp;CHAR(10),""),IF(F209&lt;F219," * HIV coinfected clients started on ART "&amp;$F$6&amp;" "&amp;$F$7&amp;" is more than TB cases with documented HIV status"&amp;CHAR(10),""),IF(G209&lt;G219," * HIV coinfected clients started on ART "&amp;$F$6&amp;" "&amp;$G$7&amp;" is more than TB cases with documented HIV status"&amp;CHAR(10),""),IF(H209&lt;H219," * HIV coinfected clients started on ART "&amp;$H$6&amp;" "&amp;$H$7&amp;" is more than TB cases with documented HIV status"&amp;CHAR(10),""),IF(I209&lt;I219," * HIV coinfected clients started on ART "&amp;$H$6&amp;" "&amp;$I$7&amp;" is more than TB cases with documented HIV status"&amp;CHAR(10),""),IF(J209&lt;J219," * HIV coinfected clients started on ART "&amp;$J$6&amp;" "&amp;$J$7&amp;" is more than TB cases with documented HIV status"&amp;CHAR(10),""),IF(K209&lt;K219," * HIV coinfected clients started on ART "&amp;$J$6&amp;" "&amp;$K$7&amp;" is more than TB cases with documented HIV status"&amp;CHAR(10),""),IF(L209&lt;L219," * HIV coinfected clients started on ART "&amp;$L$6&amp;" "&amp;$L$7&amp;" is more than TB cases with documented HIV status"&amp;CHAR(10),""),IF(M209&lt;M219," * HIV coinfected clients started on ART "&amp;$L$6&amp;" "&amp;$M$7&amp;" is more than TB cases with documented HIV status"&amp;CHAR(10),""),IF(N209&lt;N219," * HIV coinfected clients started on ART "&amp;$N$6&amp;" "&amp;$N$7&amp;" is more than TB cases with documented HIV status"&amp;CHAR(10),""),IF(O209&lt;O219," * HIV coinfected clients started on ART "&amp;$N$6&amp;" "&amp;$O$7&amp;" is more than TB cases with documented HIV status"&amp;CHAR(10),""),IF(P209&lt;P219," * HIV coinfected clients started on ART "&amp;$P$6&amp;" "&amp;$P$7&amp;" is more than TB cases with documented HIV status"&amp;CHAR(10),""),IF(Q209&lt;Q219," * HIV coinfected clients started on ART "&amp;$P$6&amp;" "&amp;$Q$7&amp;" is more than TB cases with documented HIV status"&amp;CHAR(10),""),IF(R209&lt;R219," * HIV coinfected clients started on ART "&amp;$R$6&amp;" "&amp;$R$7&amp;" is more than TB cases with documented HIV status"&amp;CHAR(10),""),IF(S209&lt;S219," * HIV coinfected clients started on ART "&amp;$R$6&amp;" "&amp;$S$7&amp;" is more than TB cases with documented HIV status"&amp;CHAR(10),""),IF(T209&lt;T219," * HIV coinfected clients started on ART "&amp;$T$6&amp;" "&amp;$T$7&amp;" is more than TB cases with documented HIV status"&amp;CHAR(10),""),IF(U209&lt;U219," * HIV coinfected clients started on ART "&amp;$T$6&amp;" "&amp;$U$7&amp;" is more than TB cases with documented HIV status"&amp;CHAR(10),""),IF(V209&lt;V219," * HIV coinfected clients started on ART "&amp;$V$6&amp;" "&amp;$V$7&amp;" is more than TB cases with documented HIV status"&amp;CHAR(10),""),IF(W209&lt;W219," * HIV coinfected clients started on ART "&amp;$V$6&amp;" "&amp;$W$7&amp;" is more than TB cases with documented HIV status"&amp;CHAR(10),""),IF(X209&lt;X219," * HIV coinfected clients started on ART "&amp;$X$6&amp;" "&amp;$X$7&amp;" is more than TB cases with documented HIV status"&amp;CHAR(10),""),IF(Y209&lt;Y219," * HIV coinfected clients started on ART "&amp;$X$6&amp;" "&amp;$Y$7&amp;" is more than TB cases with documented HIV status"&amp;CHAR(10),""),IF(Z209&lt;Z219," * HIV coinfected clients started on ART "&amp;$Z$6&amp;" "&amp;$Z$7&amp;" is more than TB cases with documented HIV status"&amp;CHAR(10),""),IF(AA209&lt;AA219," * HIV coinfected clients started on ART "&amp;$Z$6&amp;" "&amp;$AA$7&amp;" is more than TB cases with documented HIV status"&amp;CHAR(10),""))</f>
        <v/>
      </c>
      <c r="AL219" s="915"/>
      <c r="AM219" s="521"/>
      <c r="AN219" s="830"/>
      <c r="AO219" s="283">
        <v>326</v>
      </c>
    </row>
    <row r="220" spans="1:45" ht="31.5" thickBot="1">
      <c r="A220" s="833" t="s">
        <v>542</v>
      </c>
      <c r="B220" s="834"/>
      <c r="C220" s="834"/>
      <c r="D220" s="834"/>
      <c r="E220" s="834"/>
      <c r="F220" s="834"/>
      <c r="G220" s="834"/>
      <c r="H220" s="834"/>
      <c r="I220" s="834"/>
      <c r="J220" s="834"/>
      <c r="K220" s="834"/>
      <c r="L220" s="834"/>
      <c r="M220" s="834"/>
      <c r="N220" s="834"/>
      <c r="O220" s="834"/>
      <c r="P220" s="834"/>
      <c r="Q220" s="834"/>
      <c r="R220" s="834"/>
      <c r="S220" s="834"/>
      <c r="T220" s="834"/>
      <c r="U220" s="834"/>
      <c r="V220" s="834"/>
      <c r="W220" s="834"/>
      <c r="X220" s="834"/>
      <c r="Y220" s="834"/>
      <c r="Z220" s="834"/>
      <c r="AA220" s="834"/>
      <c r="AB220" s="834"/>
      <c r="AC220" s="834"/>
      <c r="AD220" s="834"/>
      <c r="AE220" s="834"/>
      <c r="AF220" s="834"/>
      <c r="AG220" s="834"/>
      <c r="AH220" s="834"/>
      <c r="AI220" s="834"/>
      <c r="AJ220" s="834"/>
      <c r="AK220" s="834"/>
      <c r="AL220" s="834"/>
      <c r="AM220" s="834"/>
      <c r="AN220" s="835"/>
      <c r="AO220" s="283">
        <v>244</v>
      </c>
    </row>
    <row r="221" spans="1:45">
      <c r="A221" s="964" t="s">
        <v>543</v>
      </c>
      <c r="B221" s="965"/>
      <c r="C221" s="965"/>
      <c r="D221" s="965"/>
      <c r="E221" s="965"/>
      <c r="F221" s="965"/>
      <c r="G221" s="965"/>
      <c r="H221" s="965"/>
      <c r="I221" s="965"/>
      <c r="J221" s="965"/>
      <c r="K221" s="965"/>
      <c r="L221" s="965"/>
      <c r="M221" s="965"/>
      <c r="N221" s="965"/>
      <c r="O221" s="965"/>
      <c r="P221" s="965"/>
      <c r="Q221" s="965"/>
      <c r="R221" s="965"/>
      <c r="S221" s="965"/>
      <c r="T221" s="965"/>
      <c r="U221" s="965"/>
      <c r="V221" s="965"/>
      <c r="W221" s="965"/>
      <c r="X221" s="965"/>
      <c r="Y221" s="965"/>
      <c r="Z221" s="965"/>
      <c r="AA221" s="965"/>
      <c r="AB221" s="965"/>
      <c r="AC221" s="965"/>
      <c r="AD221" s="965"/>
      <c r="AE221" s="965"/>
      <c r="AF221" s="965"/>
      <c r="AG221" s="965"/>
      <c r="AH221" s="965"/>
      <c r="AI221" s="965"/>
      <c r="AJ221" s="965"/>
      <c r="AK221" s="965"/>
      <c r="AL221" s="965"/>
      <c r="AM221" s="965"/>
      <c r="AN221" s="966"/>
      <c r="AO221" s="283"/>
    </row>
    <row r="222" spans="1:45" ht="26.25" customHeight="1">
      <c r="A222" s="944" t="s">
        <v>3</v>
      </c>
      <c r="B222" s="1013" t="s">
        <v>4</v>
      </c>
      <c r="C222" s="1022" t="s">
        <v>5</v>
      </c>
      <c r="D222" s="1010" t="s">
        <v>888</v>
      </c>
      <c r="E222" s="1010"/>
      <c r="F222" s="1010" t="s">
        <v>889</v>
      </c>
      <c r="G222" s="1010"/>
      <c r="H222" s="1010" t="s">
        <v>890</v>
      </c>
      <c r="I222" s="1010"/>
      <c r="J222" s="1010" t="s">
        <v>891</v>
      </c>
      <c r="K222" s="1010"/>
      <c r="L222" s="1010" t="s">
        <v>892</v>
      </c>
      <c r="M222" s="1010"/>
      <c r="N222" s="1010" t="s">
        <v>893</v>
      </c>
      <c r="O222" s="1010"/>
      <c r="P222" s="1010" t="s">
        <v>894</v>
      </c>
      <c r="Q222" s="1010"/>
      <c r="R222" s="1010" t="s">
        <v>895</v>
      </c>
      <c r="S222" s="1010"/>
      <c r="T222" s="1010" t="s">
        <v>896</v>
      </c>
      <c r="U222" s="1010"/>
      <c r="V222" s="1010" t="s">
        <v>897</v>
      </c>
      <c r="W222" s="1010"/>
      <c r="X222" s="1010" t="s">
        <v>898</v>
      </c>
      <c r="Y222" s="1010"/>
      <c r="Z222" s="1010" t="s">
        <v>899</v>
      </c>
      <c r="AA222" s="1010"/>
      <c r="AB222" s="1011" t="s">
        <v>900</v>
      </c>
      <c r="AC222" s="1012"/>
      <c r="AD222" s="1011" t="s">
        <v>901</v>
      </c>
      <c r="AE222" s="1012"/>
      <c r="AF222" s="1011" t="s">
        <v>902</v>
      </c>
      <c r="AG222" s="1012"/>
      <c r="AH222" s="1011" t="s">
        <v>903</v>
      </c>
      <c r="AI222" s="1012"/>
      <c r="AJ222" s="974" t="s">
        <v>904</v>
      </c>
      <c r="AK222" s="923" t="s">
        <v>905</v>
      </c>
      <c r="AL222" s="911" t="s">
        <v>906</v>
      </c>
      <c r="AM222" s="922" t="s">
        <v>907</v>
      </c>
      <c r="AN222" s="888" t="s">
        <v>907</v>
      </c>
      <c r="AO222" s="283">
        <v>245</v>
      </c>
    </row>
    <row r="223" spans="1:45" ht="27" customHeight="1" thickBot="1">
      <c r="A223" s="945"/>
      <c r="B223" s="978"/>
      <c r="C223" s="1003"/>
      <c r="D223" s="82" t="s">
        <v>908</v>
      </c>
      <c r="E223" s="82" t="s">
        <v>909</v>
      </c>
      <c r="F223" s="82" t="s">
        <v>908</v>
      </c>
      <c r="G223" s="82" t="s">
        <v>909</v>
      </c>
      <c r="H223" s="82" t="s">
        <v>908</v>
      </c>
      <c r="I223" s="82" t="s">
        <v>909</v>
      </c>
      <c r="J223" s="82" t="s">
        <v>908</v>
      </c>
      <c r="K223" s="82" t="s">
        <v>909</v>
      </c>
      <c r="L223" s="82" t="s">
        <v>908</v>
      </c>
      <c r="M223" s="82" t="s">
        <v>909</v>
      </c>
      <c r="N223" s="82" t="s">
        <v>908</v>
      </c>
      <c r="O223" s="82" t="s">
        <v>909</v>
      </c>
      <c r="P223" s="82" t="s">
        <v>908</v>
      </c>
      <c r="Q223" s="82" t="s">
        <v>909</v>
      </c>
      <c r="R223" s="82" t="s">
        <v>908</v>
      </c>
      <c r="S223" s="82" t="s">
        <v>909</v>
      </c>
      <c r="T223" s="82" t="s">
        <v>908</v>
      </c>
      <c r="U223" s="82" t="s">
        <v>909</v>
      </c>
      <c r="V223" s="82" t="s">
        <v>908</v>
      </c>
      <c r="W223" s="82" t="s">
        <v>909</v>
      </c>
      <c r="X223" s="82" t="s">
        <v>908</v>
      </c>
      <c r="Y223" s="82" t="s">
        <v>909</v>
      </c>
      <c r="Z223" s="82" t="s">
        <v>908</v>
      </c>
      <c r="AA223" s="82" t="s">
        <v>909</v>
      </c>
      <c r="AB223" s="82" t="s">
        <v>908</v>
      </c>
      <c r="AC223" s="82" t="s">
        <v>909</v>
      </c>
      <c r="AD223" s="82" t="s">
        <v>908</v>
      </c>
      <c r="AE223" s="82" t="s">
        <v>909</v>
      </c>
      <c r="AF223" s="82" t="s">
        <v>908</v>
      </c>
      <c r="AG223" s="82" t="s">
        <v>909</v>
      </c>
      <c r="AH223" s="82" t="s">
        <v>908</v>
      </c>
      <c r="AI223" s="82" t="s">
        <v>909</v>
      </c>
      <c r="AJ223" s="975"/>
      <c r="AK223" s="924"/>
      <c r="AL223" s="912"/>
      <c r="AM223" s="922"/>
      <c r="AN223" s="889"/>
      <c r="AO223" s="283">
        <v>246</v>
      </c>
    </row>
    <row r="224" spans="1:45" s="8" customFormat="1" ht="31.5" thickBot="1">
      <c r="A224" s="436" t="s">
        <v>942</v>
      </c>
      <c r="B224" s="437" t="s">
        <v>545</v>
      </c>
      <c r="C224" s="287" t="s">
        <v>546</v>
      </c>
      <c r="D224" s="438">
        <f t="shared" ref="D224:AI224" si="144">SUM(D225:D229)</f>
        <v>0</v>
      </c>
      <c r="E224" s="439">
        <f t="shared" si="144"/>
        <v>0</v>
      </c>
      <c r="F224" s="439">
        <f t="shared" si="144"/>
        <v>0</v>
      </c>
      <c r="G224" s="439">
        <f t="shared" si="144"/>
        <v>0</v>
      </c>
      <c r="H224" s="439">
        <f t="shared" si="144"/>
        <v>0</v>
      </c>
      <c r="I224" s="439">
        <f t="shared" si="144"/>
        <v>0</v>
      </c>
      <c r="J224" s="439">
        <f t="shared" si="144"/>
        <v>0</v>
      </c>
      <c r="K224" s="439">
        <f t="shared" si="144"/>
        <v>0</v>
      </c>
      <c r="L224" s="439">
        <f t="shared" si="144"/>
        <v>0</v>
      </c>
      <c r="M224" s="439">
        <f t="shared" si="144"/>
        <v>0</v>
      </c>
      <c r="N224" s="439">
        <f t="shared" si="144"/>
        <v>0</v>
      </c>
      <c r="O224" s="439">
        <f t="shared" si="144"/>
        <v>0</v>
      </c>
      <c r="P224" s="439">
        <f t="shared" si="144"/>
        <v>0</v>
      </c>
      <c r="Q224" s="439">
        <f t="shared" si="144"/>
        <v>0</v>
      </c>
      <c r="R224" s="439">
        <f t="shared" si="144"/>
        <v>0</v>
      </c>
      <c r="S224" s="439">
        <f t="shared" si="144"/>
        <v>0</v>
      </c>
      <c r="T224" s="439">
        <f t="shared" si="144"/>
        <v>0</v>
      </c>
      <c r="U224" s="439">
        <f t="shared" si="144"/>
        <v>0</v>
      </c>
      <c r="V224" s="439">
        <f t="shared" si="144"/>
        <v>0</v>
      </c>
      <c r="W224" s="439">
        <f t="shared" si="144"/>
        <v>0</v>
      </c>
      <c r="X224" s="439">
        <f t="shared" si="144"/>
        <v>0</v>
      </c>
      <c r="Y224" s="439">
        <f t="shared" si="144"/>
        <v>0</v>
      </c>
      <c r="Z224" s="439">
        <f t="shared" si="144"/>
        <v>0</v>
      </c>
      <c r="AA224" s="439">
        <f t="shared" si="144"/>
        <v>0</v>
      </c>
      <c r="AB224" s="439">
        <f t="shared" si="144"/>
        <v>0</v>
      </c>
      <c r="AC224" s="439">
        <f t="shared" si="144"/>
        <v>0</v>
      </c>
      <c r="AD224" s="439">
        <f t="shared" si="144"/>
        <v>0</v>
      </c>
      <c r="AE224" s="439">
        <f t="shared" si="144"/>
        <v>0</v>
      </c>
      <c r="AF224" s="439">
        <f t="shared" si="144"/>
        <v>0</v>
      </c>
      <c r="AG224" s="439">
        <f t="shared" si="144"/>
        <v>0</v>
      </c>
      <c r="AH224" s="439">
        <f t="shared" si="144"/>
        <v>0</v>
      </c>
      <c r="AI224" s="439">
        <f t="shared" si="144"/>
        <v>0</v>
      </c>
      <c r="AJ224" s="528">
        <f>SUM(D224:AA224)</f>
        <v>0</v>
      </c>
      <c r="AK224" s="274" t="str">
        <f>CONCATENATE(IF(D224&gt;D235," * Starting ART for Age "&amp;D6&amp;" "&amp;D7&amp;" is more than Current On ART"&amp;CHAR(10),""),IF(E224&gt;E235," * Starting ART for Age "&amp;D6&amp;" "&amp;E7&amp;" is more than Current On ART"&amp;CHAR(10),""),IF(F224&gt;F235," * Starting ART for Age "&amp;F6&amp;" "&amp;F7&amp;" is more than Current On ART"&amp;CHAR(10),""),IF(G224&gt;G235," * Starting ART for Age "&amp;F6&amp;" "&amp;G7&amp;" is more than Current On ART"&amp;CHAR(10),""),IF(H224&gt;H235," * Starting ART for Age "&amp;H6&amp;" "&amp;H7&amp;" is more than Current On ART"&amp;CHAR(10),""),IF(I224&gt;I235," * Starting ART for Age "&amp;H6&amp;" "&amp;I7&amp;" is more than Current On ART"&amp;CHAR(10),""),IF(J224&gt;J235," * Starting ART for Age "&amp;J6&amp;" "&amp;J7&amp;" is more than Current On ART"&amp;CHAR(10),""),IF(K224&gt;K235," * Starting ART for Age "&amp;J6&amp;" "&amp;K7&amp;" is more than Current On ART"&amp;CHAR(10),""),IF(L224&gt;L235," * Starting ART for Age "&amp;L6&amp;" "&amp;L7&amp;" is more than Current On ART"&amp;CHAR(10),""),IF(M224&gt;M235," * Starting ART for Age "&amp;L6&amp;" "&amp;M7&amp;" is more than Current On ART"&amp;CHAR(10),""),IF(N224&gt;N235," * Starting ART for Age "&amp;N6&amp;" "&amp;N7&amp;" is more than Current On ART"&amp;CHAR(10),""),IF(O224&gt;O235," * Starting ART for Age "&amp;N6&amp;" "&amp;O7&amp;" is more than Current On ART"&amp;CHAR(10),""),IF(P224&gt;P235," * Starting ART for Age "&amp;P6&amp;" "&amp;P7&amp;" is more than Current On ART"&amp;CHAR(10),""),IF(Q224&gt;Q235," * Starting ART for Age "&amp;P6&amp;" "&amp;Q7&amp;" is more than Current On ART"&amp;CHAR(10),""),IF(R224&gt;R235," * Starting ART for Age "&amp;R6&amp;" "&amp;R7&amp;" is more than Current On ART"&amp;CHAR(10),""),IF(S224&gt;S235," * Starting ART for Age "&amp;R6&amp;" "&amp;S7&amp;" is more than Current On ART"&amp;CHAR(10),""),IF(T224&gt;T235," * Starting ART for Age "&amp;T6&amp;" "&amp;T7&amp;" is more than Current On ART"&amp;CHAR(10),""),IF(U224&gt;U235," * Starting ART for Age "&amp;T6&amp;" "&amp;U7&amp;" is more than Current On ART"&amp;CHAR(10),""),IF(V224&gt;V235," * Starting ART for Age "&amp;V6&amp;" "&amp;V7&amp;" is more than Current On ART"&amp;CHAR(10),""),IF(W224&gt;W235," * Starting ART for Age "&amp;V6&amp;" "&amp;W7&amp;" is more than Current On ART"&amp;CHAR(10),""),IF(X224&gt;X235," * Starting ART for Age "&amp;X6&amp;" "&amp;X7&amp;" is more than Current On ART"&amp;CHAR(10),""),IF(Y224&gt;Y235," * Starting ART for Age "&amp;X6&amp;" "&amp;Y7&amp;" is more than Current On ART"&amp;CHAR(10),""),IF(Z224&gt;Z235," * Starting ART for Age "&amp;Z6&amp;" "&amp;Z7&amp;" is more than Current On ART"&amp;CHAR(10),""),IF(AA224&gt;AA235," * Starting ART for Age "&amp;Z6&amp;" "&amp;AA7&amp;" is more than Current On ART"&amp;CHAR(10),""))</f>
        <v/>
      </c>
      <c r="AL224" s="916" t="str">
        <f>CONCATENATE(AK224,AK225,AK226,AK227,AK228,AK229,AK230,AK235,AK236,AK237,AK238,AK239,AK240,AK241,AK243,AK242,AK244,AK245,AK246,AK247,AK248,AK231,AK232,AK233,AK234,AK261,AK262,AK263,AK235)</f>
        <v/>
      </c>
      <c r="AM224" s="113"/>
      <c r="AN224" s="819" t="str">
        <f>CONCATENATE(AM224,AM225,AM226,AM227,AM228,AM229,AM230,AM235,AM236,AM237,AM238,AM239,AM240,AM241,AM242,AM243,AM244,AM245,AM246,AM247,AM248,AM234,AM233,AM232,AM231)</f>
        <v/>
      </c>
      <c r="AO224" s="283">
        <v>247</v>
      </c>
      <c r="AQ224" s="539"/>
      <c r="AR224" s="539"/>
      <c r="AS224" s="539"/>
    </row>
    <row r="225" spans="1:45">
      <c r="A225" s="946" t="s">
        <v>943</v>
      </c>
      <c r="B225" s="289" t="s">
        <v>550</v>
      </c>
      <c r="C225" s="18" t="s">
        <v>551</v>
      </c>
      <c r="D225" s="440"/>
      <c r="E225" s="441"/>
      <c r="F225" s="441"/>
      <c r="G225" s="441"/>
      <c r="H225" s="441"/>
      <c r="I225" s="441"/>
      <c r="J225" s="441"/>
      <c r="K225" s="441"/>
      <c r="L225" s="455"/>
      <c r="M225" s="455"/>
      <c r="N225" s="455"/>
      <c r="O225" s="455"/>
      <c r="P225" s="455"/>
      <c r="Q225" s="455"/>
      <c r="R225" s="455"/>
      <c r="S225" s="455"/>
      <c r="T225" s="455"/>
      <c r="U225" s="455"/>
      <c r="V225" s="455"/>
      <c r="W225" s="455"/>
      <c r="X225" s="455"/>
      <c r="Y225" s="455"/>
      <c r="Z225" s="481">
        <f t="shared" ref="Z225:AA229" si="145">SUM(AB225,AD225,AF225,AH225)</f>
        <v>0</v>
      </c>
      <c r="AA225" s="481">
        <f t="shared" si="145"/>
        <v>0</v>
      </c>
      <c r="AB225" s="482"/>
      <c r="AC225" s="482"/>
      <c r="AD225" s="482"/>
      <c r="AE225" s="482"/>
      <c r="AF225" s="482"/>
      <c r="AG225" s="482"/>
      <c r="AH225" s="482"/>
      <c r="AI225" s="482"/>
      <c r="AJ225" s="529">
        <f t="shared" ref="AJ225:AJ229" si="146">SUM(D225:AA225)</f>
        <v>0</v>
      </c>
      <c r="AK225" s="274"/>
      <c r="AL225" s="917"/>
      <c r="AM225" s="113"/>
      <c r="AN225" s="820"/>
      <c r="AO225" s="283">
        <v>248</v>
      </c>
    </row>
    <row r="226" spans="1:45">
      <c r="A226" s="947"/>
      <c r="B226" s="330" t="s">
        <v>249</v>
      </c>
      <c r="C226" s="442" t="s">
        <v>553</v>
      </c>
      <c r="D226" s="443"/>
      <c r="E226" s="443"/>
      <c r="F226" s="443"/>
      <c r="G226" s="443"/>
      <c r="H226" s="443"/>
      <c r="I226" s="443"/>
      <c r="J226" s="443"/>
      <c r="K226" s="443"/>
      <c r="L226" s="447"/>
      <c r="M226" s="457"/>
      <c r="N226" s="457"/>
      <c r="O226" s="457"/>
      <c r="P226" s="457"/>
      <c r="Q226" s="457"/>
      <c r="R226" s="457"/>
      <c r="S226" s="457"/>
      <c r="T226" s="457"/>
      <c r="U226" s="457"/>
      <c r="V226" s="457"/>
      <c r="W226" s="457"/>
      <c r="X226" s="457"/>
      <c r="Y226" s="457"/>
      <c r="Z226" s="481">
        <f t="shared" si="145"/>
        <v>0</v>
      </c>
      <c r="AA226" s="481">
        <f t="shared" si="145"/>
        <v>0</v>
      </c>
      <c r="AB226" s="483"/>
      <c r="AC226" s="483"/>
      <c r="AD226" s="483"/>
      <c r="AE226" s="483"/>
      <c r="AF226" s="483"/>
      <c r="AG226" s="483"/>
      <c r="AH226" s="483"/>
      <c r="AI226" s="483"/>
      <c r="AJ226" s="530">
        <f t="shared" si="146"/>
        <v>0</v>
      </c>
      <c r="AK226" s="274"/>
      <c r="AL226" s="917"/>
      <c r="AM226" s="113"/>
      <c r="AN226" s="820"/>
      <c r="AO226" s="283">
        <v>249</v>
      </c>
    </row>
    <row r="227" spans="1:45">
      <c r="A227" s="947"/>
      <c r="B227" s="330" t="s">
        <v>210</v>
      </c>
      <c r="C227" s="442" t="s">
        <v>555</v>
      </c>
      <c r="D227" s="443"/>
      <c r="E227" s="443"/>
      <c r="F227" s="443"/>
      <c r="G227" s="443"/>
      <c r="H227" s="443"/>
      <c r="I227" s="443"/>
      <c r="J227" s="443"/>
      <c r="K227" s="443"/>
      <c r="L227" s="447"/>
      <c r="M227" s="443"/>
      <c r="N227" s="457"/>
      <c r="O227" s="443"/>
      <c r="P227" s="457"/>
      <c r="Q227" s="443"/>
      <c r="R227" s="457"/>
      <c r="S227" s="443"/>
      <c r="T227" s="457"/>
      <c r="U227" s="443"/>
      <c r="V227" s="457"/>
      <c r="W227" s="443"/>
      <c r="X227" s="457"/>
      <c r="Y227" s="443"/>
      <c r="Z227" s="481">
        <f t="shared" si="145"/>
        <v>0</v>
      </c>
      <c r="AA227" s="481">
        <f t="shared" si="145"/>
        <v>0</v>
      </c>
      <c r="AB227" s="483"/>
      <c r="AC227" s="483"/>
      <c r="AD227" s="483"/>
      <c r="AE227" s="483"/>
      <c r="AF227" s="483"/>
      <c r="AG227" s="483"/>
      <c r="AH227" s="483"/>
      <c r="AI227" s="483"/>
      <c r="AJ227" s="530">
        <f t="shared" si="146"/>
        <v>0</v>
      </c>
      <c r="AK227" s="274"/>
      <c r="AL227" s="917"/>
      <c r="AM227" s="113"/>
      <c r="AN227" s="820"/>
      <c r="AO227" s="283">
        <v>250</v>
      </c>
    </row>
    <row r="228" spans="1:45">
      <c r="A228" s="947"/>
      <c r="B228" s="330" t="s">
        <v>204</v>
      </c>
      <c r="C228" s="442" t="s">
        <v>557</v>
      </c>
      <c r="D228" s="443"/>
      <c r="E228" s="443"/>
      <c r="F228" s="443"/>
      <c r="G228" s="443"/>
      <c r="H228" s="443"/>
      <c r="I228" s="443"/>
      <c r="J228" s="443"/>
      <c r="K228" s="443"/>
      <c r="L228" s="443"/>
      <c r="M228" s="457"/>
      <c r="N228" s="443"/>
      <c r="O228" s="457"/>
      <c r="P228" s="443"/>
      <c r="Q228" s="457"/>
      <c r="R228" s="443"/>
      <c r="S228" s="457"/>
      <c r="T228" s="443"/>
      <c r="U228" s="457"/>
      <c r="V228" s="443"/>
      <c r="W228" s="457"/>
      <c r="X228" s="443"/>
      <c r="Y228" s="457"/>
      <c r="Z228" s="481">
        <f t="shared" si="145"/>
        <v>0</v>
      </c>
      <c r="AA228" s="481">
        <f t="shared" si="145"/>
        <v>0</v>
      </c>
      <c r="AB228" s="483"/>
      <c r="AC228" s="483"/>
      <c r="AD228" s="483"/>
      <c r="AE228" s="483"/>
      <c r="AF228" s="483"/>
      <c r="AG228" s="483"/>
      <c r="AH228" s="483"/>
      <c r="AI228" s="483"/>
      <c r="AJ228" s="530">
        <f t="shared" si="146"/>
        <v>0</v>
      </c>
      <c r="AK228" s="274"/>
      <c r="AL228" s="917"/>
      <c r="AM228" s="113"/>
      <c r="AN228" s="820"/>
      <c r="AO228" s="283">
        <v>252</v>
      </c>
    </row>
    <row r="229" spans="1:45" ht="31.5" thickBot="1">
      <c r="A229" s="948"/>
      <c r="B229" s="290" t="s">
        <v>559</v>
      </c>
      <c r="C229" s="444" t="s">
        <v>560</v>
      </c>
      <c r="D229" s="731"/>
      <c r="E229" s="731"/>
      <c r="F229" s="731"/>
      <c r="G229" s="731"/>
      <c r="H229" s="731"/>
      <c r="I229" s="731"/>
      <c r="J229" s="731"/>
      <c r="K229" s="731"/>
      <c r="L229" s="732"/>
      <c r="M229" s="733"/>
      <c r="N229" s="733"/>
      <c r="O229" s="733"/>
      <c r="P229" s="733"/>
      <c r="Q229" s="733"/>
      <c r="R229" s="733"/>
      <c r="S229" s="733"/>
      <c r="T229" s="733"/>
      <c r="U229" s="733"/>
      <c r="V229" s="733"/>
      <c r="W229" s="733"/>
      <c r="X229" s="733"/>
      <c r="Y229" s="733"/>
      <c r="Z229" s="481">
        <f t="shared" si="145"/>
        <v>0</v>
      </c>
      <c r="AA229" s="481">
        <f t="shared" si="145"/>
        <v>0</v>
      </c>
      <c r="AB229" s="483"/>
      <c r="AC229" s="483"/>
      <c r="AD229" s="483"/>
      <c r="AE229" s="483"/>
      <c r="AF229" s="483"/>
      <c r="AG229" s="483"/>
      <c r="AH229" s="483"/>
      <c r="AI229" s="483"/>
      <c r="AJ229" s="531">
        <f t="shared" si="146"/>
        <v>0</v>
      </c>
      <c r="AK229" s="274" t="str">
        <f>CONCATENATE(IF((D169+D171+D173+D175)&lt;D230," *  "&amp;$B169&amp;" plus "&amp;$B171&amp;" plus "&amp;$B173&amp;" plus "&amp;$B175&amp;" For age "&amp;$D$6&amp;" "&amp;$D$7&amp;" should be greater or equal to "&amp;$B230&amp;""&amp;CHAR(10),""),IF((E169+E171+E173+E175)&lt;E230," *  "&amp;$B169&amp;" plus "&amp;$B171&amp;" plus "&amp;$B173&amp;" plus "&amp;$B175&amp;" For age "&amp;$D$6&amp;" "&amp;$E$7&amp;" should be greater or equal to "&amp;$B230&amp;""&amp;CHAR(10),""),IF((F169+F171+F173+F175)&lt;F230," *  "&amp;$B169&amp;" plus "&amp;$B171&amp;" plus "&amp;$B173&amp;" plus "&amp;$B175&amp;" For age "&amp;$F$6&amp;" "&amp;$F$7&amp;" should be greater or equal to "&amp;$B230&amp;""&amp;CHAR(10),""),IF((G169+G171+G173+G175)&lt;G230," *  "&amp;$B169&amp;" plus "&amp;$B171&amp;" plus "&amp;$B173&amp;" plus "&amp;$B175&amp;" For age "&amp;$F$6&amp;" "&amp;$G$7&amp;" should be greater or equal to "&amp;$B230&amp;""&amp;CHAR(10),""),IF((H169+H171+H173+H175)&lt;H230," *  "&amp;$B169&amp;" plus "&amp;$B171&amp;" plus "&amp;$B173&amp;" plus "&amp;$B175&amp;" For age "&amp;$H$6&amp;" "&amp;$H$7&amp;" should be greater or equal to "&amp;$B230&amp;""&amp;CHAR(10),""),IF((I169+I171+I173+I175)&lt;I230," *  "&amp;$B169&amp;" plus "&amp;$B171&amp;" plus "&amp;$B173&amp;" plus "&amp;$B175&amp;" For age "&amp;$H$6&amp;" "&amp;$I$7&amp;" should be greater or equal to "&amp;$B230&amp;""&amp;CHAR(10),""),IF((J169+J171+J173+J175)&lt;J230," *  "&amp;$B169&amp;" plus "&amp;$B171&amp;" plus "&amp;$B173&amp;" plus "&amp;$B175&amp;" For age "&amp;$J$6&amp;" "&amp;$J$7&amp;" should be greater or equal to "&amp;$B230&amp;""&amp;CHAR(10),""),IF((K169+K171+K173+K175)&lt;K230," *  "&amp;$B169&amp;" plus "&amp;$B171&amp;" plus "&amp;$B173&amp;" plus "&amp;$B175&amp;" For age "&amp;$J$6&amp;" "&amp;$K$7&amp;" should be greater or equal to "&amp;$B230&amp;""&amp;CHAR(10),""),IF((L169+L171+L173+L175)&lt;L230," *  "&amp;$B169&amp;" plus "&amp;$B171&amp;" plus "&amp;$B173&amp;" plus "&amp;$B175&amp;" For age "&amp;$L$6&amp;" "&amp;$L$7&amp;" should be greater or equal to "&amp;$B230&amp;""&amp;CHAR(10),""),IF((M169+M171+M173+M175)&lt;M230," *  "&amp;$B169&amp;" plus "&amp;$B171&amp;" plus "&amp;$B173&amp;" plus "&amp;$B175&amp;" For age "&amp;$L$6&amp;" "&amp;$M$7&amp;" should be greater or equal to "&amp;$B230&amp;""&amp;CHAR(10),""),IF((N169+N171+N173+N175)&lt;N230," *  "&amp;$B169&amp;" plus "&amp;$B171&amp;" plus "&amp;$B173&amp;" plus "&amp;$B175&amp;" For age "&amp;$N$6&amp;" "&amp;$N$7&amp;" should be greater or equal to "&amp;$B230&amp;""&amp;CHAR(10),""),IF((O169+O171+O173+O175)&lt;O230," *  "&amp;$B169&amp;" plus "&amp;$B171&amp;" plus "&amp;$B173&amp;" plus "&amp;$B175&amp;" For age "&amp;$N$6&amp;" "&amp;$O$7&amp;" should be greater or equal to "&amp;$B230&amp;""&amp;CHAR(10),""),IF((P169+P171+P173+P175)&lt;P230," *  "&amp;$B169&amp;" plus "&amp;$B171&amp;" plus "&amp;$B173&amp;" plus "&amp;$B175&amp;" For age "&amp;$P$6&amp;" "&amp;$P$7&amp;" should be greater or equal to "&amp;$B230&amp;""&amp;CHAR(10),""),IF((Q169+Q171+Q173+Q175)&lt;Q230," *  "&amp;$B169&amp;" plus "&amp;$B171&amp;" plus "&amp;$B173&amp;" plus "&amp;$B175&amp;" For age "&amp;$P$6&amp;" "&amp;$Q$7&amp;" should be greater or equal to "&amp;$B230&amp;""&amp;CHAR(10),""),IF((R169+R171+R173+R175)&lt;R230," *  "&amp;$B169&amp;" plus "&amp;$B171&amp;" plus "&amp;$B173&amp;" plus "&amp;$B175&amp;" For age "&amp;$R$6&amp;" "&amp;$R$7&amp;" should be greater or equal to "&amp;$B230&amp;""&amp;CHAR(10),""),IF((S169+S171+S173+S175)&lt;S230," *  "&amp;$B169&amp;" plus "&amp;$B171&amp;" plus "&amp;$B173&amp;" plus "&amp;$B175&amp;" For age "&amp;$R$6&amp;" "&amp;$S$7&amp;" should be greater or equal to "&amp;$B230&amp;""&amp;CHAR(10),""),IF((T169+T171+T173+T175)&lt;T230," *  "&amp;$B169&amp;" plus "&amp;$B171&amp;" plus "&amp;$B173&amp;" plus "&amp;$B175&amp;" For age "&amp;$T$6&amp;" "&amp;$T$7&amp;" should be greater or equal to "&amp;$B230&amp;""&amp;CHAR(10),""),IF((U169+U171+U173+U175)&lt;U230," *  "&amp;$B169&amp;" plus "&amp;$B171&amp;" plus "&amp;$B173&amp;" plus "&amp;$B175&amp;" For age "&amp;$T$6&amp;" "&amp;$U$7&amp;" should be greater or equal to "&amp;$B230&amp;""&amp;CHAR(10),""),IF((V169+V171+V173+V175)&lt;V230," *  "&amp;$B169&amp;" plus "&amp;$B171&amp;" plus "&amp;$B173&amp;" plus "&amp;$B175&amp;" For age "&amp;$V$6&amp;" "&amp;$V$7&amp;" should be greater or equal to "&amp;$B230&amp;""&amp;CHAR(10),""),IF((W169+W171+W173+W175)&lt;W230," *  "&amp;$B169&amp;" plus "&amp;$B171&amp;" plus "&amp;$B173&amp;" plus "&amp;$B175&amp;" For age "&amp;$V$6&amp;" "&amp;$W$7&amp;" should be greater or equal to "&amp;$B230&amp;""&amp;CHAR(10),""),IF((X169+X171+X173+X175)&lt;X230," *  "&amp;$B169&amp;" plus "&amp;$B171&amp;" plus "&amp;$B173&amp;" plus "&amp;$B175&amp;" For age "&amp;$X$6&amp;" "&amp;$X$7&amp;" should be greater or equal to "&amp;$B230&amp;""&amp;CHAR(10),""),IF((Y169+Y171+Y173+Y175)&lt;Y230," *  "&amp;$B169&amp;" plus "&amp;$B171&amp;" plus "&amp;$B173&amp;" plus "&amp;$B175&amp;" For age "&amp;$X$6&amp;" "&amp;$Y$7&amp;" should be greater or equal to "&amp;$B230&amp;""&amp;CHAR(10),""),IF((Z169+Z171+Z173+Z175)&lt;Z230," *  "&amp;$B169&amp;" plus "&amp;$B171&amp;" plus "&amp;$B173&amp;" plus "&amp;$B175&amp;" For age "&amp;$Z$6&amp;" "&amp;$Z$7&amp;" should be greater or equal to "&amp;$B230&amp;""&amp;CHAR(10),""),IF((AA169+AA171+AA173+AA175)&lt;AA230," *  "&amp;$B169&amp;" plus "&amp;$B171&amp;" plus "&amp;$B173&amp;" plus "&amp;$B175&amp;" For age "&amp;$Z$6&amp;" "&amp;$AA$7&amp;" should be greater or equal to "&amp;$B230&amp;""&amp;CHAR(10),""))</f>
        <v/>
      </c>
      <c r="AL229" s="917"/>
      <c r="AM229" s="113"/>
      <c r="AN229" s="820"/>
      <c r="AO229" s="283">
        <v>253</v>
      </c>
    </row>
    <row r="230" spans="1:45" ht="51.75" customHeight="1" thickBot="1">
      <c r="A230" s="792" t="s">
        <v>944</v>
      </c>
      <c r="B230" s="445" t="s">
        <v>563</v>
      </c>
      <c r="C230" s="287" t="s">
        <v>564</v>
      </c>
      <c r="D230" s="734"/>
      <c r="E230" s="475"/>
      <c r="F230" s="475"/>
      <c r="G230" s="475"/>
      <c r="H230" s="475"/>
      <c r="I230" s="475"/>
      <c r="J230" s="475"/>
      <c r="K230" s="735"/>
      <c r="L230" s="475"/>
      <c r="M230" s="735"/>
      <c r="N230" s="475"/>
      <c r="O230" s="735"/>
      <c r="P230" s="475"/>
      <c r="Q230" s="735"/>
      <c r="R230" s="475"/>
      <c r="S230" s="735"/>
      <c r="T230" s="475"/>
      <c r="U230" s="735"/>
      <c r="V230" s="475"/>
      <c r="W230" s="735"/>
      <c r="X230" s="475"/>
      <c r="Y230" s="735"/>
      <c r="Z230" s="730"/>
      <c r="AA230" s="484"/>
      <c r="AB230" s="485"/>
      <c r="AC230" s="486"/>
      <c r="AD230" s="486"/>
      <c r="AE230" s="486"/>
      <c r="AF230" s="486"/>
      <c r="AG230" s="486"/>
      <c r="AH230" s="486"/>
      <c r="AI230" s="486"/>
      <c r="AJ230" s="774">
        <f t="shared" ref="AJ230:AJ266" si="147">SUM(D230:AA230)</f>
        <v>0</v>
      </c>
      <c r="AK230" s="274" t="str">
        <f>CONCATENATE(IF(D230&gt;D224," * F07-02 for Age "&amp;D6&amp;" "&amp;D7&amp;" is more than F07-01"&amp;CHAR(10),""),IF(E230&gt;E224," * F07-02 for Age "&amp;D6&amp;" "&amp;E7&amp;" is more than F07-01"&amp;CHAR(10),""),IF(F230&gt;F224," * F07-02 for Age "&amp;F6&amp;" "&amp;F7&amp;" is more than F07-01"&amp;CHAR(10),""),IF(G230&gt;G224," * F07-02 for Age "&amp;F6&amp;" "&amp;G7&amp;" is more than F07-01"&amp;CHAR(10),""),IF(H230&gt;H224," * F07-02 for Age "&amp;H6&amp;" "&amp;H7&amp;" is more than F07-01"&amp;CHAR(10),""),IF(I230&gt;I224," * F07-02 for Age "&amp;H6&amp;" "&amp;I7&amp;" is more than F07-01"&amp;CHAR(10),""),IF(J230&gt;J224," * F07-02 for Age "&amp;J6&amp;" "&amp;J7&amp;" is more than F07-01"&amp;CHAR(10),""),IF(K230&gt;K224," * F07-02 for Age "&amp;J6&amp;" "&amp;K7&amp;" is more than F07-01"&amp;CHAR(10),""),IF(L230&gt;L224," * F07-02 for Age "&amp;L6&amp;" "&amp;L7&amp;" is more than F07-01"&amp;CHAR(10),""),IF(M230&gt;M224," * F07-02 for Age "&amp;L6&amp;" "&amp;M7&amp;" is more than F07-01"&amp;CHAR(10),""),IF(N230&gt;N224," * F07-02 for Age "&amp;N6&amp;" "&amp;N7&amp;" is more than F07-01"&amp;CHAR(10),""),IF(O230&gt;O224," * F07-02 for Age "&amp;N6&amp;" "&amp;O7&amp;" is more than F07-01"&amp;CHAR(10),""),IF(P230&gt;P224," * F07-02 for Age "&amp;P6&amp;" "&amp;P7&amp;" is more than F07-01"&amp;CHAR(10),""),IF(Q230&gt;Q224," * F07-02 for Age "&amp;P6&amp;" "&amp;Q7&amp;" is more than F07-01"&amp;CHAR(10),""),IF(R230&gt;R224," * F07-02 for Age "&amp;R6&amp;" "&amp;R7&amp;" is more than F07-01"&amp;CHAR(10),""),IF(S230&gt;S224," * F07-02 for Age "&amp;R6&amp;" "&amp;S7&amp;" is more than F07-01"&amp;CHAR(10),""),IF(T230&gt;T224," * F07-02 for Age "&amp;T6&amp;" "&amp;T7&amp;" is more than F07-01"&amp;CHAR(10),""),IF(U230&gt;U224," * F07-02 for Age "&amp;T6&amp;" "&amp;U7&amp;" is more than F07-01"&amp;CHAR(10),""),IF(V230&gt;V224," * F07-02 for Age "&amp;V6&amp;" "&amp;V7&amp;" is more than F07-01"&amp;CHAR(10),""),IF(W230&gt;W224," * F07-02 for Age "&amp;V6&amp;" "&amp;W7&amp;" is more than F07-01"&amp;CHAR(10),""),IF(X230&gt;X224," * F07-02 for Age "&amp;X6&amp;" "&amp;X7&amp;" is more than F07-01"&amp;CHAR(10),""),IF(Y230&gt;Y224," * F07-02 for Age "&amp;X6&amp;" "&amp;Y7&amp;" is more than F07-01"&amp;CHAR(10),""),IF(Z230&gt;Z224," * F07-02 for Age "&amp;Z6&amp;" "&amp;Z7&amp;" is more than F07-01"&amp;CHAR(10),""),IF(AA230&gt;AA224," * F07-02 for Age "&amp;Z6&amp;" "&amp;AA7&amp;" is more than F07-01"&amp;CHAR(10),""),IF(AJ230&gt;AJ224," * Total F07-02 is more than Total F07-01"&amp;CHAR(10),""))</f>
        <v/>
      </c>
      <c r="AL230" s="917"/>
      <c r="AM230" s="114" t="str">
        <f>CONCATENATE(IF(AND(AJ224&gt;0,OR(SUM(AJ14,AJ22,AJ28,AJ34,AJ40,AJ46,AJ52,AJ88,AJ73,AJ153,AJ161,AJ165,AJ169)=0,SUM(AJ13,AJ21,AJ27,AJ33,AJ39,AJ45,AJ51,AJ87,AJ72,AJ152,AJ160,AJ164,AJ168)=0))," * This site started patients on ART yet it has 0 positives or zero tested "&amp;CHAR(10),""),"")</f>
        <v/>
      </c>
      <c r="AN230" s="820"/>
      <c r="AO230" s="283">
        <v>254</v>
      </c>
    </row>
    <row r="231" spans="1:45" ht="31.5" thickBot="1">
      <c r="A231" s="894" t="s">
        <v>566</v>
      </c>
      <c r="B231" s="39" t="s">
        <v>567</v>
      </c>
      <c r="C231" s="40" t="s">
        <v>568</v>
      </c>
      <c r="D231" s="439">
        <f t="shared" ref="D231:AI231" si="148">SUM(D232:D234)</f>
        <v>0</v>
      </c>
      <c r="E231" s="439">
        <f t="shared" si="148"/>
        <v>0</v>
      </c>
      <c r="F231" s="439">
        <f t="shared" si="148"/>
        <v>0</v>
      </c>
      <c r="G231" s="439">
        <f t="shared" si="148"/>
        <v>0</v>
      </c>
      <c r="H231" s="439">
        <f t="shared" si="148"/>
        <v>0</v>
      </c>
      <c r="I231" s="439">
        <f t="shared" si="148"/>
        <v>0</v>
      </c>
      <c r="J231" s="439">
        <f t="shared" si="148"/>
        <v>0</v>
      </c>
      <c r="K231" s="439">
        <f t="shared" si="148"/>
        <v>0</v>
      </c>
      <c r="L231" s="439">
        <f t="shared" si="148"/>
        <v>0</v>
      </c>
      <c r="M231" s="439">
        <f t="shared" si="148"/>
        <v>0</v>
      </c>
      <c r="N231" s="439">
        <f t="shared" si="148"/>
        <v>0</v>
      </c>
      <c r="O231" s="439">
        <f t="shared" si="148"/>
        <v>0</v>
      </c>
      <c r="P231" s="439">
        <f t="shared" si="148"/>
        <v>0</v>
      </c>
      <c r="Q231" s="439">
        <f t="shared" si="148"/>
        <v>0</v>
      </c>
      <c r="R231" s="439">
        <f t="shared" si="148"/>
        <v>0</v>
      </c>
      <c r="S231" s="439">
        <f t="shared" si="148"/>
        <v>0</v>
      </c>
      <c r="T231" s="439">
        <f t="shared" si="148"/>
        <v>0</v>
      </c>
      <c r="U231" s="439">
        <f t="shared" si="148"/>
        <v>0</v>
      </c>
      <c r="V231" s="439">
        <f t="shared" si="148"/>
        <v>0</v>
      </c>
      <c r="W231" s="439">
        <f t="shared" si="148"/>
        <v>0</v>
      </c>
      <c r="X231" s="439">
        <f t="shared" si="148"/>
        <v>0</v>
      </c>
      <c r="Y231" s="439">
        <f t="shared" si="148"/>
        <v>0</v>
      </c>
      <c r="Z231" s="481">
        <f>SUM(AB231,AD231,AF231,AH231)</f>
        <v>0</v>
      </c>
      <c r="AA231" s="481">
        <f>SUM(AC231,AE231,AG231,AI231)</f>
        <v>0</v>
      </c>
      <c r="AB231" s="439">
        <f t="shared" si="148"/>
        <v>0</v>
      </c>
      <c r="AC231" s="439">
        <f t="shared" si="148"/>
        <v>0</v>
      </c>
      <c r="AD231" s="439">
        <f t="shared" si="148"/>
        <v>0</v>
      </c>
      <c r="AE231" s="439">
        <f t="shared" si="148"/>
        <v>0</v>
      </c>
      <c r="AF231" s="439">
        <f t="shared" si="148"/>
        <v>0</v>
      </c>
      <c r="AG231" s="439">
        <f t="shared" si="148"/>
        <v>0</v>
      </c>
      <c r="AH231" s="439">
        <f t="shared" si="148"/>
        <v>0</v>
      </c>
      <c r="AI231" s="771">
        <f t="shared" si="148"/>
        <v>0</v>
      </c>
      <c r="AJ231" s="530">
        <f t="shared" ref="AJ231:AJ234" si="149">SUM(D231:AA231)</f>
        <v>0</v>
      </c>
      <c r="AK231" s="274" t="str">
        <f>CONCATENATE(IF(D231&lt;&gt;D224," * starting ART disaggregation by CD4 For age "&amp;$D$6&amp;" "&amp;$D$7&amp;" should be equal to Total Patients starting ART"&amp;CHAR(10),""),IF(E231&lt;&gt;E224," * starting ART disaggregation by CD4 For age "&amp;$D$6&amp;" "&amp;$E$7&amp;" should be equal to Total Patients starting ART"&amp;CHAR(10),""),IF(F231&lt;&gt;F224," * starting ART disaggregation by CD4 For age "&amp;$F$6&amp;" "&amp;$F$7&amp;" should be equal to Total Patients starting ART"&amp;CHAR(10),""),IF(G231&lt;&gt;G224," * starting ART disaggregation by CD4 For age "&amp;$F$6&amp;" "&amp;$G$7&amp;" should be equal to Total Patients starting ART"&amp;CHAR(10),""),IF(H231&lt;&gt;H224," * starting ART disaggregation by CD4 For age "&amp;$H$6&amp;" "&amp;$H$7&amp;" should be equal to Total Patients starting ART"&amp;CHAR(10),""),IF(I231&lt;&gt;I224," * starting ART disaggregation by CD4 For age "&amp;$H$6&amp;" "&amp;$I$7&amp;" should be equal to Total Patients starting ART"&amp;CHAR(10),""),IF(J231&lt;&gt;J224," * starting ART disaggregation by CD4 For age "&amp;$J$6&amp;" "&amp;$J$7&amp;" should be equal to Total Patients starting ART"&amp;CHAR(10),""),IF(K231&lt;&gt;K224," * starting ART disaggregation by CD4 For age "&amp;$J$6&amp;" "&amp;$K$7&amp;" should be equal to Total Patients starting ART"&amp;CHAR(10),""),IF(L231&lt;&gt;L224," * starting ART disaggregation by CD4 For age "&amp;$L$6&amp;" "&amp;$L$7&amp;" should be equal to Total Patients starting ART"&amp;CHAR(10),""),IF(M231&lt;&gt;M224," * starting ART disaggregation by CD4 For age "&amp;$L$6&amp;" "&amp;$M$7&amp;" should be equal to Total Patients starting ART"&amp;CHAR(10),""),IF(N231&lt;&gt;N224," * starting ART disaggregation by CD4 For age "&amp;$N$6&amp;" "&amp;$N$7&amp;" should be equal to Total Patients starting ART"&amp;CHAR(10),""),IF(O231&lt;&gt;O224," * starting ART disaggregation by CD4 For age "&amp;$N$6&amp;" "&amp;$O$7&amp;" should be equal to Total Patients starting ART"&amp;CHAR(10),""),IF(P231&lt;&gt;P224," * starting ART disaggregation by CD4 For age "&amp;$P$6&amp;" "&amp;$P$7&amp;" should be equal to Total Patients starting ART"&amp;CHAR(10),""),IF(Q231&lt;&gt;Q224," * starting ART disaggregation by CD4 For age "&amp;$P$6&amp;" "&amp;$Q$7&amp;" should be equal to Total Patients starting ART"&amp;CHAR(10),""),IF(R231&lt;&gt;R224," * starting ART disaggregation by CD4 For age "&amp;$R$6&amp;" "&amp;$R$7&amp;" should be equal to Total Patients starting ART"&amp;CHAR(10),""),IF(S231&lt;&gt;S224," * starting ART disaggregation by CD4 For age "&amp;$R$6&amp;" "&amp;$S$7&amp;" should be equal to Total Patients starting ART"&amp;CHAR(10),""),IF(T231&lt;&gt;T224," * starting ART disaggregation by CD4 For age "&amp;$T$6&amp;" "&amp;$T$7&amp;" should be equal to Total Patients starting ART"&amp;CHAR(10),""),IF(U231&lt;&gt;U224," * starting ART disaggregation by CD4 For age "&amp;$T$6&amp;" "&amp;$U$7&amp;" should be equal to Total Patients starting ART"&amp;CHAR(10),""),IF(V231&lt;&gt;V224," * starting ART disaggregation by CD4 For age "&amp;$V$6&amp;" "&amp;$V$7&amp;" should be equal to Total Patients starting ART"&amp;CHAR(10),""),IF(W231&lt;&gt;W224," * starting ART disaggregation by CD4 For age "&amp;$V$6&amp;" "&amp;$W$7&amp;" should be equal to Total Patients starting ART"&amp;CHAR(10),""),IF(X231&lt;&gt;X224," * starting ART disaggregation by CD4 For age "&amp;$X$6&amp;" "&amp;$X$7&amp;" should be equal to Total Patients starting ART"&amp;CHAR(10),""),IF(Y231&lt;&gt;Y224," * starting ART disaggregation by CD4 For age "&amp;$X$6&amp;" "&amp;$Y$7&amp;" should be equal to Total Patients starting ART"&amp;CHAR(10),""),IF(Z231&lt;&gt;Z224," * starting ART disaggregation by CD4 For age "&amp;$Z$6&amp;" "&amp;$Z$7&amp;" should be equal to Total Patients starting ART"&amp;CHAR(10),""),IF(AA231&lt;&gt;AA224," * starting ART disaggregation by CD4 For age "&amp;$Z$6&amp;" "&amp;$AA$7&amp;" should be equal to Total Patients starting ART"&amp;CHAR(10),""))</f>
        <v/>
      </c>
      <c r="AL231" s="917"/>
      <c r="AM231" s="114"/>
      <c r="AN231" s="820"/>
      <c r="AO231" s="283">
        <v>255</v>
      </c>
    </row>
    <row r="232" spans="1:45">
      <c r="A232" s="895"/>
      <c r="B232" s="330" t="s">
        <v>570</v>
      </c>
      <c r="C232" s="442" t="s">
        <v>571</v>
      </c>
      <c r="D232" s="446"/>
      <c r="E232" s="446"/>
      <c r="F232" s="446"/>
      <c r="G232" s="446"/>
      <c r="H232" s="447"/>
      <c r="I232" s="476"/>
      <c r="J232" s="457"/>
      <c r="K232" s="457"/>
      <c r="L232" s="457"/>
      <c r="M232" s="457"/>
      <c r="N232" s="457"/>
      <c r="O232" s="457"/>
      <c r="P232" s="457"/>
      <c r="Q232" s="457"/>
      <c r="R232" s="457"/>
      <c r="S232" s="457"/>
      <c r="T232" s="457"/>
      <c r="U232" s="457"/>
      <c r="V232" s="457"/>
      <c r="W232" s="457"/>
      <c r="X232" s="457"/>
      <c r="Y232" s="457"/>
      <c r="Z232" s="487">
        <f t="shared" ref="Z232:AA235" si="150">SUM(AB232,AD232,AF232,AH232)</f>
        <v>0</v>
      </c>
      <c r="AA232" s="487">
        <f>SUM(AC232,AE232,AG232,AI232)</f>
        <v>0</v>
      </c>
      <c r="AB232" s="483"/>
      <c r="AC232" s="483"/>
      <c r="AD232" s="483"/>
      <c r="AE232" s="483"/>
      <c r="AF232" s="483"/>
      <c r="AG232" s="483"/>
      <c r="AH232" s="483"/>
      <c r="AI232" s="483"/>
      <c r="AJ232" s="530">
        <f t="shared" si="149"/>
        <v>0</v>
      </c>
      <c r="AK232" s="274"/>
      <c r="AL232" s="917"/>
      <c r="AM232" s="114"/>
      <c r="AN232" s="820"/>
      <c r="AO232" s="283"/>
    </row>
    <row r="233" spans="1:45">
      <c r="A233" s="895"/>
      <c r="B233" s="330" t="s">
        <v>574</v>
      </c>
      <c r="C233" s="448" t="s">
        <v>575</v>
      </c>
      <c r="D233" s="446"/>
      <c r="E233" s="446"/>
      <c r="F233" s="446"/>
      <c r="G233" s="446"/>
      <c r="H233" s="447"/>
      <c r="I233" s="457"/>
      <c r="J233" s="457"/>
      <c r="K233" s="457"/>
      <c r="L233" s="457"/>
      <c r="M233" s="457"/>
      <c r="N233" s="457"/>
      <c r="O233" s="457"/>
      <c r="P233" s="457"/>
      <c r="Q233" s="457"/>
      <c r="R233" s="457"/>
      <c r="S233" s="457"/>
      <c r="T233" s="457"/>
      <c r="U233" s="457"/>
      <c r="V233" s="457"/>
      <c r="W233" s="457"/>
      <c r="X233" s="457"/>
      <c r="Y233" s="457"/>
      <c r="Z233" s="487">
        <f t="shared" si="150"/>
        <v>0</v>
      </c>
      <c r="AA233" s="487">
        <f t="shared" si="150"/>
        <v>0</v>
      </c>
      <c r="AB233" s="483"/>
      <c r="AC233" s="483"/>
      <c r="AD233" s="483"/>
      <c r="AE233" s="483"/>
      <c r="AF233" s="483"/>
      <c r="AG233" s="483"/>
      <c r="AH233" s="483"/>
      <c r="AI233" s="483"/>
      <c r="AJ233" s="530">
        <f t="shared" si="149"/>
        <v>0</v>
      </c>
      <c r="AK233" s="274"/>
      <c r="AL233" s="917"/>
      <c r="AM233" s="114"/>
      <c r="AN233" s="820"/>
      <c r="AO233" s="283"/>
    </row>
    <row r="234" spans="1:45" ht="33" customHeight="1" thickBot="1">
      <c r="A234" s="896"/>
      <c r="B234" s="330" t="s">
        <v>577</v>
      </c>
      <c r="C234" s="444" t="s">
        <v>578</v>
      </c>
      <c r="D234" s="449"/>
      <c r="E234" s="449"/>
      <c r="F234" s="449"/>
      <c r="G234" s="449"/>
      <c r="H234" s="449"/>
      <c r="I234" s="474"/>
      <c r="J234" s="474"/>
      <c r="K234" s="474"/>
      <c r="L234" s="474"/>
      <c r="M234" s="474"/>
      <c r="N234" s="474"/>
      <c r="O234" s="474"/>
      <c r="P234" s="474"/>
      <c r="Q234" s="474"/>
      <c r="R234" s="474"/>
      <c r="S234" s="474"/>
      <c r="T234" s="474"/>
      <c r="U234" s="474"/>
      <c r="V234" s="474"/>
      <c r="W234" s="474"/>
      <c r="X234" s="474"/>
      <c r="Y234" s="488"/>
      <c r="Z234" s="487">
        <f t="shared" si="150"/>
        <v>0</v>
      </c>
      <c r="AA234" s="487">
        <f t="shared" si="150"/>
        <v>0</v>
      </c>
      <c r="AB234" s="483"/>
      <c r="AC234" s="483"/>
      <c r="AD234" s="483"/>
      <c r="AE234" s="483"/>
      <c r="AF234" s="483"/>
      <c r="AG234" s="483"/>
      <c r="AH234" s="483"/>
      <c r="AI234" s="483"/>
      <c r="AJ234" s="530">
        <f t="shared" si="149"/>
        <v>0</v>
      </c>
      <c r="AK234" s="274"/>
      <c r="AL234" s="917"/>
      <c r="AM234" s="114"/>
      <c r="AN234" s="820"/>
      <c r="AO234" s="283"/>
    </row>
    <row r="235" spans="1:45" s="7" customFormat="1" ht="33" customHeight="1" thickBot="1">
      <c r="A235" s="183" t="s">
        <v>580</v>
      </c>
      <c r="B235" s="437" t="s">
        <v>581</v>
      </c>
      <c r="C235" s="287" t="s">
        <v>582</v>
      </c>
      <c r="D235" s="450">
        <f t="shared" ref="D235:Y235" si="151">SUM(D236:D240)</f>
        <v>0</v>
      </c>
      <c r="E235" s="450">
        <f t="shared" si="151"/>
        <v>0</v>
      </c>
      <c r="F235" s="450">
        <f t="shared" si="151"/>
        <v>0</v>
      </c>
      <c r="G235" s="450">
        <f t="shared" si="151"/>
        <v>0</v>
      </c>
      <c r="H235" s="450">
        <f t="shared" si="151"/>
        <v>0</v>
      </c>
      <c r="I235" s="450">
        <f t="shared" si="151"/>
        <v>0</v>
      </c>
      <c r="J235" s="450">
        <f t="shared" si="151"/>
        <v>0</v>
      </c>
      <c r="K235" s="450">
        <f t="shared" si="151"/>
        <v>0</v>
      </c>
      <c r="L235" s="450">
        <f t="shared" si="151"/>
        <v>0</v>
      </c>
      <c r="M235" s="450">
        <f t="shared" si="151"/>
        <v>0</v>
      </c>
      <c r="N235" s="450">
        <f t="shared" si="151"/>
        <v>0</v>
      </c>
      <c r="O235" s="450">
        <f t="shared" si="151"/>
        <v>0</v>
      </c>
      <c r="P235" s="450">
        <f t="shared" si="151"/>
        <v>0</v>
      </c>
      <c r="Q235" s="450">
        <f t="shared" si="151"/>
        <v>0</v>
      </c>
      <c r="R235" s="450">
        <f t="shared" si="151"/>
        <v>0</v>
      </c>
      <c r="S235" s="450">
        <f t="shared" si="151"/>
        <v>0</v>
      </c>
      <c r="T235" s="450">
        <f t="shared" si="151"/>
        <v>0</v>
      </c>
      <c r="U235" s="450">
        <f t="shared" si="151"/>
        <v>0</v>
      </c>
      <c r="V235" s="450">
        <f t="shared" si="151"/>
        <v>0</v>
      </c>
      <c r="W235" s="450">
        <f t="shared" si="151"/>
        <v>0</v>
      </c>
      <c r="X235" s="450">
        <f t="shared" si="151"/>
        <v>0</v>
      </c>
      <c r="Y235" s="450">
        <f t="shared" si="151"/>
        <v>0</v>
      </c>
      <c r="Z235" s="489">
        <f t="shared" si="150"/>
        <v>0</v>
      </c>
      <c r="AA235" s="489">
        <f t="shared" si="150"/>
        <v>0</v>
      </c>
      <c r="AB235" s="450">
        <f t="shared" ref="AB235:AJ235" si="152">SUM(AB236:AB240)</f>
        <v>0</v>
      </c>
      <c r="AC235" s="450">
        <f t="shared" si="152"/>
        <v>0</v>
      </c>
      <c r="AD235" s="450">
        <f t="shared" si="152"/>
        <v>0</v>
      </c>
      <c r="AE235" s="450">
        <f t="shared" si="152"/>
        <v>0</v>
      </c>
      <c r="AF235" s="450">
        <f t="shared" si="152"/>
        <v>0</v>
      </c>
      <c r="AG235" s="450">
        <f t="shared" si="152"/>
        <v>0</v>
      </c>
      <c r="AH235" s="450">
        <f t="shared" si="152"/>
        <v>0</v>
      </c>
      <c r="AI235" s="772">
        <f t="shared" si="152"/>
        <v>0</v>
      </c>
      <c r="AJ235" s="775">
        <f t="shared" si="152"/>
        <v>0</v>
      </c>
      <c r="AK235" s="532" t="str">
        <f>CONCATENATE(IF(D235&lt;&gt;D247,""&amp;CHAR(10)&amp;"  * Current on ART by month of dispense F07-16 for age "&amp;D222&amp;" "&amp;D223&amp;" is not equal to Clients current On ART F07-03 age  "&amp;D222&amp;" "&amp;D223&amp;"",""),IF(E235&lt;&gt;E247,""&amp;CHAR(10)&amp;"  * Current on ART by month of dispense F07-16 for age "&amp;D222&amp;" "&amp;E223&amp;" is not equal to Clients current On ART F07-03 age  "&amp;D222&amp;" "&amp;E223&amp;"",""),IF(F235&lt;&gt;F247,""&amp;CHAR(10)&amp;"  * Current on ART by month of dispense F07-16 for age "&amp;F222&amp;" "&amp;F223&amp;" is not equal to Clients current On ART F07-03 age  "&amp;F222&amp;" "&amp;F223&amp;"",""),IF(G235&lt;&gt;G247,""&amp;CHAR(10)&amp;"  * Current on ART by month of dispense F07-16 for age "&amp;F222&amp;" "&amp;G223&amp;" is not equal to Clients current On ART F07-03 age  "&amp;F222&amp;" "&amp;G223&amp;"",""),IF(H235&lt;&gt;H247,""&amp;CHAR(10)&amp;"  * Current on ART by month of dispense F07-16 for age "&amp;H222&amp;" "&amp;H223&amp;" is not equal to Clients current On ART F07-03 age  "&amp;H222&amp;" "&amp;H223&amp;"",""),IF(I235&lt;&gt;I247,""&amp;CHAR(10)&amp;"  * Current on ART by month of dispense F07-16 for age "&amp;H222&amp;" "&amp;I223&amp;" is not equal to Clients current On ART F07-03 age  "&amp;H222&amp;" "&amp;I223&amp;"",""),IF(J235&lt;&gt;J247,""&amp;CHAR(10)&amp;"  * Current on ART by month of dispense F07-16 for age "&amp;J222&amp;" "&amp;J223&amp;" is not equal to Clients current On ART F07-03 age  "&amp;J222&amp;" "&amp;J223&amp;"",""),IF(K235&lt;&gt;K247,""&amp;CHAR(10)&amp;"  * Current on ART by month of dispense F07-16 for age "&amp;J222&amp;" "&amp;K223&amp;" is not equal to Clients current On ART F07-03 age  "&amp;J222&amp;" "&amp;K223&amp;"",""),IF(L235&lt;&gt;L247,""&amp;CHAR(10)&amp;"  * Current on ART by month of dispense F07-16 for age "&amp;L222&amp;" "&amp;L223&amp;" is not equal to Clients current On ART F07-03 age  "&amp;L222&amp;" "&amp;L223&amp;"",""),IF(M235&lt;&gt;M247,""&amp;CHAR(10)&amp;"  * Current on ART by month of dispense F07-16 for age "&amp;L222&amp;" "&amp;M223&amp;" is not equal to Clients current On ART F07-03 age  "&amp;L222&amp;" "&amp;M223&amp;"",""),IF(N235&lt;&gt;N247,""&amp;CHAR(10)&amp;"  * Current on ART by month of dispense F07-16 for age "&amp;N222&amp;" "&amp;N223&amp;" is not equal to Clients current On ART F07-03 age  "&amp;N222&amp;" "&amp;N223&amp;"",""),IF(O235&lt;&gt;O247,""&amp;CHAR(10)&amp;"  * Current on ART by month of dispense F07-16 for age "&amp;N222&amp;" "&amp;O223&amp;" is not equal to Clients current On ART F07-03 age  "&amp;N222&amp;" "&amp;O223&amp;"",""),IF(P235&lt;&gt;P247,""&amp;CHAR(10)&amp;"  * Current on ART by month of dispense F07-16 for age "&amp;P222&amp;" "&amp;P223&amp;" is not equal to Clients current On ART F07-03 age  "&amp;P222&amp;" "&amp;P223&amp;"",""),IF(Q235&lt;&gt;Q247,""&amp;CHAR(10)&amp;"  * Current on ART by month of dispense F07-16 for age "&amp;P222&amp;" "&amp;Q223&amp;" is not equal to Clients current On ART F07-03 age  "&amp;P222&amp;" "&amp;Q223&amp;"",""),IF(R235&lt;&gt;R247,""&amp;CHAR(10)&amp;"  * Current on ART by month of dispense F07-16 for age "&amp;R222&amp;" "&amp;R223&amp;" is not equal to Clients current On ART F07-03 age  "&amp;R222&amp;" "&amp;R223&amp;"",""),IF(S235&lt;&gt;S247,""&amp;CHAR(10)&amp;"  * Current on ART by month of dispense F07-16 for age "&amp;R222&amp;" "&amp;S223&amp;" is not equal to Clients current On ART F07-03 age  "&amp;R222&amp;" "&amp;S223&amp;"",""),IF(T235&lt;&gt;T247,""&amp;CHAR(10)&amp;"  * Current on ART by month of dispense F07-16 for age "&amp;T222&amp;" "&amp;T223&amp;" is not equal to Clients current On ART F07-03 age  "&amp;T222&amp;" "&amp;T223&amp;"",""),IF(U235&lt;&gt;U247,""&amp;CHAR(10)&amp;"  * Current on ART by month of dispense F07-16 for age "&amp;T222&amp;" "&amp;U223&amp;" is not equal to Clients current On ART F07-03 age  "&amp;T222&amp;" "&amp;U223&amp;"",""),IF(V235&lt;&gt;V247,""&amp;CHAR(10)&amp;"  * Current on ART by month of dispense F07-16 for age "&amp;V222&amp;" "&amp;V223&amp;" is not equal to Clients current On ART F07-03 age  "&amp;V222&amp;" "&amp;V223&amp;"",""),IF(W235&lt;&gt;W247,""&amp;CHAR(10)&amp;"  * Current on ART by month of dispense F07-16 for age "&amp;V222&amp;" "&amp;W223&amp;" is not equal to Clients current On ART F07-03 age  "&amp;V222&amp;" "&amp;W223&amp;"",""),IF(X235&lt;&gt;X247,""&amp;CHAR(10)&amp;"  * Current on ART by month of dispense F07-16 for age "&amp;X222&amp;" "&amp;X223&amp;" is not equal to Clients current On ART F07-03 age  "&amp;X222&amp;" "&amp;X223&amp;"",""),IF(Y235&lt;&gt;Y247,""&amp;CHAR(10)&amp;"  * Current on ART by month of dispense F07-16 for age "&amp;X222&amp;" "&amp;Y223&amp;" is not equal to Clients current On ART F07-03 age  "&amp;X222&amp;" "&amp;Y223&amp;"",""),IF(Z235&lt;&gt;Z247,""&amp;CHAR(10)&amp;"  * Current on ART by month of dispense F07-16 for age "&amp;Z222&amp;" "&amp;Z223&amp;" is not equal to Clients current On ART F07-03 age  "&amp;Z222&amp;" "&amp;Z223&amp;"",""),IF(AA235&lt;&gt;AA247,""&amp;CHAR(10)&amp;"  * Current on ART by month of dispense F07-16 for age "&amp;Z222&amp;" "&amp;AA223&amp;" is not equal to Clients current On ART F07-03 age  "&amp;Z222&amp;" "&amp;AA223&amp;"",""))</f>
        <v/>
      </c>
      <c r="AL235" s="917"/>
      <c r="AM235" s="533"/>
      <c r="AN235" s="820"/>
      <c r="AO235" s="540">
        <v>257</v>
      </c>
      <c r="AQ235" s="134"/>
      <c r="AR235" s="134"/>
      <c r="AS235" s="134"/>
    </row>
    <row r="236" spans="1:45">
      <c r="A236" s="949" t="s">
        <v>584</v>
      </c>
      <c r="B236" s="451" t="s">
        <v>550</v>
      </c>
      <c r="C236" s="306" t="s">
        <v>585</v>
      </c>
      <c r="D236" s="452"/>
      <c r="E236" s="453"/>
      <c r="F236" s="453"/>
      <c r="G236" s="453"/>
      <c r="H236" s="453"/>
      <c r="I236" s="453"/>
      <c r="J236" s="453"/>
      <c r="K236" s="453"/>
      <c r="L236" s="453"/>
      <c r="M236" s="453"/>
      <c r="N236" s="453"/>
      <c r="O236" s="453"/>
      <c r="P236" s="453"/>
      <c r="Q236" s="453"/>
      <c r="R236" s="453"/>
      <c r="S236" s="453"/>
      <c r="T236" s="453"/>
      <c r="U236" s="453"/>
      <c r="V236" s="453"/>
      <c r="W236" s="453"/>
      <c r="X236" s="453"/>
      <c r="Y236" s="490"/>
      <c r="Z236" s="491">
        <f t="shared" ref="Z236:Z247" si="153">SUM(AB236,AD236,AF236,AH236)</f>
        <v>0</v>
      </c>
      <c r="AA236" s="491">
        <f t="shared" ref="AA236:AA247" si="154">SUM(AC236,AE236,AG236,AI236)</f>
        <v>0</v>
      </c>
      <c r="AB236" s="492"/>
      <c r="AC236" s="490"/>
      <c r="AD236" s="490"/>
      <c r="AE236" s="490"/>
      <c r="AF236" s="490"/>
      <c r="AG236" s="490"/>
      <c r="AH236" s="490"/>
      <c r="AI236" s="490"/>
      <c r="AJ236" s="763">
        <f t="shared" si="147"/>
        <v>0</v>
      </c>
      <c r="AK236" s="274"/>
      <c r="AL236" s="917"/>
      <c r="AM236" s="113"/>
      <c r="AN236" s="820"/>
      <c r="AO236" s="283">
        <v>258</v>
      </c>
    </row>
    <row r="237" spans="1:45">
      <c r="A237" s="950"/>
      <c r="B237" s="330" t="s">
        <v>249</v>
      </c>
      <c r="C237" s="27" t="s">
        <v>587</v>
      </c>
      <c r="D237" s="443"/>
      <c r="E237" s="443"/>
      <c r="F237" s="443"/>
      <c r="G237" s="443"/>
      <c r="H237" s="443"/>
      <c r="I237" s="443"/>
      <c r="J237" s="443"/>
      <c r="K237" s="443"/>
      <c r="L237" s="457"/>
      <c r="M237" s="457"/>
      <c r="N237" s="457"/>
      <c r="O237" s="457"/>
      <c r="P237" s="457"/>
      <c r="Q237" s="457"/>
      <c r="R237" s="457"/>
      <c r="S237" s="457"/>
      <c r="T237" s="457"/>
      <c r="U237" s="457"/>
      <c r="V237" s="457"/>
      <c r="W237" s="457"/>
      <c r="X237" s="457"/>
      <c r="Y237" s="483"/>
      <c r="Z237" s="487">
        <f t="shared" si="153"/>
        <v>0</v>
      </c>
      <c r="AA237" s="487">
        <f t="shared" si="154"/>
        <v>0</v>
      </c>
      <c r="AB237" s="493"/>
      <c r="AC237" s="483"/>
      <c r="AD237" s="483"/>
      <c r="AE237" s="483"/>
      <c r="AF237" s="483"/>
      <c r="AG237" s="483"/>
      <c r="AH237" s="483"/>
      <c r="AI237" s="483"/>
      <c r="AJ237" s="382">
        <f t="shared" si="147"/>
        <v>0</v>
      </c>
      <c r="AK237" s="274"/>
      <c r="AL237" s="917"/>
      <c r="AM237" s="113"/>
      <c r="AN237" s="820"/>
      <c r="AO237" s="283">
        <v>259</v>
      </c>
    </row>
    <row r="238" spans="1:45">
      <c r="A238" s="950"/>
      <c r="B238" s="330" t="s">
        <v>210</v>
      </c>
      <c r="C238" s="27" t="s">
        <v>589</v>
      </c>
      <c r="D238" s="443"/>
      <c r="E238" s="443"/>
      <c r="F238" s="443"/>
      <c r="G238" s="443"/>
      <c r="H238" s="443"/>
      <c r="I238" s="443"/>
      <c r="J238" s="443"/>
      <c r="K238" s="443"/>
      <c r="L238" s="457"/>
      <c r="M238" s="443"/>
      <c r="N238" s="457"/>
      <c r="O238" s="443"/>
      <c r="P238" s="457"/>
      <c r="Q238" s="443"/>
      <c r="R238" s="457"/>
      <c r="S238" s="443"/>
      <c r="T238" s="457"/>
      <c r="U238" s="443"/>
      <c r="V238" s="457"/>
      <c r="W238" s="443"/>
      <c r="X238" s="457"/>
      <c r="Y238" s="443"/>
      <c r="Z238" s="487">
        <f t="shared" si="153"/>
        <v>0</v>
      </c>
      <c r="AA238" s="487">
        <f t="shared" si="154"/>
        <v>0</v>
      </c>
      <c r="AB238" s="493"/>
      <c r="AC238" s="483"/>
      <c r="AD238" s="483"/>
      <c r="AE238" s="483"/>
      <c r="AF238" s="483"/>
      <c r="AG238" s="483"/>
      <c r="AH238" s="483"/>
      <c r="AI238" s="483"/>
      <c r="AJ238" s="382">
        <f t="shared" si="147"/>
        <v>0</v>
      </c>
      <c r="AK238" s="274"/>
      <c r="AL238" s="917"/>
      <c r="AM238" s="113"/>
      <c r="AN238" s="820"/>
      <c r="AO238" s="283">
        <v>260</v>
      </c>
    </row>
    <row r="239" spans="1:45">
      <c r="A239" s="950"/>
      <c r="B239" s="330" t="s">
        <v>204</v>
      </c>
      <c r="C239" s="27" t="s">
        <v>591</v>
      </c>
      <c r="D239" s="443"/>
      <c r="E239" s="443"/>
      <c r="F239" s="443"/>
      <c r="G239" s="443"/>
      <c r="H239" s="443"/>
      <c r="I239" s="443"/>
      <c r="J239" s="443"/>
      <c r="K239" s="443"/>
      <c r="L239" s="443"/>
      <c r="M239" s="457"/>
      <c r="N239" s="443"/>
      <c r="O239" s="457"/>
      <c r="P239" s="443"/>
      <c r="Q239" s="457"/>
      <c r="R239" s="443"/>
      <c r="S239" s="457"/>
      <c r="T239" s="443"/>
      <c r="U239" s="457"/>
      <c r="V239" s="443"/>
      <c r="W239" s="457"/>
      <c r="X239" s="443"/>
      <c r="Y239" s="483"/>
      <c r="Z239" s="487">
        <f t="shared" si="153"/>
        <v>0</v>
      </c>
      <c r="AA239" s="487">
        <f t="shared" si="154"/>
        <v>0</v>
      </c>
      <c r="AB239" s="493"/>
      <c r="AC239" s="483"/>
      <c r="AD239" s="483"/>
      <c r="AE239" s="483"/>
      <c r="AF239" s="483"/>
      <c r="AG239" s="483"/>
      <c r="AH239" s="483"/>
      <c r="AI239" s="483"/>
      <c r="AJ239" s="382">
        <f t="shared" si="147"/>
        <v>0</v>
      </c>
      <c r="AK239" s="274"/>
      <c r="AL239" s="917"/>
      <c r="AM239" s="113"/>
      <c r="AN239" s="820"/>
      <c r="AO239" s="283">
        <v>262</v>
      </c>
    </row>
    <row r="240" spans="1:45" ht="31.5" thickBot="1">
      <c r="A240" s="951"/>
      <c r="B240" s="290" t="s">
        <v>559</v>
      </c>
      <c r="C240" s="19" t="s">
        <v>593</v>
      </c>
      <c r="D240" s="443"/>
      <c r="E240" s="443"/>
      <c r="F240" s="443"/>
      <c r="G240" s="443"/>
      <c r="H240" s="443"/>
      <c r="I240" s="443"/>
      <c r="J240" s="443"/>
      <c r="K240" s="443"/>
      <c r="L240" s="474"/>
      <c r="M240" s="474"/>
      <c r="N240" s="474"/>
      <c r="O240" s="474"/>
      <c r="P240" s="474"/>
      <c r="Q240" s="474"/>
      <c r="R240" s="474"/>
      <c r="S240" s="474"/>
      <c r="T240" s="474"/>
      <c r="U240" s="474"/>
      <c r="V240" s="474"/>
      <c r="W240" s="474"/>
      <c r="X240" s="474"/>
      <c r="Y240" s="494"/>
      <c r="Z240" s="487">
        <f t="shared" si="153"/>
        <v>0</v>
      </c>
      <c r="AA240" s="487">
        <f t="shared" si="154"/>
        <v>0</v>
      </c>
      <c r="AB240" s="495"/>
      <c r="AC240" s="494"/>
      <c r="AD240" s="494"/>
      <c r="AE240" s="494"/>
      <c r="AF240" s="494"/>
      <c r="AG240" s="494"/>
      <c r="AH240" s="494"/>
      <c r="AI240" s="494"/>
      <c r="AJ240" s="612">
        <f t="shared" si="147"/>
        <v>0</v>
      </c>
      <c r="AK240" s="274"/>
      <c r="AL240" s="917"/>
      <c r="AM240" s="113"/>
      <c r="AN240" s="820"/>
      <c r="AO240" s="283">
        <v>263</v>
      </c>
    </row>
    <row r="241" spans="1:41" ht="30.75" customHeight="1">
      <c r="A241" s="894" t="s">
        <v>595</v>
      </c>
      <c r="B241" s="289" t="s">
        <v>596</v>
      </c>
      <c r="C241" s="18" t="s">
        <v>597</v>
      </c>
      <c r="D241" s="454"/>
      <c r="E241" s="455"/>
      <c r="F241" s="455"/>
      <c r="G241" s="455"/>
      <c r="H241" s="455"/>
      <c r="I241" s="455"/>
      <c r="J241" s="455"/>
      <c r="K241" s="455"/>
      <c r="L241" s="455"/>
      <c r="M241" s="455"/>
      <c r="N241" s="455"/>
      <c r="O241" s="455"/>
      <c r="P241" s="455"/>
      <c r="Q241" s="455"/>
      <c r="R241" s="455"/>
      <c r="S241" s="455"/>
      <c r="T241" s="455"/>
      <c r="U241" s="455"/>
      <c r="V241" s="455"/>
      <c r="W241" s="455"/>
      <c r="X241" s="455"/>
      <c r="Y241" s="482"/>
      <c r="Z241" s="487">
        <f t="shared" si="153"/>
        <v>0</v>
      </c>
      <c r="AA241" s="487">
        <f t="shared" si="154"/>
        <v>0</v>
      </c>
      <c r="AB241" s="496"/>
      <c r="AC241" s="482"/>
      <c r="AD241" s="482"/>
      <c r="AE241" s="482"/>
      <c r="AF241" s="482"/>
      <c r="AG241" s="482"/>
      <c r="AH241" s="482"/>
      <c r="AI241" s="482"/>
      <c r="AJ241" s="109">
        <f t="shared" si="147"/>
        <v>0</v>
      </c>
      <c r="AK241" s="274"/>
      <c r="AL241" s="917"/>
      <c r="AM241" s="113"/>
      <c r="AN241" s="820"/>
      <c r="AO241" s="283">
        <v>264</v>
      </c>
    </row>
    <row r="242" spans="1:41">
      <c r="A242" s="895"/>
      <c r="B242" s="330" t="s">
        <v>600</v>
      </c>
      <c r="C242" s="27" t="s">
        <v>601</v>
      </c>
      <c r="D242" s="456"/>
      <c r="E242" s="457"/>
      <c r="F242" s="457"/>
      <c r="G242" s="457"/>
      <c r="H242" s="457"/>
      <c r="I242" s="457"/>
      <c r="J242" s="457"/>
      <c r="K242" s="457"/>
      <c r="L242" s="457"/>
      <c r="M242" s="457"/>
      <c r="N242" s="457"/>
      <c r="O242" s="457"/>
      <c r="P242" s="457"/>
      <c r="Q242" s="457"/>
      <c r="R242" s="457"/>
      <c r="S242" s="457"/>
      <c r="T242" s="457"/>
      <c r="U242" s="457"/>
      <c r="V242" s="457"/>
      <c r="W242" s="457"/>
      <c r="X242" s="457"/>
      <c r="Y242" s="483"/>
      <c r="Z242" s="487">
        <f t="shared" si="153"/>
        <v>0</v>
      </c>
      <c r="AA242" s="487">
        <f t="shared" si="154"/>
        <v>0</v>
      </c>
      <c r="AB242" s="493"/>
      <c r="AC242" s="483"/>
      <c r="AD242" s="483"/>
      <c r="AE242" s="483"/>
      <c r="AF242" s="483"/>
      <c r="AG242" s="483"/>
      <c r="AH242" s="483"/>
      <c r="AI242" s="483"/>
      <c r="AJ242" s="382">
        <f t="shared" si="147"/>
        <v>0</v>
      </c>
      <c r="AK242" s="274"/>
      <c r="AL242" s="917"/>
      <c r="AM242" s="113"/>
      <c r="AN242" s="820"/>
      <c r="AO242" s="283">
        <v>265</v>
      </c>
    </row>
    <row r="243" spans="1:41">
      <c r="A243" s="895"/>
      <c r="B243" s="330" t="s">
        <v>603</v>
      </c>
      <c r="C243" s="27" t="s">
        <v>604</v>
      </c>
      <c r="D243" s="456"/>
      <c r="E243" s="457"/>
      <c r="F243" s="457"/>
      <c r="G243" s="457"/>
      <c r="H243" s="457"/>
      <c r="I243" s="457"/>
      <c r="J243" s="457"/>
      <c r="K243" s="457"/>
      <c r="L243" s="457"/>
      <c r="M243" s="457"/>
      <c r="N243" s="457"/>
      <c r="O243" s="457"/>
      <c r="P243" s="457"/>
      <c r="Q243" s="457"/>
      <c r="R243" s="457"/>
      <c r="S243" s="457"/>
      <c r="T243" s="457"/>
      <c r="U243" s="457"/>
      <c r="V243" s="457"/>
      <c r="W243" s="457"/>
      <c r="X243" s="457"/>
      <c r="Y243" s="483"/>
      <c r="Z243" s="487">
        <f t="shared" si="153"/>
        <v>0</v>
      </c>
      <c r="AA243" s="487">
        <f t="shared" si="154"/>
        <v>0</v>
      </c>
      <c r="AB243" s="493"/>
      <c r="AC243" s="483"/>
      <c r="AD243" s="483"/>
      <c r="AE243" s="483"/>
      <c r="AF243" s="483"/>
      <c r="AG243" s="483"/>
      <c r="AH243" s="483"/>
      <c r="AI243" s="483"/>
      <c r="AJ243" s="382">
        <f t="shared" si="147"/>
        <v>0</v>
      </c>
      <c r="AK243" s="274"/>
      <c r="AL243" s="917"/>
      <c r="AM243" s="113"/>
      <c r="AN243" s="820"/>
      <c r="AO243" s="283">
        <v>266</v>
      </c>
    </row>
    <row r="244" spans="1:41">
      <c r="A244" s="895"/>
      <c r="B244" s="330" t="s">
        <v>606</v>
      </c>
      <c r="C244" s="27" t="s">
        <v>607</v>
      </c>
      <c r="D244" s="456"/>
      <c r="E244" s="457"/>
      <c r="F244" s="457"/>
      <c r="G244" s="457"/>
      <c r="H244" s="457"/>
      <c r="I244" s="457"/>
      <c r="J244" s="457"/>
      <c r="K244" s="457"/>
      <c r="L244" s="457"/>
      <c r="M244" s="457"/>
      <c r="N244" s="457"/>
      <c r="O244" s="457"/>
      <c r="P244" s="457"/>
      <c r="Q244" s="457"/>
      <c r="R244" s="457"/>
      <c r="S244" s="457"/>
      <c r="T244" s="457"/>
      <c r="U244" s="457"/>
      <c r="V244" s="457"/>
      <c r="W244" s="457"/>
      <c r="X244" s="457"/>
      <c r="Y244" s="483"/>
      <c r="Z244" s="487">
        <f t="shared" si="153"/>
        <v>0</v>
      </c>
      <c r="AA244" s="487">
        <f t="shared" si="154"/>
        <v>0</v>
      </c>
      <c r="AB244" s="493"/>
      <c r="AC244" s="483"/>
      <c r="AD244" s="483"/>
      <c r="AE244" s="483"/>
      <c r="AF244" s="483"/>
      <c r="AG244" s="483"/>
      <c r="AH244" s="483"/>
      <c r="AI244" s="483"/>
      <c r="AJ244" s="382">
        <f t="shared" si="147"/>
        <v>0</v>
      </c>
      <c r="AK244" s="274"/>
      <c r="AL244" s="917"/>
      <c r="AM244" s="113"/>
      <c r="AN244" s="820"/>
      <c r="AO244" s="283">
        <v>267</v>
      </c>
    </row>
    <row r="245" spans="1:41">
      <c r="A245" s="895"/>
      <c r="B245" s="330" t="s">
        <v>609</v>
      </c>
      <c r="C245" s="27" t="s">
        <v>610</v>
      </c>
      <c r="D245" s="456"/>
      <c r="E245" s="457"/>
      <c r="F245" s="457"/>
      <c r="G245" s="457"/>
      <c r="H245" s="457"/>
      <c r="I245" s="457"/>
      <c r="J245" s="457"/>
      <c r="K245" s="457"/>
      <c r="L245" s="457"/>
      <c r="M245" s="457"/>
      <c r="N245" s="457"/>
      <c r="O245" s="457"/>
      <c r="P245" s="457"/>
      <c r="Q245" s="457"/>
      <c r="R245" s="457"/>
      <c r="S245" s="457"/>
      <c r="T245" s="457"/>
      <c r="U245" s="457"/>
      <c r="V245" s="457"/>
      <c r="W245" s="457"/>
      <c r="X245" s="457"/>
      <c r="Y245" s="483"/>
      <c r="Z245" s="487">
        <f t="shared" si="153"/>
        <v>0</v>
      </c>
      <c r="AA245" s="487">
        <f t="shared" si="154"/>
        <v>0</v>
      </c>
      <c r="AB245" s="493"/>
      <c r="AC245" s="483"/>
      <c r="AD245" s="483"/>
      <c r="AE245" s="483"/>
      <c r="AF245" s="483"/>
      <c r="AG245" s="483"/>
      <c r="AH245" s="483"/>
      <c r="AI245" s="483"/>
      <c r="AJ245" s="382">
        <f t="shared" si="147"/>
        <v>0</v>
      </c>
      <c r="AK245" s="274"/>
      <c r="AL245" s="917"/>
      <c r="AM245" s="113"/>
      <c r="AN245" s="820"/>
      <c r="AO245" s="283">
        <v>268</v>
      </c>
    </row>
    <row r="246" spans="1:41" ht="31.5" thickBot="1">
      <c r="A246" s="895"/>
      <c r="B246" s="330" t="s">
        <v>612</v>
      </c>
      <c r="C246" s="27" t="s">
        <v>613</v>
      </c>
      <c r="D246" s="738"/>
      <c r="E246" s="733"/>
      <c r="F246" s="733"/>
      <c r="G246" s="733"/>
      <c r="H246" s="733"/>
      <c r="I246" s="733"/>
      <c r="J246" s="733"/>
      <c r="K246" s="733"/>
      <c r="L246" s="733"/>
      <c r="M246" s="733"/>
      <c r="N246" s="733"/>
      <c r="O246" s="733"/>
      <c r="P246" s="733"/>
      <c r="Q246" s="733"/>
      <c r="R246" s="733"/>
      <c r="S246" s="733"/>
      <c r="T246" s="733"/>
      <c r="U246" s="733"/>
      <c r="V246" s="733"/>
      <c r="W246" s="733"/>
      <c r="X246" s="733"/>
      <c r="Y246" s="739"/>
      <c r="Z246" s="487">
        <f t="shared" si="153"/>
        <v>0</v>
      </c>
      <c r="AA246" s="487">
        <f t="shared" si="154"/>
        <v>0</v>
      </c>
      <c r="AB246" s="493"/>
      <c r="AC246" s="483"/>
      <c r="AD246" s="483"/>
      <c r="AE246" s="483"/>
      <c r="AF246" s="483"/>
      <c r="AG246" s="483"/>
      <c r="AH246" s="483"/>
      <c r="AI246" s="483"/>
      <c r="AJ246" s="382">
        <f t="shared" si="147"/>
        <v>0</v>
      </c>
      <c r="AK246" s="274"/>
      <c r="AL246" s="917"/>
      <c r="AM246" s="113"/>
      <c r="AN246" s="820"/>
      <c r="AO246" s="283">
        <v>269</v>
      </c>
    </row>
    <row r="247" spans="1:41" ht="31.5" thickBot="1">
      <c r="A247" s="896"/>
      <c r="B247" s="458" t="s">
        <v>615</v>
      </c>
      <c r="C247" s="19" t="s">
        <v>616</v>
      </c>
      <c r="D247" s="741">
        <f>SUM(D241:D246)</f>
        <v>0</v>
      </c>
      <c r="E247" s="742">
        <f t="shared" ref="E247:Y247" si="155">SUM(E241:E246)</f>
        <v>0</v>
      </c>
      <c r="F247" s="742">
        <f t="shared" si="155"/>
        <v>0</v>
      </c>
      <c r="G247" s="742">
        <f t="shared" si="155"/>
        <v>0</v>
      </c>
      <c r="H247" s="742">
        <f t="shared" si="155"/>
        <v>0</v>
      </c>
      <c r="I247" s="742">
        <f t="shared" si="155"/>
        <v>0</v>
      </c>
      <c r="J247" s="742">
        <f t="shared" si="155"/>
        <v>0</v>
      </c>
      <c r="K247" s="742">
        <f t="shared" si="155"/>
        <v>0</v>
      </c>
      <c r="L247" s="742">
        <f t="shared" si="155"/>
        <v>0</v>
      </c>
      <c r="M247" s="742">
        <f t="shared" si="155"/>
        <v>0</v>
      </c>
      <c r="N247" s="742">
        <f t="shared" si="155"/>
        <v>0</v>
      </c>
      <c r="O247" s="742">
        <f t="shared" si="155"/>
        <v>0</v>
      </c>
      <c r="P247" s="742">
        <f t="shared" si="155"/>
        <v>0</v>
      </c>
      <c r="Q247" s="742">
        <f t="shared" si="155"/>
        <v>0</v>
      </c>
      <c r="R247" s="742">
        <f t="shared" si="155"/>
        <v>0</v>
      </c>
      <c r="S247" s="742">
        <f t="shared" si="155"/>
        <v>0</v>
      </c>
      <c r="T247" s="742">
        <f t="shared" si="155"/>
        <v>0</v>
      </c>
      <c r="U247" s="742">
        <f t="shared" si="155"/>
        <v>0</v>
      </c>
      <c r="V247" s="742">
        <f t="shared" si="155"/>
        <v>0</v>
      </c>
      <c r="W247" s="742">
        <f t="shared" si="155"/>
        <v>0</v>
      </c>
      <c r="X247" s="742">
        <f t="shared" si="155"/>
        <v>0</v>
      </c>
      <c r="Y247" s="743">
        <f t="shared" si="155"/>
        <v>0</v>
      </c>
      <c r="Z247" s="737">
        <f t="shared" si="153"/>
        <v>0</v>
      </c>
      <c r="AA247" s="498">
        <f t="shared" si="154"/>
        <v>0</v>
      </c>
      <c r="AB247" s="499">
        <f t="shared" ref="AB247:AI247" si="156">SUM(AB241:AB246)</f>
        <v>0</v>
      </c>
      <c r="AC247" s="459">
        <f t="shared" si="156"/>
        <v>0</v>
      </c>
      <c r="AD247" s="459">
        <f t="shared" si="156"/>
        <v>0</v>
      </c>
      <c r="AE247" s="459">
        <f t="shared" si="156"/>
        <v>0</v>
      </c>
      <c r="AF247" s="459">
        <f t="shared" si="156"/>
        <v>0</v>
      </c>
      <c r="AG247" s="459">
        <f t="shared" si="156"/>
        <v>0</v>
      </c>
      <c r="AH247" s="459">
        <f t="shared" si="156"/>
        <v>0</v>
      </c>
      <c r="AI247" s="497">
        <f t="shared" si="156"/>
        <v>0</v>
      </c>
      <c r="AJ247" s="762">
        <f t="shared" si="147"/>
        <v>0</v>
      </c>
      <c r="AK247" s="274" t="str">
        <f>CONCATENATE(IF(D235&lt;D248," *  TX_CURR for PMTCT "&amp;$D$6&amp;" "&amp;$D$7&amp;" should not be more than TX_CURR"&amp;CHAR(10),""),IF(E235&lt;E248," *  TX_CURR for PMTCT "&amp;$D$6&amp;" "&amp;$E$7&amp;" should not be more than TX_CURR"&amp;CHAR(10),""),IF(F235&lt;F248," *  TX_CURR for PMTCT "&amp;$F$6&amp;" "&amp;$F$7&amp;" should not be more than TX_CURR"&amp;CHAR(10),""),IF(G235&lt;G248," *  TX_CURR for PMTCT "&amp;$F$6&amp;" "&amp;$G$7&amp;" should not be more than TX_CURR"&amp;CHAR(10),""),IF(H235&lt;H248," *  TX_CURR for PMTCT "&amp;$H$6&amp;" "&amp;$H$7&amp;" should not be more than TX_CURR"&amp;CHAR(10),""),IF(I235&lt;I248," *  TX_CURR for PMTCT "&amp;$H$6&amp;" "&amp;$I$7&amp;" should not be more than TX_CURR"&amp;CHAR(10),""),IF(J235&lt;J248," *  TX_CURR for PMTCT "&amp;$J$6&amp;" "&amp;$J$7&amp;" should not be more than TX_CURR"&amp;CHAR(10),""),IF(K235&lt;K248," *  TX_CURR for PMTCT "&amp;$J$6&amp;" "&amp;$K$7&amp;" should not be more than TX_CURR"&amp;CHAR(10),""),IF(L235&lt;L248," *  TX_CURR for PMTCT "&amp;$L$6&amp;" "&amp;$L$7&amp;" should not be more than TX_CURR"&amp;CHAR(10),""),IF(M235&lt;M248," *  TX_CURR for PMTCT "&amp;$L$6&amp;" "&amp;$M$7&amp;" should not be more than TX_CURR"&amp;CHAR(10),""),IF(N235&lt;N248," *  TX_CURR for PMTCT "&amp;$N$6&amp;" "&amp;$N$7&amp;" should not be more than TX_CURR"&amp;CHAR(10),""),IF(O235&lt;O248," *  TX_CURR for PMTCT "&amp;$N$6&amp;" "&amp;$O$7&amp;" should not be more than TX_CURR"&amp;CHAR(10),""),IF(P235&lt;P248," *  TX_CURR for PMTCT "&amp;$P$6&amp;" "&amp;$P$7&amp;" should not be more than TX_CURR"&amp;CHAR(10),""),IF(Q235&lt;Q248," *  TX_CURR for PMTCT "&amp;$P$6&amp;" "&amp;$Q$7&amp;" should not be more than TX_CURR"&amp;CHAR(10),""),IF(R235&lt;R248," *  TX_CURR for PMTCT "&amp;$R$6&amp;" "&amp;$R$7&amp;" should not be more than TX_CURR"&amp;CHAR(10),""),IF(S235&lt;S248," *  TX_CURR for PMTCT "&amp;$R$6&amp;" "&amp;$S$7&amp;" should not be more than TX_CURR"&amp;CHAR(10),""),IF(T235&lt;T248," *  TX_CURR for PMTCT "&amp;$T$6&amp;" "&amp;$T$7&amp;" should not be more than TX_CURR"&amp;CHAR(10),""),IF(U235&lt;U248," *  TX_CURR for PMTCT "&amp;$T$6&amp;" "&amp;$U$7&amp;" should not be more than TX_CURR"&amp;CHAR(10),""),IF(V235&lt;V248," *  TX_CURR for PMTCT "&amp;$V$6&amp;" "&amp;$V$7&amp;" should not be more than TX_CURR"&amp;CHAR(10),""),IF(W235&lt;W248," *  TX_CURR for PMTCT "&amp;$V$6&amp;" "&amp;$W$7&amp;" should not be more than TX_CURR"&amp;CHAR(10),""),IF(X235&lt;X248," *  TX_CURR for PMTCT "&amp;$X$6&amp;" "&amp;$X$7&amp;" should not be more than TX_CURR"&amp;CHAR(10),""),IF(Y235&lt;Y248," *  TX_CURR for PMTCT "&amp;$X$6&amp;" "&amp;$Y$7&amp;" should not be more than TX_CURR"&amp;CHAR(10),""),IF(Z235&lt;Z248," *  TX_CURR for PMTCT "&amp;$Z$6&amp;" "&amp;$Z$7&amp;" should not be more than TX_CURR"&amp;CHAR(10),""),IF(AA235&lt;AA248," *  TX_CURR for PMTCT "&amp;$Z$6&amp;" "&amp;$AA$7&amp;" should not be more than TX_CURR"&amp;CHAR(10),""))</f>
        <v/>
      </c>
      <c r="AL247" s="917"/>
      <c r="AM247" s="113"/>
      <c r="AN247" s="820"/>
      <c r="AO247" s="283">
        <v>270</v>
      </c>
    </row>
    <row r="248" spans="1:41" ht="51.75" customHeight="1" thickBot="1">
      <c r="A248" s="16" t="s">
        <v>618</v>
      </c>
      <c r="B248" s="460" t="s">
        <v>619</v>
      </c>
      <c r="C248" s="461" t="s">
        <v>620</v>
      </c>
      <c r="D248" s="740"/>
      <c r="E248" s="740"/>
      <c r="F248" s="740"/>
      <c r="G248" s="740"/>
      <c r="H248" s="740"/>
      <c r="I248" s="740"/>
      <c r="J248" s="740"/>
      <c r="K248" s="736"/>
      <c r="L248" s="740"/>
      <c r="M248" s="736"/>
      <c r="N248" s="740"/>
      <c r="O248" s="736"/>
      <c r="P248" s="740"/>
      <c r="Q248" s="736"/>
      <c r="R248" s="740"/>
      <c r="S248" s="736"/>
      <c r="T248" s="740"/>
      <c r="U248" s="736"/>
      <c r="V248" s="740"/>
      <c r="W248" s="736"/>
      <c r="X248" s="740"/>
      <c r="Y248" s="736"/>
      <c r="Z248" s="737">
        <f t="shared" ref="Z248" si="157">SUM(AB248,AD248,AF248,AH248)</f>
        <v>0</v>
      </c>
      <c r="AA248" s="498">
        <f t="shared" ref="AA248" si="158">SUM(AC248,AE248,AG248,AI248)</f>
        <v>0</v>
      </c>
      <c r="AB248" s="500"/>
      <c r="AC248" s="501"/>
      <c r="AD248" s="501"/>
      <c r="AE248" s="501"/>
      <c r="AF248" s="501"/>
      <c r="AG248" s="501"/>
      <c r="AH248" s="534"/>
      <c r="AI248" s="773"/>
      <c r="AJ248" s="670">
        <f t="shared" si="147"/>
        <v>0</v>
      </c>
      <c r="AK248" s="274" t="str">
        <f>(IF(AJ235&gt;0,IF(AJ277=0,"TX_CURR ever initiated on IPT cannot be Zero",""),""))</f>
        <v/>
      </c>
      <c r="AL248" s="918"/>
      <c r="AM248" s="113"/>
      <c r="AN248" s="821"/>
      <c r="AO248" s="283">
        <v>271</v>
      </c>
    </row>
    <row r="249" spans="1:41" ht="31.5" thickBot="1">
      <c r="A249" s="964" t="s">
        <v>623</v>
      </c>
      <c r="B249" s="965"/>
      <c r="C249" s="965"/>
      <c r="D249" s="965"/>
      <c r="E249" s="965"/>
      <c r="F249" s="965"/>
      <c r="G249" s="965"/>
      <c r="H249" s="965"/>
      <c r="I249" s="965"/>
      <c r="J249" s="965"/>
      <c r="K249" s="965"/>
      <c r="L249" s="965"/>
      <c r="M249" s="965"/>
      <c r="N249" s="965"/>
      <c r="O249" s="965"/>
      <c r="P249" s="965"/>
      <c r="Q249" s="965"/>
      <c r="R249" s="965"/>
      <c r="S249" s="965"/>
      <c r="T249" s="965"/>
      <c r="U249" s="965"/>
      <c r="V249" s="965"/>
      <c r="W249" s="965"/>
      <c r="X249" s="965"/>
      <c r="Y249" s="965"/>
      <c r="Z249" s="965"/>
      <c r="AA249" s="965"/>
      <c r="AB249" s="965"/>
      <c r="AC249" s="965"/>
      <c r="AD249" s="965"/>
      <c r="AE249" s="965"/>
      <c r="AF249" s="965"/>
      <c r="AG249" s="965"/>
      <c r="AH249" s="965"/>
      <c r="AI249" s="965"/>
      <c r="AJ249" s="965"/>
      <c r="AK249" s="965"/>
      <c r="AL249" s="965"/>
      <c r="AM249" s="965"/>
      <c r="AN249" s="966"/>
      <c r="AO249" s="283"/>
    </row>
    <row r="250" spans="1:41" ht="31.5" thickBot="1">
      <c r="A250" s="995" t="s">
        <v>624</v>
      </c>
      <c r="B250" s="458" t="s">
        <v>625</v>
      </c>
      <c r="C250" s="19" t="s">
        <v>626</v>
      </c>
      <c r="D250" s="462">
        <f t="shared" ref="D250:AI250" si="159">SUM(D252,D251,D255)</f>
        <v>0</v>
      </c>
      <c r="E250" s="462">
        <f t="shared" si="159"/>
        <v>0</v>
      </c>
      <c r="F250" s="462">
        <f t="shared" si="159"/>
        <v>0</v>
      </c>
      <c r="G250" s="462">
        <f t="shared" si="159"/>
        <v>0</v>
      </c>
      <c r="H250" s="462">
        <f t="shared" si="159"/>
        <v>0</v>
      </c>
      <c r="I250" s="462">
        <f t="shared" si="159"/>
        <v>0</v>
      </c>
      <c r="J250" s="462">
        <f t="shared" si="159"/>
        <v>0</v>
      </c>
      <c r="K250" s="462">
        <f t="shared" si="159"/>
        <v>0</v>
      </c>
      <c r="L250" s="462">
        <f t="shared" si="159"/>
        <v>0</v>
      </c>
      <c r="M250" s="462">
        <f t="shared" si="159"/>
        <v>0</v>
      </c>
      <c r="N250" s="462">
        <f t="shared" si="159"/>
        <v>0</v>
      </c>
      <c r="O250" s="462">
        <f t="shared" si="159"/>
        <v>0</v>
      </c>
      <c r="P250" s="462">
        <f t="shared" si="159"/>
        <v>0</v>
      </c>
      <c r="Q250" s="462">
        <f t="shared" si="159"/>
        <v>0</v>
      </c>
      <c r="R250" s="462">
        <f t="shared" si="159"/>
        <v>0</v>
      </c>
      <c r="S250" s="462">
        <f t="shared" si="159"/>
        <v>0</v>
      </c>
      <c r="T250" s="462">
        <f t="shared" si="159"/>
        <v>0</v>
      </c>
      <c r="U250" s="462">
        <f t="shared" si="159"/>
        <v>0</v>
      </c>
      <c r="V250" s="462">
        <f t="shared" si="159"/>
        <v>0</v>
      </c>
      <c r="W250" s="462">
        <f t="shared" si="159"/>
        <v>0</v>
      </c>
      <c r="X250" s="462">
        <f t="shared" si="159"/>
        <v>0</v>
      </c>
      <c r="Y250" s="462">
        <f t="shared" si="159"/>
        <v>0</v>
      </c>
      <c r="Z250" s="462">
        <f t="shared" si="159"/>
        <v>0</v>
      </c>
      <c r="AA250" s="462">
        <f t="shared" si="159"/>
        <v>0</v>
      </c>
      <c r="AB250" s="462">
        <f t="shared" si="159"/>
        <v>0</v>
      </c>
      <c r="AC250" s="462">
        <f t="shared" si="159"/>
        <v>0</v>
      </c>
      <c r="AD250" s="462">
        <f t="shared" si="159"/>
        <v>0</v>
      </c>
      <c r="AE250" s="462">
        <f t="shared" si="159"/>
        <v>0</v>
      </c>
      <c r="AF250" s="462">
        <f t="shared" si="159"/>
        <v>0</v>
      </c>
      <c r="AG250" s="462">
        <f t="shared" si="159"/>
        <v>0</v>
      </c>
      <c r="AH250" s="462">
        <f t="shared" si="159"/>
        <v>0</v>
      </c>
      <c r="AI250" s="462">
        <f t="shared" si="159"/>
        <v>0</v>
      </c>
      <c r="AJ250" s="281">
        <f>SUM(D250:AA250)</f>
        <v>0</v>
      </c>
      <c r="AK250" s="274" t="str">
        <f>CONCATENATE(IF(D250&gt;D235," * Total Screened For TB  for Age "&amp;D6&amp;" "&amp;D7&amp;" is more than Current On ART "&amp;CHAR(10),""),IF(E250&gt;E235," * Total Screened For TB  for Age "&amp;D6&amp;" "&amp;E7&amp;" is more than Current On ART "&amp;CHAR(10),""),IF(F250&gt;F235," * Total Screened For TB  for Age "&amp;F6&amp;" "&amp;F7&amp;" is more than Current On ART "&amp;CHAR(10),""),IF(G250&gt;G235," * Total Screened For TB  for Age "&amp;F6&amp;" "&amp;G7&amp;" is more than Current On ART "&amp;CHAR(10),""),IF(H250&gt;H235," * Total Screened For TB  for Age "&amp;H6&amp;" "&amp;H7&amp;" is more than Current On ART "&amp;CHAR(10),""),IF(I250&gt;I235," * Total Screened For TB  for Age "&amp;H6&amp;" "&amp;I7&amp;" is more than Current On ART "&amp;CHAR(10),""),IF(J250&gt;J235," * Total Screened For TB  for Age "&amp;J6&amp;" "&amp;J7&amp;" is more than Current On ART "&amp;CHAR(10),""),IF(K250&gt;K235," * Total Screened For TB  for Age "&amp;J6&amp;" "&amp;K7&amp;" is more than Current On ART "&amp;CHAR(10),""),IF(L250&gt;L235," * Total Screened For TB  for Age "&amp;L6&amp;" "&amp;L7&amp;" is more than Current On ART "&amp;CHAR(10),""),IF(M250&gt;M235," * Total Screened For TB  for Age "&amp;L6&amp;" "&amp;M7&amp;" is more than Current On ART "&amp;CHAR(10),""),IF(N250&gt;N235," * Total Screened For TB  for Age "&amp;N6&amp;" "&amp;N7&amp;" is more than Current On ART "&amp;CHAR(10),""),IF(O250&gt;O235," * Total Screened For TB  for Age "&amp;N6&amp;" "&amp;O7&amp;" is more than Current On ART "&amp;CHAR(10),""),IF(P250&gt;P235," * Total Screened For TB  for Age "&amp;P6&amp;" "&amp;P7&amp;" is more than Current On ART "&amp;CHAR(10),""),IF(Q250&gt;Q235," * Total Screened For TB  for Age "&amp;P6&amp;" "&amp;Q7&amp;" is more than Current On ART "&amp;CHAR(10),""),IF(R250&gt;R235," * Total Screened For TB  for Age "&amp;R6&amp;" "&amp;R7&amp;" is more than Current On ART "&amp;CHAR(10),""),IF(S250&gt;S235," * Total Screened For TB  for Age "&amp;R6&amp;" "&amp;S7&amp;" is more than Current On ART "&amp;CHAR(10),""),IF(T250&gt;T235," * Total Screened For TB  for Age "&amp;T6&amp;" "&amp;T7&amp;" is more than Current On ART "&amp;CHAR(10),""),IF(U250&gt;U235," * Total Screened For TB  for Age "&amp;T6&amp;" "&amp;U7&amp;" is more than Current On ART "&amp;CHAR(10),""),IF(V250&gt;V235," * Total Screened For TB  for Age "&amp;V6&amp;" "&amp;V7&amp;" is more than Current On ART "&amp;CHAR(10),""),IF(W250&gt;W235," * Total Screened For TB  for Age "&amp;V6&amp;" "&amp;W7&amp;" is more than Current On ART "&amp;CHAR(10),""),IF(X250&gt;X235," * Total Screened For TB  for Age "&amp;X6&amp;" "&amp;X7&amp;" is more than Current On ART "&amp;CHAR(10),""),IF(Y250&gt;Y235," * Total Screened For TB  for Age "&amp;X6&amp;" "&amp;Y7&amp;" is more than Current On ART "&amp;CHAR(10),""),IF(Z250&gt;Z235," * Total Screened For TB  for Age "&amp;Z6&amp;" "&amp;Z7&amp;" is more than Current On ART "&amp;CHAR(10),""),IF(AA250&gt;AA235," * Total Screened For TB  for Age "&amp;Z6&amp;" "&amp;AA7&amp;" is more than Current On ART "&amp;CHAR(10),""))</f>
        <v/>
      </c>
      <c r="AL250" s="916" t="str">
        <f>CONCATENATE(AK253,AK254,AK255,AK251,AK252,AK250,AK256,AK257,AK258,AK259,AK260,AK264,AK265,AK266,AK261,AK262,AK263)</f>
        <v/>
      </c>
      <c r="AM250" s="113" t="str">
        <f>CONCATENATE(IF(D250&lt;D235," * Screened for TB for Age "&amp;D6&amp;" "&amp;D7&amp;" is less than Current On ART"&amp;CHAR(10),""),IF(E250&lt;E235," * Screened for TB for Age "&amp;D6&amp;" "&amp;E7&amp;" is less than Current On ART"&amp;CHAR(10),""),IF(F250&lt;F235," * Screened for TB for Age "&amp;F6&amp;" "&amp;F7&amp;" is less than Current On ART"&amp;CHAR(10),""),IF(G250&lt;G235," * Screened for TB for Age "&amp;F6&amp;" "&amp;G7&amp;" is less than Current On ART"&amp;CHAR(10),""),IF(H250&lt;H235," * Screened for TB for Age "&amp;H6&amp;" "&amp;H7&amp;" is less than Current On ART"&amp;CHAR(10),""),IF(I250&lt;I235," * Screened for TB for Age "&amp;H6&amp;" "&amp;I7&amp;" is less than Current On ART"&amp;CHAR(10),""),IF(J250&lt;J235," * Screened for TB for Age "&amp;J6&amp;" "&amp;J7&amp;" is less than Current On ART"&amp;CHAR(10),""),IF(K250&lt;K235," * Screened for TB for Age "&amp;J6&amp;" "&amp;K7&amp;" is less than Current On ART"&amp;CHAR(10),""),IF(L250&lt;L235," * Screened for TB for Age "&amp;L6&amp;" "&amp;L7&amp;" is less than Current On ART"&amp;CHAR(10),""),IF(M250&lt;M235," * Screened for TB for Age "&amp;L6&amp;" "&amp;M7&amp;" is less than Current On ART"&amp;CHAR(10),""),IF(N250&lt;N235," * Screened for TB for Age "&amp;N6&amp;" "&amp;N7&amp;" is less than Current On ART"&amp;CHAR(10),""),IF(O250&lt;O235," * Screened for TB for Age "&amp;N6&amp;" "&amp;O7&amp;" is less than Current On ART"&amp;CHAR(10),""),IF(P250&lt;P235," * Screened for TB for Age "&amp;P6&amp;" "&amp;P7&amp;" is less than Current On ART"&amp;CHAR(10),""),IF(Q250&lt;Q235," * Screened for TB for Age "&amp;P6&amp;" "&amp;Q7&amp;" is less than Current On ART"&amp;CHAR(10),""),IF(R250&lt;R235," * Screened for TB for Age "&amp;R6&amp;" "&amp;R7&amp;" is less than Current On ART"&amp;CHAR(10),""),IF(S250&lt;S235," * Screened for TB for Age "&amp;R6&amp;" "&amp;S7&amp;" is less than Current On ART"&amp;CHAR(10),""),IF(T250&lt;T235," * Screened for TB for Age "&amp;T6&amp;" "&amp;T7&amp;" is less than Current On ART"&amp;CHAR(10),""),IF(U250&lt;U235," * Screened for TB for Age "&amp;T6&amp;" "&amp;U7&amp;" is less than Current On ART"&amp;CHAR(10),""),IF(V250&lt;V235," * Screened for TB for Age "&amp;V6&amp;" "&amp;V7&amp;" is less than Current On ART"&amp;CHAR(10),""),IF(W250&lt;W235," * Screened for TB for Age "&amp;V6&amp;" "&amp;W7&amp;" is less than Current On ART"&amp;CHAR(10),""),IF(X250&lt;X235," * Screened for TB for Age "&amp;X6&amp;" "&amp;X7&amp;" is less than Current On ART"&amp;CHAR(10),""),IF(Y250&lt;Y235," * Screened for TB for Age "&amp;X6&amp;" "&amp;Y7&amp;" is less than Current On ART"&amp;CHAR(10),""),IF(Z250&lt;Z235," * Screened for TB for Age "&amp;Z6&amp;" "&amp;Z7&amp;" is less than Current On ART"&amp;CHAR(10),""),IF(AA250&lt;AA235," * Screened for TB for Age "&amp;Z6&amp;" "&amp;AA7&amp;" is less than Current On ART"&amp;CHAR(10),""))</f>
        <v/>
      </c>
      <c r="AN250" s="819" t="str">
        <f>CONCATENATE(AM253,AM254,AM255,AM251,AM252,AM250,AM256,AM257,AM258,AM259,AM260,AM264,AM265,AM266,AM261,AM262,AM263)</f>
        <v/>
      </c>
      <c r="AO250" s="283">
        <v>277</v>
      </c>
    </row>
    <row r="251" spans="1:41">
      <c r="A251" s="996"/>
      <c r="B251" s="451" t="s">
        <v>629</v>
      </c>
      <c r="C251" s="306" t="s">
        <v>630</v>
      </c>
      <c r="D251" s="463"/>
      <c r="E251" s="453"/>
      <c r="F251" s="453"/>
      <c r="G251" s="453"/>
      <c r="H251" s="453"/>
      <c r="I251" s="453"/>
      <c r="J251" s="453"/>
      <c r="K251" s="453"/>
      <c r="L251" s="453"/>
      <c r="M251" s="453"/>
      <c r="N251" s="453"/>
      <c r="O251" s="453"/>
      <c r="P251" s="453"/>
      <c r="Q251" s="453"/>
      <c r="R251" s="453"/>
      <c r="S251" s="453"/>
      <c r="T251" s="453"/>
      <c r="U251" s="453"/>
      <c r="V251" s="453"/>
      <c r="W251" s="453"/>
      <c r="X251" s="453"/>
      <c r="Y251" s="453"/>
      <c r="Z251" s="491">
        <f>SUM(AB251,AD251,AF251,AH251)</f>
        <v>0</v>
      </c>
      <c r="AA251" s="491">
        <f>SUM(AC251,AE251,AG251,AI251)</f>
        <v>0</v>
      </c>
      <c r="AB251" s="453"/>
      <c r="AC251" s="453"/>
      <c r="AD251" s="453"/>
      <c r="AE251" s="453"/>
      <c r="AF251" s="453"/>
      <c r="AG251" s="453"/>
      <c r="AH251" s="453"/>
      <c r="AI251" s="453"/>
      <c r="AJ251" s="535">
        <f>SUM(D251:AA251)</f>
        <v>0</v>
      </c>
      <c r="AK251" s="274"/>
      <c r="AL251" s="917"/>
      <c r="AM251" s="113"/>
      <c r="AN251" s="820"/>
      <c r="AO251" s="283">
        <v>275</v>
      </c>
    </row>
    <row r="252" spans="1:41" ht="31.5" thickBot="1">
      <c r="A252" s="996"/>
      <c r="B252" s="330" t="s">
        <v>633</v>
      </c>
      <c r="C252" s="27" t="s">
        <v>634</v>
      </c>
      <c r="D252" s="447"/>
      <c r="E252" s="457"/>
      <c r="F252" s="457"/>
      <c r="G252" s="457"/>
      <c r="H252" s="457"/>
      <c r="I252" s="457"/>
      <c r="J252" s="457"/>
      <c r="K252" s="457"/>
      <c r="L252" s="457"/>
      <c r="M252" s="457"/>
      <c r="N252" s="457"/>
      <c r="O252" s="457"/>
      <c r="P252" s="457"/>
      <c r="Q252" s="457"/>
      <c r="R252" s="457"/>
      <c r="S252" s="457"/>
      <c r="T252" s="457"/>
      <c r="U252" s="457"/>
      <c r="V252" s="457"/>
      <c r="W252" s="457"/>
      <c r="X252" s="457"/>
      <c r="Y252" s="457"/>
      <c r="Z252" s="487">
        <f>SUM(AB252,AD252,AF252,AH252)</f>
        <v>0</v>
      </c>
      <c r="AA252" s="487">
        <f>SUM(AC252,AE252,AG252,AI252)</f>
        <v>0</v>
      </c>
      <c r="AB252" s="457"/>
      <c r="AC252" s="457"/>
      <c r="AD252" s="457"/>
      <c r="AE252" s="457"/>
      <c r="AF252" s="457"/>
      <c r="AG252" s="457"/>
      <c r="AH252" s="457"/>
      <c r="AI252" s="457"/>
      <c r="AJ252" s="536">
        <f>SUM(D252:AA252)</f>
        <v>0</v>
      </c>
      <c r="AK252" s="274" t="str">
        <f>IF(AJ235&gt;0,IF(AJ250&lt;1," No Patient was screened for TB",""),"")</f>
        <v/>
      </c>
      <c r="AL252" s="917"/>
      <c r="AM252" s="113"/>
      <c r="AN252" s="820"/>
      <c r="AO252" s="283">
        <v>276</v>
      </c>
    </row>
    <row r="253" spans="1:41" ht="32.25" customHeight="1">
      <c r="A253" s="996"/>
      <c r="B253" s="464" t="s">
        <v>636</v>
      </c>
      <c r="C253" s="306" t="s">
        <v>637</v>
      </c>
      <c r="D253" s="453"/>
      <c r="E253" s="453"/>
      <c r="F253" s="453"/>
      <c r="G253" s="453"/>
      <c r="H253" s="453"/>
      <c r="I253" s="453"/>
      <c r="J253" s="453"/>
      <c r="K253" s="453"/>
      <c r="L253" s="453"/>
      <c r="M253" s="453"/>
      <c r="N253" s="453"/>
      <c r="O253" s="453"/>
      <c r="P253" s="453"/>
      <c r="Q253" s="453"/>
      <c r="R253" s="453"/>
      <c r="S253" s="453"/>
      <c r="T253" s="453"/>
      <c r="U253" s="453"/>
      <c r="V253" s="453"/>
      <c r="W253" s="453"/>
      <c r="X253" s="453"/>
      <c r="Y253" s="490"/>
      <c r="Z253" s="502">
        <f t="shared" ref="Z253:Z259" si="160">SUM(AB253,AD253,AF253,AH253)</f>
        <v>0</v>
      </c>
      <c r="AA253" s="503">
        <f t="shared" ref="AA253:AA259" si="161">SUM(AC253,AE253,AG253,AI253)</f>
        <v>0</v>
      </c>
      <c r="AB253" s="463"/>
      <c r="AC253" s="453"/>
      <c r="AD253" s="453"/>
      <c r="AE253" s="453"/>
      <c r="AF253" s="453"/>
      <c r="AG253" s="453"/>
      <c r="AH253" s="453"/>
      <c r="AI253" s="453"/>
      <c r="AJ253" s="535">
        <f t="shared" si="147"/>
        <v>0</v>
      </c>
      <c r="AK253" s="119" t="str">
        <f>CONCATENATE(IF(D264&gt;D253," *  confirmed TB positive newly started on TB treatment "&amp;$D$6&amp;" "&amp;$D$7&amp;" is more than Screening positive for TB Newly enrolled on ART"&amp;CHAR(10),""),IF(E264&gt;E253," *  confirmed TB positive newly started on TB treatment "&amp;$D$6&amp;" "&amp;$E$7&amp;" is more than Screening positive for TB Newly enrolled on ART"&amp;CHAR(10),""),IF(F264&gt;F253," *  confirmed TB positive newly started on TB treatment "&amp;$F$6&amp;" "&amp;$F$7&amp;" is more than Screening positive for TB Newly enrolled on ART"&amp;CHAR(10),""),IF(G264&gt;G253," *  confirmed TB positive newly started on TB treatment "&amp;$F$6&amp;" "&amp;$G$7&amp;" is more than Screening positive for TB Newly enrolled on ART"&amp;CHAR(10),""),IF(H264&gt;H253," *  confirmed TB positive newly started on TB treatment "&amp;$H$6&amp;" "&amp;$H$7&amp;" is more than Screening positive for TB Newly enrolled on ART"&amp;CHAR(10),""),IF(I264&gt;I253," *  confirmed TB positive newly started on TB treatment "&amp;$H$6&amp;" "&amp;$I$7&amp;" is more than Screening positive for TB Newly enrolled on ART"&amp;CHAR(10),""),IF(J264&gt;J253," *  confirmed TB positive newly started on TB treatment "&amp;$J$6&amp;" "&amp;$J$7&amp;" is more than Screening positive for TB Newly enrolled on ART"&amp;CHAR(10),""),IF(K264&gt;K253," *  confirmed TB positive newly started on TB treatment "&amp;$J$6&amp;" "&amp;$K$7&amp;" is more than Screening positive for TB Newly enrolled on ART"&amp;CHAR(10),""),IF(L264&gt;L253," *  confirmed TB positive newly started on TB treatment "&amp;$L$6&amp;" "&amp;$L$7&amp;" is more than Screening positive for TB Newly enrolled on ART"&amp;CHAR(10),""),IF(M264&gt;M253," *  confirmed TB positive newly started on TB treatment "&amp;$L$6&amp;" "&amp;$M$7&amp;" is more than Screening positive for TB Newly enrolled on ART"&amp;CHAR(10),""),IF(N264&gt;N253," *  confirmed TB positive newly started on TB treatment "&amp;$N$6&amp;" "&amp;$N$7&amp;" is more than Screening positive for TB Newly enrolled on ART"&amp;CHAR(10),""),IF(O264&gt;O253," *  confirmed TB positive newly started on TB treatment "&amp;$N$6&amp;" "&amp;$O$7&amp;" is more than Screening positive for TB Newly enrolled on ART"&amp;CHAR(10),""),IF(P264&gt;P253," *  confirmed TB positive newly started on TB treatment "&amp;$P$6&amp;" "&amp;$P$7&amp;" is more than Screening positive for TB Newly enrolled on ART"&amp;CHAR(10),""),IF(Q264&gt;Q253," *  confirmed TB positive newly started on TB treatment "&amp;$P$6&amp;" "&amp;$Q$7&amp;" is more than Screening positive for TB Newly enrolled on ART"&amp;CHAR(10),""),IF(R264&gt;R253," *  confirmed TB positive newly started on TB treatment "&amp;$R$6&amp;" "&amp;$R$7&amp;" is more than Screening positive for TB Newly enrolled on ART"&amp;CHAR(10),""),IF(S264&gt;S253," *  confirmed TB positive newly started on TB treatment "&amp;$R$6&amp;" "&amp;$S$7&amp;" is more than Screening positive for TB Newly enrolled on ART"&amp;CHAR(10),""),IF(T264&gt;T253," *  confirmed TB positive newly started on TB treatment "&amp;$T$6&amp;" "&amp;$T$7&amp;" is more than Screening positive for TB Newly enrolled on ART"&amp;CHAR(10),""),IF(U264&gt;U253," *  confirmed TB positive newly started on TB treatment "&amp;$T$6&amp;" "&amp;$U$7&amp;" is more than Screening positive for TB Newly enrolled on ART"&amp;CHAR(10),""),IF(V264&gt;V253," *  confirmed TB positive newly started on TB treatment "&amp;$V$6&amp;" "&amp;$V$7&amp;" is more than Screening positive for TB Newly enrolled on ART"&amp;CHAR(10),""),IF(W264&gt;W253," *  confirmed TB positive newly started on TB treatment "&amp;$V$6&amp;" "&amp;$W$7&amp;" is more than Screening positive for TB Newly enrolled on ART"&amp;CHAR(10),""),IF(X264&gt;X253," *  confirmed TB positive newly started on TB treatment "&amp;$X$6&amp;" "&amp;$X$7&amp;" is more than Screening positive for TB Newly enrolled on ART"&amp;CHAR(10),""),IF(Y264&gt;Y253," *  confirmed TB positive newly started on TB treatment "&amp;$X$6&amp;" "&amp;$Y$7&amp;" is more than Screening positive for TB Newly enrolled on ART"&amp;CHAR(10),""),IF(Z264&gt;Z253," *  confirmed TB positive newly started on TB treatment "&amp;$Z$6&amp;" "&amp;$Z$7&amp;" is more than Screening positive for TB Newly enrolled on ART"&amp;CHAR(10),""),IF(AA264&gt;AA253," *  confirmed TB positive newly started on TB treatment "&amp;$Z$6&amp;" "&amp;$AA$7&amp;" is more than Screening positive for TB Newly enrolled on ART"&amp;CHAR(10),""))</f>
        <v/>
      </c>
      <c r="AL253" s="917"/>
      <c r="AM253" s="114" t="str">
        <f>CONCATENATE(IF(D264&lt;D253," *  confirmed TB positive newly started on TB treatment "&amp;$D$6&amp;" "&amp;$D$7&amp;" is less than Screening positive for TB Newly enrolled on ART"&amp;CHAR(10),""),IF(E264&lt;E253," *  confirmed TB positive newly started on TB treatment "&amp;$D$6&amp;" "&amp;$E$7&amp;" is less than Screening positive for TB Newly enrolled on ART"&amp;CHAR(10),""),IF(F264&lt;F253," *  confirmed TB positive newly started on TB treatment "&amp;$F$6&amp;" "&amp;$F$7&amp;" is less than Screening positive for TB Newly enrolled on ART"&amp;CHAR(10),""),IF(G264&lt;G253," *  confirmed TB positive newly started on TB treatment "&amp;$F$6&amp;" "&amp;$G$7&amp;" is less than Screening positive for TB Newly enrolled on ART"&amp;CHAR(10),""),IF(H264&lt;H253," *  confirmed TB positive newly started on TB treatment "&amp;$H$6&amp;" "&amp;$H$7&amp;" is less than Screening positive for TB Newly enrolled on ART"&amp;CHAR(10),""),IF(I264&lt;I253," *  confirmed TB positive newly started on TB treatment "&amp;$H$6&amp;" "&amp;$I$7&amp;" is less than Screening positive for TB Newly enrolled on ART"&amp;CHAR(10),""),IF(J264&lt;J253," *  confirmed TB positive newly started on TB treatment "&amp;$J$6&amp;" "&amp;$J$7&amp;" is less than Screening positive for TB Newly enrolled on ART"&amp;CHAR(10),""),IF(K264&lt;K253," *  confirmed TB positive newly started on TB treatment "&amp;$J$6&amp;" "&amp;$K$7&amp;" is less than Screening positive for TB Newly enrolled on ART"&amp;CHAR(10),""),IF(L264&lt;L253," *  confirmed TB positive newly started on TB treatment "&amp;$L$6&amp;" "&amp;$L$7&amp;" is less than Screening positive for TB Newly enrolled on ART"&amp;CHAR(10),""),IF(M264&lt;M253," *  confirmed TB positive newly started on TB treatment "&amp;$L$6&amp;" "&amp;$M$7&amp;" is less than Screening positive for TB Newly enrolled on ART"&amp;CHAR(10),""),IF(N264&lt;N253," *  confirmed TB positive newly started on TB treatment "&amp;$N$6&amp;" "&amp;$N$7&amp;" is less than Screening positive for TB Newly enrolled on ART"&amp;CHAR(10),""),IF(O264&lt;O253," *  confirmed TB positive newly started on TB treatment "&amp;$N$6&amp;" "&amp;$O$7&amp;" is less than Screening positive for TB Newly enrolled on ART"&amp;CHAR(10),""),IF(P264&lt;P253," *  confirmed TB positive newly started on TB treatment "&amp;$P$6&amp;" "&amp;$P$7&amp;" is less than Screening positive for TB Newly enrolled on ART"&amp;CHAR(10),""),IF(Q264&lt;Q253," *  confirmed TB positive newly started on TB treatment "&amp;$P$6&amp;" "&amp;$Q$7&amp;" is less than Screening positive for TB Newly enrolled on ART"&amp;CHAR(10),""),IF(R264&lt;R253," *  confirmed TB positive newly started on TB treatment "&amp;$R$6&amp;" "&amp;$R$7&amp;" is less than Screening positive for TB Newly enrolled on ART"&amp;CHAR(10),""),IF(S264&lt;S253," *  confirmed TB positive newly started on TB treatment "&amp;$R$6&amp;" "&amp;$S$7&amp;" is less than Screening positive for TB Newly enrolled on ART"&amp;CHAR(10),""),IF(T264&lt;T253," *  confirmed TB positive newly started on TB treatment "&amp;$T$6&amp;" "&amp;$T$7&amp;" is less than Screening positive for TB Newly enrolled on ART"&amp;CHAR(10),""),IF(U264&lt;U253," *  confirmed TB positive newly started on TB treatment "&amp;$T$6&amp;" "&amp;$U$7&amp;" is less than Screening positive for TB Newly enrolled on ART"&amp;CHAR(10),""),IF(V264&lt;V253," *  confirmed TB positive newly started on TB treatment "&amp;$V$6&amp;" "&amp;$V$7&amp;" is less than Screening positive for TB Newly enrolled on ART"&amp;CHAR(10),""),IF(W264&lt;W253," *  confirmed TB positive newly started on TB treatment "&amp;$V$6&amp;" "&amp;$W$7&amp;" is less than Screening positive for TB Newly enrolled on ART"&amp;CHAR(10),""),IF(X264&lt;X253," *  confirmed TB positive newly started on TB treatment "&amp;$X$6&amp;" "&amp;$X$7&amp;" is less than Screening positive for TB Newly enrolled on ART"&amp;CHAR(10),""),IF(Y264&lt;Y253," *  confirmed TB positive newly started on TB treatment "&amp;$X$6&amp;" "&amp;$Y$7&amp;" is less than Screening positive for TB Newly enrolled on ART"&amp;CHAR(10),""),IF(Z264&lt;Z253," *  confirmed TB positive newly started on TB treatment "&amp;$Z$6&amp;" "&amp;$Z$7&amp;" is less than Screening positive for TB Newly enrolled on ART"&amp;CHAR(10),""),IF(AA264&lt;AA253," *  confirmed TB positive newly started on TB treatment "&amp;$Z$6&amp;" "&amp;$AA$7&amp;" is less than Screening positive for TB Newly enrolled on ART"&amp;CHAR(10),""))</f>
        <v/>
      </c>
      <c r="AN253" s="820"/>
      <c r="AO253" s="283">
        <v>272</v>
      </c>
    </row>
    <row r="254" spans="1:41" ht="30.75" customHeight="1">
      <c r="A254" s="996"/>
      <c r="B254" s="465" t="s">
        <v>639</v>
      </c>
      <c r="C254" s="27" t="s">
        <v>640</v>
      </c>
      <c r="D254" s="457"/>
      <c r="E254" s="457"/>
      <c r="F254" s="457"/>
      <c r="G254" s="457"/>
      <c r="H254" s="457"/>
      <c r="I254" s="457"/>
      <c r="J254" s="457"/>
      <c r="K254" s="457"/>
      <c r="L254" s="457"/>
      <c r="M254" s="457"/>
      <c r="N254" s="457"/>
      <c r="O254" s="457"/>
      <c r="P254" s="457"/>
      <c r="Q254" s="457"/>
      <c r="R254" s="457"/>
      <c r="S254" s="457"/>
      <c r="T254" s="457"/>
      <c r="U254" s="457"/>
      <c r="V254" s="457"/>
      <c r="W254" s="457"/>
      <c r="X254" s="457"/>
      <c r="Y254" s="483"/>
      <c r="Z254" s="504">
        <f t="shared" si="160"/>
        <v>0</v>
      </c>
      <c r="AA254" s="505">
        <f t="shared" si="161"/>
        <v>0</v>
      </c>
      <c r="AB254" s="447"/>
      <c r="AC254" s="457"/>
      <c r="AD254" s="457"/>
      <c r="AE254" s="457"/>
      <c r="AF254" s="457"/>
      <c r="AG254" s="457"/>
      <c r="AH254" s="457"/>
      <c r="AI254" s="457"/>
      <c r="AJ254" s="536">
        <f t="shared" si="147"/>
        <v>0</v>
      </c>
      <c r="AK254" s="274" t="str">
        <f>CONCATENATE(IF(D265&gt;D254," *  Confirmed TB positive already on ART and on TB treatment "&amp;$D$6&amp;" "&amp;$D$7&amp;" is more than Screening positive for TB Previously enrolled on ART"&amp;CHAR(10),""),IF(E265&gt;E254," *  Confirmed TB positive already on ART and on TB treatment "&amp;$D$6&amp;" "&amp;$E$7&amp;" is more than Screening positive for TB Previously enrolled on ART"&amp;CHAR(10),""),IF(F265&gt;F254," *  Confirmed TB positive already on ART and on TB treatment "&amp;$F$6&amp;" "&amp;$F$7&amp;" is more than Screening positive for TB Previously enrolled on ART"&amp;CHAR(10),""),IF(G265&gt;G254," *  Confirmed TB positive already on ART and on TB treatment "&amp;$F$6&amp;" "&amp;$G$7&amp;" is more than Screening positive for TB Previously enrolled on ART"&amp;CHAR(10),""),IF(H265&gt;H254," *  Confirmed TB positive already on ART and on TB treatment "&amp;$H$6&amp;" "&amp;$H$7&amp;" is more than Screening positive for TB Previously enrolled on ART"&amp;CHAR(10),""),IF(I265&gt;I254," *  Confirmed TB positive already on ART and on TB treatment "&amp;$H$6&amp;" "&amp;$I$7&amp;" is more than Screening positive for TB Previously enrolled on ART"&amp;CHAR(10),""),IF(J265&gt;J254," *  Confirmed TB positive already on ART and on TB treatment "&amp;$J$6&amp;" "&amp;$J$7&amp;" is more than Screening positive for TB Previously enrolled on ART"&amp;CHAR(10),""),IF(K265&gt;K254," *  Confirmed TB positive already on ART and on TB treatment "&amp;$J$6&amp;" "&amp;$K$7&amp;" is more than Screening positive for TB Previously enrolled on ART"&amp;CHAR(10),""),IF(L265&gt;L254," *  Confirmed TB positive already on ART and on TB treatment "&amp;$L$6&amp;" "&amp;$L$7&amp;" is more than Screening positive for TB Previously enrolled on ART"&amp;CHAR(10),""),IF(M265&gt;M254," *  Confirmed TB positive already on ART and on TB treatment "&amp;$L$6&amp;" "&amp;$M$7&amp;" is more than Screening positive for TB Previously enrolled on ART"&amp;CHAR(10),""),IF(N265&gt;N254," *  Confirmed TB positive already on ART and on TB treatment "&amp;$N$6&amp;" "&amp;$N$7&amp;" is more than Screening positive for TB Previously enrolled on ART"&amp;CHAR(10),""),IF(O265&gt;O254," *  Confirmed TB positive already on ART and on TB treatment "&amp;$N$6&amp;" "&amp;$O$7&amp;" is more than Screening positive for TB Previously enrolled on ART"&amp;CHAR(10),""),IF(P265&gt;P254," *  Confirmed TB positive already on ART and on TB treatment "&amp;$P$6&amp;" "&amp;$P$7&amp;" is more than Screening positive for TB Previously enrolled on ART"&amp;CHAR(10),""),IF(Q265&gt;Q254," *  Confirmed TB positive already on ART and on TB treatment "&amp;$P$6&amp;" "&amp;$Q$7&amp;" is more than Screening positive for TB Previously enrolled on ART"&amp;CHAR(10),""),IF(R265&gt;R254," *  Confirmed TB positive already on ART and on TB treatment "&amp;$R$6&amp;" "&amp;$R$7&amp;" is more than Screening positive for TB Previously enrolled on ART"&amp;CHAR(10),""),IF(S265&gt;S254," *  Confirmed TB positive already on ART and on TB treatment "&amp;$R$6&amp;" "&amp;$S$7&amp;" is more than Screening positive for TB Previously enrolled on ART"&amp;CHAR(10),""),IF(T265&gt;T254," *  Confirmed TB positive already on ART and on TB treatment "&amp;$T$6&amp;" "&amp;$T$7&amp;" is more than Screening positive for TB Previously enrolled on ART"&amp;CHAR(10),""),IF(U265&gt;U254," *  Confirmed TB positive already on ART and on TB treatment "&amp;$T$6&amp;" "&amp;$U$7&amp;" is more than Screening positive for TB Previously enrolled on ART"&amp;CHAR(10),""),IF(V265&gt;V254," *  Confirmed TB positive already on ART and on TB treatment "&amp;$V$6&amp;" "&amp;$V$7&amp;" is more than Screening positive for TB Previously enrolled on ART"&amp;CHAR(10),""),IF(W265&gt;W254," *  Confirmed TB positive already on ART and on TB treatment "&amp;$V$6&amp;" "&amp;$W$7&amp;" is more than Screening positive for TB Previously enrolled on ART"&amp;CHAR(10),""),IF(X265&gt;X254," *  Confirmed TB positive already on ART and on TB treatment "&amp;$X$6&amp;" "&amp;$X$7&amp;" is more than Screening positive for TB Previously enrolled on ART"&amp;CHAR(10),""),IF(Y265&gt;Y254," *  Confirmed TB positive already on ART and on TB treatment "&amp;$X$6&amp;" "&amp;$Y$7&amp;" is more than Screening positive for TB Previously enrolled on ART"&amp;CHAR(10),""),IF(Z265&gt;Z254," *  Confirmed TB positive already on ART and on TB treatment "&amp;$Z$6&amp;" "&amp;$Z$7&amp;" is more than Screening positive for TB Previously enrolled on ART"&amp;CHAR(10),""),IF(AA265&gt;AA254," *  Confirmed TB positive already on ART and on TB treatment "&amp;$Z$6&amp;" "&amp;$AA$7&amp;" is more than Screening positive for TB Previously enrolled on ART"&amp;CHAR(10),""))</f>
        <v/>
      </c>
      <c r="AL254" s="917"/>
      <c r="AM254" s="113" t="str">
        <f>CONCATENATE(IF(D265&lt;D254," *  Confirmed TB positive already on ART and on TB treatment "&amp;$D$6&amp;" "&amp;$D$7&amp;" is less than Screening positive for TB Previously enrolled on ART"&amp;CHAR(10),""),IF(E265&lt;E254," *  Confirmed TB positive already on ART and on TB treatment "&amp;$D$6&amp;" "&amp;$E$7&amp;" is less than Screening positive for TB Previously enrolled on ART"&amp;CHAR(10),""),IF(F265&lt;F254," *  Confirmed TB positive already on ART and on TB treatment "&amp;$F$6&amp;" "&amp;$F$7&amp;" is less than Screening positive for TB Previously enrolled on ART"&amp;CHAR(10),""),IF(G265&lt;G254," *  Confirmed TB positive already on ART and on TB treatment "&amp;$F$6&amp;" "&amp;$G$7&amp;" is less than Screening positive for TB Previously enrolled on ART"&amp;CHAR(10),""),IF(H265&lt;H254," *  Confirmed TB positive already on ART and on TB treatment "&amp;$H$6&amp;" "&amp;$H$7&amp;" is less than Screening positive for TB Previously enrolled on ART"&amp;CHAR(10),""),IF(I265&lt;I254," *  Confirmed TB positive already on ART and on TB treatment "&amp;$H$6&amp;" "&amp;$I$7&amp;" is less than Screening positive for TB Previously enrolled on ART"&amp;CHAR(10),""),IF(J265&lt;J254," *  Confirmed TB positive already on ART and on TB treatment "&amp;$J$6&amp;" "&amp;$J$7&amp;" is less than Screening positive for TB Previously enrolled on ART"&amp;CHAR(10),""),IF(K265&lt;K254," *  Confirmed TB positive already on ART and on TB treatment "&amp;$J$6&amp;" "&amp;$K$7&amp;" is less than Screening positive for TB Previously enrolled on ART"&amp;CHAR(10),""),IF(L265&lt;L254," *  Confirmed TB positive already on ART and on TB treatment "&amp;$L$6&amp;" "&amp;$L$7&amp;" is less than Screening positive for TB Previously enrolled on ART"&amp;CHAR(10),""),IF(M265&lt;M254," *  Confirmed TB positive already on ART and on TB treatment "&amp;$L$6&amp;" "&amp;$M$7&amp;" is less than Screening positive for TB Previously enrolled on ART"&amp;CHAR(10),""),IF(N265&lt;N254," *  Confirmed TB positive already on ART and on TB treatment "&amp;$N$6&amp;" "&amp;$N$7&amp;" is less than Screening positive for TB Previously enrolled on ART"&amp;CHAR(10),""),IF(O265&lt;O254," *  Confirmed TB positive already on ART and on TB treatment "&amp;$N$6&amp;" "&amp;$O$7&amp;" is less than Screening positive for TB Previously enrolled on ART"&amp;CHAR(10),""),IF(P265&lt;P254," *  Confirmed TB positive already on ART and on TB treatment "&amp;$P$6&amp;" "&amp;$P$7&amp;" is less than Screening positive for TB Previously enrolled on ART"&amp;CHAR(10),""),IF(Q265&lt;Q254," *  Confirmed TB positive already on ART and on TB treatment "&amp;$P$6&amp;" "&amp;$Q$7&amp;" is less than Screening positive for TB Previously enrolled on ART"&amp;CHAR(10),""),IF(R265&lt;R254," *  Confirmed TB positive already on ART and on TB treatment "&amp;$R$6&amp;" "&amp;$R$7&amp;" is less than Screening positive for TB Previously enrolled on ART"&amp;CHAR(10),""),IF(S265&lt;S254," *  Confirmed TB positive already on ART and on TB treatment "&amp;$R$6&amp;" "&amp;$S$7&amp;" is less than Screening positive for TB Previously enrolled on ART"&amp;CHAR(10),""),IF(T265&lt;T254," *  Confirmed TB positive already on ART and on TB treatment "&amp;$T$6&amp;" "&amp;$T$7&amp;" is less than Screening positive for TB Previously enrolled on ART"&amp;CHAR(10),""),IF(U265&lt;U254," *  Confirmed TB positive already on ART and on TB treatment "&amp;$T$6&amp;" "&amp;$U$7&amp;" is less than Screening positive for TB Previously enrolled on ART"&amp;CHAR(10),""),IF(V265&lt;V254," *  Confirmed TB positive already on ART and on TB treatment "&amp;$V$6&amp;" "&amp;$V$7&amp;" is less than Screening positive for TB Previously enrolled on ART"&amp;CHAR(10),""),IF(W265&lt;W254," *  Confirmed TB positive already on ART and on TB treatment "&amp;$V$6&amp;" "&amp;$W$7&amp;" is less than Screening positive for TB Previously enrolled on ART"&amp;CHAR(10),""),IF(X265&lt;X254," *  Confirmed TB positive already on ART and on TB treatment "&amp;$X$6&amp;" "&amp;$X$7&amp;" is less than Screening positive for TB Previously enrolled on ART"&amp;CHAR(10),""),IF(Y265&lt;Y254," *  Confirmed TB positive already on ART and on TB treatment "&amp;$X$6&amp;" "&amp;$Y$7&amp;" is less than Screening positive for TB Previously enrolled on ART"&amp;CHAR(10),""),IF(Z265&lt;Z254," *  Confirmed TB positive already on ART and on TB treatment "&amp;$Z$6&amp;" "&amp;$Z$7&amp;" is less than Screening positive for TB Previously enrolled on ART"&amp;CHAR(10),""),IF(AA265&lt;AA254," *  Confirmed TB positive already on ART and on TB treatment "&amp;$Z$6&amp;" "&amp;$AA$7&amp;" is less than Screening positive for TB Previously enrolled on ART"&amp;CHAR(10),""))</f>
        <v/>
      </c>
      <c r="AN254" s="820"/>
      <c r="AO254" s="283">
        <v>273</v>
      </c>
    </row>
    <row r="255" spans="1:41" ht="57" thickBot="1">
      <c r="A255" s="996"/>
      <c r="B255" s="458" t="s">
        <v>642</v>
      </c>
      <c r="C255" s="19" t="s">
        <v>643</v>
      </c>
      <c r="D255" s="466">
        <f t="shared" ref="D255:Y255" si="162">D253+D254</f>
        <v>0</v>
      </c>
      <c r="E255" s="466">
        <f t="shared" si="162"/>
        <v>0</v>
      </c>
      <c r="F255" s="466">
        <f t="shared" si="162"/>
        <v>0</v>
      </c>
      <c r="G255" s="466">
        <f t="shared" si="162"/>
        <v>0</v>
      </c>
      <c r="H255" s="466">
        <f t="shared" si="162"/>
        <v>0</v>
      </c>
      <c r="I255" s="466">
        <f t="shared" si="162"/>
        <v>0</v>
      </c>
      <c r="J255" s="466">
        <f t="shared" si="162"/>
        <v>0</v>
      </c>
      <c r="K255" s="466">
        <f t="shared" si="162"/>
        <v>0</v>
      </c>
      <c r="L255" s="466">
        <f t="shared" si="162"/>
        <v>0</v>
      </c>
      <c r="M255" s="466">
        <f t="shared" si="162"/>
        <v>0</v>
      </c>
      <c r="N255" s="466">
        <f t="shared" si="162"/>
        <v>0</v>
      </c>
      <c r="O255" s="466">
        <f t="shared" si="162"/>
        <v>0</v>
      </c>
      <c r="P255" s="466">
        <f t="shared" si="162"/>
        <v>0</v>
      </c>
      <c r="Q255" s="466">
        <f t="shared" si="162"/>
        <v>0</v>
      </c>
      <c r="R255" s="466">
        <f t="shared" si="162"/>
        <v>0</v>
      </c>
      <c r="S255" s="466">
        <f t="shared" si="162"/>
        <v>0</v>
      </c>
      <c r="T255" s="466">
        <f t="shared" si="162"/>
        <v>0</v>
      </c>
      <c r="U255" s="466">
        <f t="shared" si="162"/>
        <v>0</v>
      </c>
      <c r="V255" s="466">
        <f t="shared" si="162"/>
        <v>0</v>
      </c>
      <c r="W255" s="466">
        <f t="shared" si="162"/>
        <v>0</v>
      </c>
      <c r="X255" s="466">
        <f t="shared" si="162"/>
        <v>0</v>
      </c>
      <c r="Y255" s="506">
        <f t="shared" si="162"/>
        <v>0</v>
      </c>
      <c r="Z255" s="507">
        <f t="shared" si="160"/>
        <v>0</v>
      </c>
      <c r="AA255" s="508">
        <f t="shared" si="161"/>
        <v>0</v>
      </c>
      <c r="AB255" s="466">
        <f t="shared" ref="AB255:AI255" si="163">AB253+AB254</f>
        <v>0</v>
      </c>
      <c r="AC255" s="466">
        <f t="shared" si="163"/>
        <v>0</v>
      </c>
      <c r="AD255" s="466">
        <f t="shared" si="163"/>
        <v>0</v>
      </c>
      <c r="AE255" s="466">
        <f t="shared" si="163"/>
        <v>0</v>
      </c>
      <c r="AF255" s="466">
        <f t="shared" si="163"/>
        <v>0</v>
      </c>
      <c r="AG255" s="466">
        <f t="shared" si="163"/>
        <v>0</v>
      </c>
      <c r="AH255" s="466">
        <f t="shared" si="163"/>
        <v>0</v>
      </c>
      <c r="AI255" s="466">
        <f t="shared" si="163"/>
        <v>0</v>
      </c>
      <c r="AJ255" s="537">
        <f t="shared" si="147"/>
        <v>0</v>
      </c>
      <c r="AK255" s="274"/>
      <c r="AL255" s="917"/>
      <c r="AM255" s="113"/>
      <c r="AN255" s="820"/>
      <c r="AO255" s="283">
        <v>274</v>
      </c>
    </row>
    <row r="256" spans="1:41" ht="60" customHeight="1">
      <c r="A256" s="996"/>
      <c r="B256" s="289" t="s">
        <v>945</v>
      </c>
      <c r="C256" s="18" t="s">
        <v>645</v>
      </c>
      <c r="D256" s="467"/>
      <c r="E256" s="455"/>
      <c r="F256" s="455"/>
      <c r="G256" s="455"/>
      <c r="H256" s="455"/>
      <c r="I256" s="455"/>
      <c r="J256" s="455"/>
      <c r="K256" s="455"/>
      <c r="L256" s="455"/>
      <c r="M256" s="455"/>
      <c r="N256" s="455"/>
      <c r="O256" s="455"/>
      <c r="P256" s="455"/>
      <c r="Q256" s="455"/>
      <c r="R256" s="455"/>
      <c r="S256" s="455"/>
      <c r="T256" s="455"/>
      <c r="U256" s="455"/>
      <c r="V256" s="455"/>
      <c r="W256" s="455"/>
      <c r="X256" s="455"/>
      <c r="Y256" s="455"/>
      <c r="Z256" s="487">
        <f t="shared" si="160"/>
        <v>0</v>
      </c>
      <c r="AA256" s="487">
        <f t="shared" si="161"/>
        <v>0</v>
      </c>
      <c r="AB256" s="455"/>
      <c r="AC256" s="455"/>
      <c r="AD256" s="455"/>
      <c r="AE256" s="455"/>
      <c r="AF256" s="455"/>
      <c r="AG256" s="455"/>
      <c r="AH256" s="455"/>
      <c r="AI256" s="455"/>
      <c r="AJ256" s="538">
        <f t="shared" si="147"/>
        <v>0</v>
      </c>
      <c r="AK256" s="274"/>
      <c r="AL256" s="917"/>
      <c r="AM256" s="113"/>
      <c r="AN256" s="820"/>
      <c r="AO256" s="283">
        <v>278</v>
      </c>
    </row>
    <row r="257" spans="1:41" ht="84">
      <c r="A257" s="996"/>
      <c r="B257" s="330" t="s">
        <v>946</v>
      </c>
      <c r="C257" s="27" t="s">
        <v>649</v>
      </c>
      <c r="D257" s="447"/>
      <c r="E257" s="457"/>
      <c r="F257" s="457"/>
      <c r="G257" s="457"/>
      <c r="H257" s="457"/>
      <c r="I257" s="457"/>
      <c r="J257" s="457"/>
      <c r="K257" s="457"/>
      <c r="L257" s="457"/>
      <c r="M257" s="457"/>
      <c r="N257" s="457"/>
      <c r="O257" s="457"/>
      <c r="P257" s="457"/>
      <c r="Q257" s="457"/>
      <c r="R257" s="457"/>
      <c r="S257" s="457"/>
      <c r="T257" s="457"/>
      <c r="U257" s="457"/>
      <c r="V257" s="457"/>
      <c r="W257" s="457"/>
      <c r="X257" s="457"/>
      <c r="Y257" s="457"/>
      <c r="Z257" s="487">
        <f t="shared" si="160"/>
        <v>0</v>
      </c>
      <c r="AA257" s="487">
        <f t="shared" si="161"/>
        <v>0</v>
      </c>
      <c r="AB257" s="457"/>
      <c r="AC257" s="457"/>
      <c r="AD257" s="457"/>
      <c r="AE257" s="457"/>
      <c r="AF257" s="457"/>
      <c r="AG257" s="457"/>
      <c r="AH257" s="457"/>
      <c r="AI257" s="457"/>
      <c r="AJ257" s="536">
        <f t="shared" si="147"/>
        <v>0</v>
      </c>
      <c r="AK257" s="274"/>
      <c r="AL257" s="917"/>
      <c r="AM257" s="114"/>
      <c r="AN257" s="820"/>
      <c r="AO257" s="283">
        <v>279</v>
      </c>
    </row>
    <row r="258" spans="1:41" ht="59.25" customHeight="1">
      <c r="A258" s="996"/>
      <c r="B258" s="330" t="s">
        <v>947</v>
      </c>
      <c r="C258" s="27" t="s">
        <v>653</v>
      </c>
      <c r="D258" s="447"/>
      <c r="E258" s="457"/>
      <c r="F258" s="457"/>
      <c r="G258" s="457"/>
      <c r="H258" s="457"/>
      <c r="I258" s="457"/>
      <c r="J258" s="457"/>
      <c r="K258" s="457"/>
      <c r="L258" s="457"/>
      <c r="M258" s="457"/>
      <c r="N258" s="457"/>
      <c r="O258" s="457"/>
      <c r="P258" s="457"/>
      <c r="Q258" s="457"/>
      <c r="R258" s="457"/>
      <c r="S258" s="457"/>
      <c r="T258" s="457"/>
      <c r="U258" s="457"/>
      <c r="V258" s="457"/>
      <c r="W258" s="457"/>
      <c r="X258" s="457"/>
      <c r="Y258" s="457"/>
      <c r="Z258" s="487">
        <f t="shared" si="160"/>
        <v>0</v>
      </c>
      <c r="AA258" s="487">
        <f t="shared" si="161"/>
        <v>0</v>
      </c>
      <c r="AB258" s="457"/>
      <c r="AC258" s="457"/>
      <c r="AD258" s="457"/>
      <c r="AE258" s="457"/>
      <c r="AF258" s="457"/>
      <c r="AG258" s="457"/>
      <c r="AH258" s="457"/>
      <c r="AI258" s="457"/>
      <c r="AJ258" s="536">
        <f t="shared" si="147"/>
        <v>0</v>
      </c>
      <c r="AK258" s="274"/>
      <c r="AL258" s="917"/>
      <c r="AM258" s="113"/>
      <c r="AN258" s="820"/>
      <c r="AO258" s="283">
        <v>280</v>
      </c>
    </row>
    <row r="259" spans="1:41" ht="32.25" customHeight="1" thickBot="1">
      <c r="A259" s="996"/>
      <c r="B259" s="458" t="s">
        <v>656</v>
      </c>
      <c r="C259" s="19" t="s">
        <v>657</v>
      </c>
      <c r="D259" s="541">
        <f t="shared" ref="D259:Y259" si="164">SUM(D256:D258)</f>
        <v>0</v>
      </c>
      <c r="E259" s="541">
        <f t="shared" si="164"/>
        <v>0</v>
      </c>
      <c r="F259" s="541">
        <f t="shared" si="164"/>
        <v>0</v>
      </c>
      <c r="G259" s="541">
        <f t="shared" si="164"/>
        <v>0</v>
      </c>
      <c r="H259" s="541">
        <f t="shared" si="164"/>
        <v>0</v>
      </c>
      <c r="I259" s="541">
        <f t="shared" si="164"/>
        <v>0</v>
      </c>
      <c r="J259" s="541">
        <f t="shared" si="164"/>
        <v>0</v>
      </c>
      <c r="K259" s="541">
        <f t="shared" si="164"/>
        <v>0</v>
      </c>
      <c r="L259" s="541">
        <f t="shared" si="164"/>
        <v>0</v>
      </c>
      <c r="M259" s="541">
        <f t="shared" si="164"/>
        <v>0</v>
      </c>
      <c r="N259" s="541">
        <f t="shared" si="164"/>
        <v>0</v>
      </c>
      <c r="O259" s="541">
        <f t="shared" si="164"/>
        <v>0</v>
      </c>
      <c r="P259" s="541">
        <f t="shared" si="164"/>
        <v>0</v>
      </c>
      <c r="Q259" s="541">
        <f t="shared" si="164"/>
        <v>0</v>
      </c>
      <c r="R259" s="541">
        <f t="shared" si="164"/>
        <v>0</v>
      </c>
      <c r="S259" s="541">
        <f t="shared" si="164"/>
        <v>0</v>
      </c>
      <c r="T259" s="541">
        <f t="shared" si="164"/>
        <v>0</v>
      </c>
      <c r="U259" s="541">
        <f t="shared" si="164"/>
        <v>0</v>
      </c>
      <c r="V259" s="541">
        <f t="shared" si="164"/>
        <v>0</v>
      </c>
      <c r="W259" s="541">
        <f t="shared" si="164"/>
        <v>0</v>
      </c>
      <c r="X259" s="541">
        <f t="shared" si="164"/>
        <v>0</v>
      </c>
      <c r="Y259" s="541">
        <f t="shared" si="164"/>
        <v>0</v>
      </c>
      <c r="Z259" s="481">
        <f t="shared" si="160"/>
        <v>0</v>
      </c>
      <c r="AA259" s="481">
        <f t="shared" si="161"/>
        <v>0</v>
      </c>
      <c r="AB259" s="541">
        <f t="shared" ref="AB259:AI259" si="165">SUM(AB256:AB258)</f>
        <v>0</v>
      </c>
      <c r="AC259" s="541">
        <f t="shared" si="165"/>
        <v>0</v>
      </c>
      <c r="AD259" s="541">
        <f t="shared" si="165"/>
        <v>0</v>
      </c>
      <c r="AE259" s="541">
        <f t="shared" si="165"/>
        <v>0</v>
      </c>
      <c r="AF259" s="541">
        <f t="shared" si="165"/>
        <v>0</v>
      </c>
      <c r="AG259" s="541">
        <f t="shared" si="165"/>
        <v>0</v>
      </c>
      <c r="AH259" s="541">
        <f t="shared" si="165"/>
        <v>0</v>
      </c>
      <c r="AI259" s="541">
        <f t="shared" si="165"/>
        <v>0</v>
      </c>
      <c r="AJ259" s="281">
        <f t="shared" si="147"/>
        <v>0</v>
      </c>
      <c r="AK259" s="119" t="str">
        <f>CONCATENATE(IF(D260&gt;D259," *  Positive Result Returned For bacteriologic diagnosis "&amp;$D$6&amp;" "&amp;$D$7&amp;" is more than Total Patients whose specimens were sent"&amp;CHAR(10),""),IF(E260&gt;E259," *  Positive Result Returned For bacteriologic diagnosis "&amp;$D$6&amp;" "&amp;$E$7&amp;" is more than Total Patients whose specimens were sent"&amp;CHAR(10),""),IF(F260&gt;F259," *  Positive Result Returned For bacteriologic diagnosis "&amp;$F$6&amp;" "&amp;$F$7&amp;" is more than Total Patients whose specimens were sent"&amp;CHAR(10),""),IF(G260&gt;G259," *  Positive Result Returned For bacteriologic diagnosis "&amp;$F$6&amp;" "&amp;$G$7&amp;" is more than Total Patients whose specimens were sent"&amp;CHAR(10),""),IF(H260&gt;H259," *  Positive Result Returned For bacteriologic diagnosis "&amp;$H$6&amp;" "&amp;$H$7&amp;" is more than Total Patients whose specimens were sent"&amp;CHAR(10),""),IF(I260&gt;I259," *  Positive Result Returned For bacteriologic diagnosis "&amp;$H$6&amp;" "&amp;$I$7&amp;" is more than Total Patients whose specimens were sent"&amp;CHAR(10),""),IF(J260&gt;J259," *  Positive Result Returned For bacteriologic diagnosis "&amp;$J$6&amp;" "&amp;$J$7&amp;" is more than Total Patients whose specimens were sent"&amp;CHAR(10),""),IF(K260&gt;K259," *  Positive Result Returned For bacteriologic diagnosis "&amp;$J$6&amp;" "&amp;$K$7&amp;" is more than Total Patients whose specimens were sent"&amp;CHAR(10),""),IF(L260&gt;L259," *  Positive Result Returned For bacteriologic diagnosis "&amp;$L$6&amp;" "&amp;$L$7&amp;" is more than Total Patients whose specimens were sent"&amp;CHAR(10),""),IF(M260&gt;M259," *  Positive Result Returned For bacteriologic diagnosis "&amp;$L$6&amp;" "&amp;$M$7&amp;" is more than Total Patients whose specimens were sent"&amp;CHAR(10),""),IF(N260&gt;N259," *  Positive Result Returned For bacteriologic diagnosis "&amp;$N$6&amp;" "&amp;$N$7&amp;" is more than Total Patients whose specimens were sent"&amp;CHAR(10),""),IF(O260&gt;O259," *  Positive Result Returned For bacteriologic diagnosis "&amp;$N$6&amp;" "&amp;$O$7&amp;" is more than Total Patients whose specimens were sent"&amp;CHAR(10),""),IF(P260&gt;P259," *  Positive Result Returned For bacteriologic diagnosis "&amp;$P$6&amp;" "&amp;$P$7&amp;" is more than Total Patients whose specimens were sent"&amp;CHAR(10),""),IF(Q260&gt;Q259," *  Positive Result Returned For bacteriologic diagnosis "&amp;$P$6&amp;" "&amp;$Q$7&amp;" is more than Total Patients whose specimens were sent"&amp;CHAR(10),""),IF(R260&gt;R259," *  Positive Result Returned For bacteriologic diagnosis "&amp;$R$6&amp;" "&amp;$R$7&amp;" is more than Total Patients whose specimens were sent"&amp;CHAR(10),""),IF(S260&gt;S259," *  Positive Result Returned For bacteriologic diagnosis "&amp;$R$6&amp;" "&amp;$S$7&amp;" is more than Total Patients whose specimens were sent"&amp;CHAR(10),""),IF(T260&gt;T259," *  Positive Result Returned For bacteriologic diagnosis "&amp;$T$6&amp;" "&amp;$T$7&amp;" is more than Total Patients whose specimens were sent"&amp;CHAR(10),""),IF(U260&gt;U259," *  Positive Result Returned For bacteriologic diagnosis "&amp;$T$6&amp;" "&amp;$U$7&amp;" is more than Total Patients whose specimens were sent"&amp;CHAR(10),""),IF(V260&gt;V259," *  Positive Result Returned For bacteriologic diagnosis "&amp;$V$6&amp;" "&amp;$V$7&amp;" is more than Total Patients whose specimens were sent"&amp;CHAR(10),""),IF(W260&gt;W259," *  Positive Result Returned For bacteriologic diagnosis "&amp;$V$6&amp;" "&amp;$W$7&amp;" is more than Total Patients whose specimens were sent"&amp;CHAR(10),""),IF(X260&gt;X259," *  Positive Result Returned For bacteriologic diagnosis "&amp;$X$6&amp;" "&amp;$X$7&amp;" is more than Total Patients whose specimens were sent"&amp;CHAR(10),""),IF(Y260&gt;Y259," *  Positive Result Returned For bacteriologic diagnosis "&amp;$X$6&amp;" "&amp;$Y$7&amp;" is more than Total Patients whose specimens were sent"&amp;CHAR(10),""),IF(Z260&gt;Z259," *  Positive Result Returned For bacteriologic diagnosis "&amp;$Z$6&amp;" "&amp;$Z$7&amp;" is more than Total Patients whose specimens were sent"&amp;CHAR(10),""),IF(AA260&gt;AA259," *  Positive Result Returned For bacteriologic diagnosis "&amp;$Z$6&amp;" "&amp;$AA$7&amp;" is more than Total Patients whose specimens were sent"&amp;CHAR(10),""))</f>
        <v/>
      </c>
      <c r="AL259" s="917"/>
      <c r="AM259" s="113"/>
      <c r="AN259" s="820"/>
      <c r="AO259" s="283">
        <v>281</v>
      </c>
    </row>
    <row r="260" spans="1:41" ht="57" thickBot="1">
      <c r="A260" s="997"/>
      <c r="B260" s="542" t="s">
        <v>659</v>
      </c>
      <c r="C260" s="191" t="s">
        <v>660</v>
      </c>
      <c r="D260" s="440"/>
      <c r="E260" s="440"/>
      <c r="F260" s="440"/>
      <c r="G260" s="440"/>
      <c r="H260" s="440"/>
      <c r="I260" s="440"/>
      <c r="J260" s="440"/>
      <c r="K260" s="440"/>
      <c r="L260" s="440"/>
      <c r="M260" s="440"/>
      <c r="N260" s="440"/>
      <c r="O260" s="440"/>
      <c r="P260" s="440"/>
      <c r="Q260" s="440"/>
      <c r="R260" s="440"/>
      <c r="S260" s="440"/>
      <c r="T260" s="440"/>
      <c r="U260" s="440"/>
      <c r="V260" s="440"/>
      <c r="W260" s="440"/>
      <c r="X260" s="440"/>
      <c r="Y260" s="440"/>
      <c r="Z260" s="498">
        <f t="shared" ref="Z260:AA265" si="166">SUM(AB260,AD260,AF260,AH260)</f>
        <v>0</v>
      </c>
      <c r="AA260" s="498">
        <f t="shared" si="166"/>
        <v>0</v>
      </c>
      <c r="AB260" s="440"/>
      <c r="AC260" s="440"/>
      <c r="AD260" s="440"/>
      <c r="AE260" s="440"/>
      <c r="AF260" s="440"/>
      <c r="AG260" s="440"/>
      <c r="AH260" s="440"/>
      <c r="AI260" s="440"/>
      <c r="AJ260" s="605">
        <f t="shared" si="147"/>
        <v>0</v>
      </c>
      <c r="AK260" s="119" t="str">
        <f>CONCATENATE(IF(D255&lt;D259," *  Total Screening positive for TB ( Presumptive TB Clients ) "&amp;$D$6&amp;" "&amp;$D$7&amp;" is less than Total Patients whose specimens were sent"&amp;CHAR(10),""),IF(E255&lt;E259," *  Total Screening positive for TB ( Presumptive TB Clients ) "&amp;$D$6&amp;" "&amp;$E$7&amp;" is less than Total Patients whose specimens were sent"&amp;CHAR(10),""),IF(F255&lt;F259," *  Total Screening positive for TB ( Presumptive TB Clients ) "&amp;$F$6&amp;" "&amp;$F$7&amp;" is less than Total Patients whose specimens were sent"&amp;CHAR(10),""),IF(G255&lt;G259," *  Total Screening positive for TB ( Presumptive TB Clients ) "&amp;$F$6&amp;" "&amp;$G$7&amp;" is less than Total Patients whose specimens were sent"&amp;CHAR(10),""),IF(H255&lt;H259," *  Total Screening positive for TB ( Presumptive TB Clients ) "&amp;$H$6&amp;" "&amp;$H$7&amp;" is less than Total Patients whose specimens were sent"&amp;CHAR(10),""),IF(I255&lt;I259," *  Total Screening positive for TB ( Presumptive TB Clients ) "&amp;$H$6&amp;" "&amp;$I$7&amp;" is less than Total Patients whose specimens were sent"&amp;CHAR(10),""),IF(J255&lt;J259," *  Total Screening positive for TB ( Presumptive TB Clients ) "&amp;$J$6&amp;" "&amp;$J$7&amp;" is less than Total Patients whose specimens were sent"&amp;CHAR(10),""),IF(K255&lt;K259," *  Total Screening positive for TB ( Presumptive TB Clients ) "&amp;$J$6&amp;" "&amp;$K$7&amp;" is less than Total Patients whose specimens were sent"&amp;CHAR(10),""),IF(L255&lt;L259," *  Total Screening positive for TB ( Presumptive TB Clients ) "&amp;$L$6&amp;" "&amp;$L$7&amp;" is less than Total Patients whose specimens were sent"&amp;CHAR(10),""),IF(M255&lt;M259," *  Total Screening positive for TB ( Presumptive TB Clients ) "&amp;$L$6&amp;" "&amp;$M$7&amp;" is less than Total Patients whose specimens were sent"&amp;CHAR(10),""),IF(N255&lt;N259," *  Total Screening positive for TB ( Presumptive TB Clients ) "&amp;$N$6&amp;" "&amp;$N$7&amp;" is less than Total Patients whose specimens were sent"&amp;CHAR(10),""),IF(O255&lt;O259," *  Total Screening positive for TB ( Presumptive TB Clients ) "&amp;$N$6&amp;" "&amp;$O$7&amp;" is less than Total Patients whose specimens were sent"&amp;CHAR(10),""),IF(P255&lt;P259," *  Total Screening positive for TB ( Presumptive TB Clients ) "&amp;$P$6&amp;" "&amp;$P$7&amp;" is less than Total Patients whose specimens were sent"&amp;CHAR(10),""),IF(Q255&lt;Q259," *  Total Screening positive for TB ( Presumptive TB Clients ) "&amp;$P$6&amp;" "&amp;$Q$7&amp;" is less than Total Patients whose specimens were sent"&amp;CHAR(10),""),IF(R255&lt;R259," *  Total Screening positive for TB ( Presumptive TB Clients ) "&amp;$R$6&amp;" "&amp;$R$7&amp;" is less than Total Patients whose specimens were sent"&amp;CHAR(10),""),IF(S255&lt;S259," *  Total Screening positive for TB ( Presumptive TB Clients ) "&amp;$R$6&amp;" "&amp;$S$7&amp;" is less than Total Patients whose specimens were sent"&amp;CHAR(10),""),IF(T255&lt;T259," *  Total Screening positive for TB ( Presumptive TB Clients ) "&amp;$T$6&amp;" "&amp;$T$7&amp;" is less than Total Patients whose specimens were sent"&amp;CHAR(10),""),IF(U255&lt;U259," *  Total Screening positive for TB ( Presumptive TB Clients ) "&amp;$T$6&amp;" "&amp;$U$7&amp;" is less than Total Patients whose specimens were sent"&amp;CHAR(10),""),IF(V255&lt;V259," *  Total Screening positive for TB ( Presumptive TB Clients ) "&amp;$V$6&amp;" "&amp;$V$7&amp;" is less than Total Patients whose specimens were sent"&amp;CHAR(10),""),IF(W255&lt;W259," *  Total Screening positive for TB ( Presumptive TB Clients ) "&amp;$V$6&amp;" "&amp;$W$7&amp;" is less than Total Patients whose specimens were sent"&amp;CHAR(10),""),IF(X255&lt;X259," *  Total Screening positive for TB ( Presumptive TB Clients ) "&amp;$X$6&amp;" "&amp;$X$7&amp;" is less than Total Patients whose specimens were sent"&amp;CHAR(10),""),IF(Y255&lt;Y259," *  Total Screening positive for TB ( Presumptive TB Clients ) "&amp;$X$6&amp;" "&amp;$Y$7&amp;" is less than Total Patients whose specimens were sent"&amp;CHAR(10),""),IF(Z255&lt;Z259," *  Total Screening positive for TB ( Presumptive TB Clients ) "&amp;$Z$6&amp;" "&amp;$Z$7&amp;" is less than Total Patients whose specimens were sent"&amp;CHAR(10),""),IF(AA255&lt;AA259," *  Total Screening positive for TB ( Presumptive TB Clients ) "&amp;$Z$6&amp;" "&amp;$AA$7&amp;" is less than Total Patients whose specimens were sent"&amp;CHAR(10),""))</f>
        <v/>
      </c>
      <c r="AL260" s="917"/>
      <c r="AM260" s="113"/>
      <c r="AN260" s="820"/>
      <c r="AO260" s="283">
        <v>282</v>
      </c>
    </row>
    <row r="261" spans="1:41" ht="47.25" customHeight="1">
      <c r="A261" s="998" t="s">
        <v>663</v>
      </c>
      <c r="B261" s="543" t="s">
        <v>664</v>
      </c>
      <c r="C261" s="43" t="s">
        <v>665</v>
      </c>
      <c r="D261" s="544"/>
      <c r="E261" s="544"/>
      <c r="F261" s="544"/>
      <c r="G261" s="544"/>
      <c r="H261" s="544"/>
      <c r="I261" s="544"/>
      <c r="J261" s="544"/>
      <c r="K261" s="544"/>
      <c r="L261" s="544"/>
      <c r="M261" s="544"/>
      <c r="N261" s="544"/>
      <c r="O261" s="544"/>
      <c r="P261" s="544"/>
      <c r="Q261" s="544"/>
      <c r="R261" s="544"/>
      <c r="S261" s="544"/>
      <c r="T261" s="544"/>
      <c r="U261" s="544"/>
      <c r="V261" s="544"/>
      <c r="W261" s="544"/>
      <c r="X261" s="544"/>
      <c r="Y261" s="544"/>
      <c r="Z261" s="491">
        <f t="shared" si="166"/>
        <v>0</v>
      </c>
      <c r="AA261" s="491">
        <f t="shared" si="166"/>
        <v>0</v>
      </c>
      <c r="AB261" s="544"/>
      <c r="AC261" s="544"/>
      <c r="AD261" s="544"/>
      <c r="AE261" s="544"/>
      <c r="AF261" s="544"/>
      <c r="AG261" s="544"/>
      <c r="AH261" s="544"/>
      <c r="AI261" s="544"/>
      <c r="AJ261" s="606">
        <f t="shared" si="147"/>
        <v>0</v>
      </c>
      <c r="AK261" s="119" t="str">
        <f>CONCATENATE(IF(D250&lt;&gt;(D261+D262+D263)," * Total "&amp;A261&amp;" "&amp;$D$6&amp;" "&amp;$D$7&amp;" should be equal to "&amp;B250&amp;""&amp;CHAR(10),""),IF(E250&lt;&gt;(E261+E262+E263)," * Total "&amp;A261&amp;" "&amp;$D$6&amp;" "&amp;$E$7&amp;" should be equal to  "&amp;B250&amp;""&amp;CHAR(10),""),IF(F250&lt;&gt;(F261+F262+F263)," * Total "&amp;A261&amp;" "&amp;$F$6&amp;" "&amp;$F$7&amp;" should be equal to  "&amp;B250&amp;""&amp;CHAR(10),""),IF(G250&lt;&gt;(G261+G262+G263)," * Total "&amp;A261&amp;" "&amp;$F$6&amp;" "&amp;$G$7&amp;" should be equal to  "&amp;B250&amp;""&amp;CHAR(10),""),IF(H250&lt;&gt;(H261+H262+H263)," * Total "&amp;A261&amp;" "&amp;$H$6&amp;" "&amp;$H$7&amp;" should be equal to  "&amp;B250&amp;""&amp;CHAR(10),""),IF(I250&lt;&gt;(I261+I262+I263)," * Total "&amp;A261&amp;" "&amp;$H$6&amp;" "&amp;$I$7&amp;" should be equal to  "&amp;B250&amp;""&amp;CHAR(10),""),IF(J250&lt;&gt;(J261+J262+J263)," * Total "&amp;A261&amp;" "&amp;$J$6&amp;" "&amp;$J$7&amp;" should be equal to  "&amp;B250&amp;""&amp;CHAR(10),""),IF(K250&lt;&gt;(K261+K262+K263)," * Total "&amp;A261&amp;" "&amp;$J$6&amp;" "&amp;$K$7&amp;" should be equal to  "&amp;B250&amp;""&amp;CHAR(10),""),IF(L250&lt;&gt;(L261+L262+L263)," * Total "&amp;A261&amp;" "&amp;$L$6&amp;" "&amp;$L$7&amp;" should be equal to  "&amp;B250&amp;""&amp;CHAR(10),""),IF(M250&lt;&gt;(M261+M262+M263)," * Total "&amp;A261&amp;" "&amp;$L$6&amp;" "&amp;$M$7&amp;" should be equal to  "&amp;B250&amp;""&amp;CHAR(10),""),IF(N250&lt;&gt;(N261+N262+N263)," * Total "&amp;A261&amp;" "&amp;$N$6&amp;" "&amp;$N$7&amp;" should be equal to  "&amp;B250&amp;""&amp;CHAR(10),""),IF(O250&lt;&gt;(O261+O262+O263)," * Total "&amp;A261&amp;" "&amp;$N$6&amp;" "&amp;$O$7&amp;" should be equal to  "&amp;B250&amp;""&amp;CHAR(10),""),IF(P250&lt;&gt;(P261+P262+P263)," * Total "&amp;A261&amp;" "&amp;$P$6&amp;" "&amp;$P$7&amp;" should be equal to  "&amp;B250&amp;""&amp;CHAR(10),""),IF(Q250&lt;&gt;(Q261+Q262+Q263)," * Total "&amp;A261&amp;" "&amp;$P$6&amp;" "&amp;$Q$7&amp;" should be equal to  "&amp;B250&amp;""&amp;CHAR(10),""),IF(R250&lt;&gt;(R261+R262+R263)," * Total "&amp;A261&amp;" "&amp;$R$6&amp;" "&amp;$R$7&amp;" should be equal to  "&amp;B250&amp;""&amp;CHAR(10),""),IF(S250&lt;&gt;(S261+S262+S263)," * Total "&amp;A261&amp;" "&amp;$R$6&amp;" "&amp;$S$7&amp;" should be equal to  "&amp;B250&amp;""&amp;CHAR(10),""),IF(T250&lt;&gt;(T261+T262+T263)," * Total "&amp;A261&amp;" "&amp;$T$6&amp;" "&amp;$T$7&amp;" should be equal to  "&amp;B250&amp;""&amp;CHAR(10),""),IF(U250&lt;&gt;(U261+U262+U263)," * Total "&amp;A261&amp;" "&amp;$T$6&amp;" "&amp;$U$7&amp;" should be equal to  "&amp;B250&amp;""&amp;CHAR(10),""),IF(V250&lt;&gt;(V261+V262+V263)," * Total "&amp;A261&amp;" "&amp;$V$6&amp;" "&amp;$V$7&amp;" should be equal to  "&amp;B250&amp;""&amp;CHAR(10),""),IF(W250&lt;&gt;(W261+W262+W263)," * Total "&amp;A261&amp;" "&amp;$V$6&amp;" "&amp;$W$7&amp;" should be equal to  "&amp;B250&amp;""&amp;CHAR(10),""),IF(X250&lt;&gt;(X261+X262+X263)," * Total "&amp;A261&amp;" "&amp;$X$6&amp;" "&amp;$X$7&amp;" should be equal to  "&amp;B250&amp;""&amp;CHAR(10),""),IF(Y250&lt;&gt;(Y261+Y262+Y263)," * Total "&amp;A261&amp;" "&amp;$X$6&amp;" "&amp;$Y$7&amp;" should be equal to  "&amp;B250&amp;""&amp;CHAR(10),""),IF(Z250&lt;&gt;(Z261+Z262+Z263)," * Total "&amp;A261&amp;" "&amp;$Z$6&amp;" "&amp;$Z$7&amp;" should be equal to  "&amp;B250&amp;""&amp;CHAR(10),""),IF(AA250&lt;&gt;(AA261+AA262+AA263)," * Total "&amp;A261&amp;" "&amp;$Z$6&amp;" "&amp;$AA$7&amp;" should be equal to  "&amp;B250&amp;""&amp;CHAR(10),""))</f>
        <v/>
      </c>
      <c r="AL261" s="917"/>
      <c r="AM261" s="113"/>
      <c r="AN261" s="820"/>
      <c r="AO261" s="283"/>
    </row>
    <row r="262" spans="1:41" ht="36" customHeight="1">
      <c r="A262" s="999"/>
      <c r="B262" s="154" t="s">
        <v>668</v>
      </c>
      <c r="C262" s="545" t="s">
        <v>669</v>
      </c>
      <c r="D262" s="546"/>
      <c r="E262" s="546"/>
      <c r="F262" s="546"/>
      <c r="G262" s="546"/>
      <c r="H262" s="546"/>
      <c r="I262" s="546"/>
      <c r="J262" s="546"/>
      <c r="K262" s="546"/>
      <c r="L262" s="546"/>
      <c r="M262" s="546"/>
      <c r="N262" s="546"/>
      <c r="O262" s="546"/>
      <c r="P262" s="546"/>
      <c r="Q262" s="546"/>
      <c r="R262" s="546"/>
      <c r="S262" s="546"/>
      <c r="T262" s="546"/>
      <c r="U262" s="546"/>
      <c r="V262" s="546"/>
      <c r="W262" s="546"/>
      <c r="X262" s="546"/>
      <c r="Y262" s="546"/>
      <c r="Z262" s="491">
        <f t="shared" si="166"/>
        <v>0</v>
      </c>
      <c r="AA262" s="491">
        <f t="shared" si="166"/>
        <v>0</v>
      </c>
      <c r="AB262" s="546"/>
      <c r="AC262" s="546"/>
      <c r="AD262" s="546"/>
      <c r="AE262" s="546"/>
      <c r="AF262" s="546"/>
      <c r="AG262" s="546"/>
      <c r="AH262" s="546"/>
      <c r="AI262" s="546"/>
      <c r="AJ262" s="607">
        <f t="shared" si="147"/>
        <v>0</v>
      </c>
      <c r="AK262" s="119"/>
      <c r="AL262" s="917"/>
      <c r="AM262" s="113"/>
      <c r="AN262" s="820"/>
      <c r="AO262" s="283"/>
    </row>
    <row r="263" spans="1:41" ht="57" thickBot="1">
      <c r="A263" s="1000"/>
      <c r="B263" s="547" t="s">
        <v>672</v>
      </c>
      <c r="C263" s="548" t="s">
        <v>673</v>
      </c>
      <c r="D263" s="549"/>
      <c r="E263" s="549"/>
      <c r="F263" s="549"/>
      <c r="G263" s="549"/>
      <c r="H263" s="549"/>
      <c r="I263" s="549"/>
      <c r="J263" s="549"/>
      <c r="K263" s="549"/>
      <c r="L263" s="549"/>
      <c r="M263" s="549"/>
      <c r="N263" s="549"/>
      <c r="O263" s="549"/>
      <c r="P263" s="549"/>
      <c r="Q263" s="549"/>
      <c r="R263" s="549"/>
      <c r="S263" s="549"/>
      <c r="T263" s="549"/>
      <c r="U263" s="549"/>
      <c r="V263" s="549"/>
      <c r="W263" s="549"/>
      <c r="X263" s="549"/>
      <c r="Y263" s="549"/>
      <c r="Z263" s="491">
        <f t="shared" si="166"/>
        <v>0</v>
      </c>
      <c r="AA263" s="491">
        <f t="shared" si="166"/>
        <v>0</v>
      </c>
      <c r="AB263" s="549"/>
      <c r="AC263" s="549"/>
      <c r="AD263" s="549"/>
      <c r="AE263" s="549"/>
      <c r="AF263" s="549"/>
      <c r="AG263" s="549"/>
      <c r="AH263" s="549"/>
      <c r="AI263" s="549"/>
      <c r="AJ263" s="608">
        <f t="shared" si="147"/>
        <v>0</v>
      </c>
      <c r="AK263" s="119"/>
      <c r="AL263" s="917"/>
      <c r="AM263" s="113"/>
      <c r="AN263" s="820"/>
      <c r="AO263" s="283"/>
    </row>
    <row r="264" spans="1:41" ht="66" customHeight="1">
      <c r="A264" s="1001" t="s">
        <v>676</v>
      </c>
      <c r="B264" s="22" t="s">
        <v>677</v>
      </c>
      <c r="C264" s="306" t="s">
        <v>678</v>
      </c>
      <c r="D264" s="463"/>
      <c r="E264" s="463"/>
      <c r="F264" s="463"/>
      <c r="G264" s="463"/>
      <c r="H264" s="463"/>
      <c r="I264" s="463"/>
      <c r="J264" s="463"/>
      <c r="K264" s="463"/>
      <c r="L264" s="463"/>
      <c r="M264" s="463"/>
      <c r="N264" s="463"/>
      <c r="O264" s="463"/>
      <c r="P264" s="463"/>
      <c r="Q264" s="463"/>
      <c r="R264" s="463"/>
      <c r="S264" s="463"/>
      <c r="T264" s="463"/>
      <c r="U264" s="463"/>
      <c r="V264" s="463"/>
      <c r="W264" s="463"/>
      <c r="X264" s="463"/>
      <c r="Y264" s="463"/>
      <c r="Z264" s="491">
        <f t="shared" si="166"/>
        <v>0</v>
      </c>
      <c r="AA264" s="491">
        <f t="shared" si="166"/>
        <v>0</v>
      </c>
      <c r="AB264" s="463"/>
      <c r="AC264" s="463"/>
      <c r="AD264" s="463"/>
      <c r="AE264" s="463"/>
      <c r="AF264" s="463"/>
      <c r="AG264" s="463"/>
      <c r="AH264" s="463"/>
      <c r="AI264" s="492"/>
      <c r="AJ264" s="609">
        <f t="shared" si="147"/>
        <v>0</v>
      </c>
      <c r="AK264" s="274"/>
      <c r="AL264" s="917"/>
      <c r="AM264" s="113"/>
      <c r="AN264" s="820"/>
      <c r="AO264" s="283">
        <v>283</v>
      </c>
    </row>
    <row r="265" spans="1:41" ht="57" customHeight="1">
      <c r="A265" s="939"/>
      <c r="B265" s="26" t="s">
        <v>681</v>
      </c>
      <c r="C265" s="27" t="s">
        <v>682</v>
      </c>
      <c r="D265" s="457"/>
      <c r="E265" s="457"/>
      <c r="F265" s="457"/>
      <c r="G265" s="457"/>
      <c r="H265" s="457"/>
      <c r="I265" s="457"/>
      <c r="J265" s="457"/>
      <c r="K265" s="457"/>
      <c r="L265" s="457"/>
      <c r="M265" s="457"/>
      <c r="N265" s="457"/>
      <c r="O265" s="457"/>
      <c r="P265" s="457"/>
      <c r="Q265" s="457"/>
      <c r="R265" s="457"/>
      <c r="S265" s="457"/>
      <c r="T265" s="457"/>
      <c r="U265" s="457"/>
      <c r="V265" s="457"/>
      <c r="W265" s="457"/>
      <c r="X265" s="457"/>
      <c r="Y265" s="457"/>
      <c r="Z265" s="487">
        <f t="shared" si="166"/>
        <v>0</v>
      </c>
      <c r="AA265" s="487">
        <f t="shared" si="166"/>
        <v>0</v>
      </c>
      <c r="AB265" s="457"/>
      <c r="AC265" s="457"/>
      <c r="AD265" s="457"/>
      <c r="AE265" s="457"/>
      <c r="AF265" s="457"/>
      <c r="AG265" s="457"/>
      <c r="AH265" s="457"/>
      <c r="AI265" s="483"/>
      <c r="AJ265" s="610">
        <f t="shared" si="147"/>
        <v>0</v>
      </c>
      <c r="AK265" s="274" t="str">
        <f>CONCATENATE(IF(D266&gt;D260," *  Confirmed ART Patients TB positive and started on TB treatment "&amp;$D$6&amp;" "&amp;$D$7&amp;" is less than  ART patients who had a positive result returned F07-50"&amp;CHAR(10),""),IF(E266&gt;E260," *  Confirmed ART Patients TB positive and started on TB treatment "&amp;$D$6&amp;" "&amp;$E$7&amp;" is less than  ART patients who had a positive result returned F07-50"&amp;CHAR(10),""),IF(F266&gt;F260," *  Confirmed ART Patients TB positive and started on TB treatment "&amp;$F$6&amp;" "&amp;$F$7&amp;" is less than  ART patients who had a positive result returned F07-50"&amp;CHAR(10),""),IF(G266&gt;G260," *  Confirmed ART Patients TB positive and started on TB treatment "&amp;$F$6&amp;" "&amp;$G$7&amp;" is less than  ART patients who had a positive result returned F07-50"&amp;CHAR(10),""),IF(H266&gt;H260," *  Confirmed ART Patients TB positive and started on TB treatment "&amp;$H$6&amp;" "&amp;$H$7&amp;" is less than  ART patients who had a positive result returned F07-50"&amp;CHAR(10),""),IF(I266&gt;I260," *  Confirmed ART Patients TB positive and started on TB treatment "&amp;$H$6&amp;" "&amp;$I$7&amp;" is less than  ART patients who had a positive result returned F07-50"&amp;CHAR(10),""),IF(J266&gt;J260," *  Confirmed ART Patients TB positive and started on TB treatment "&amp;$J$6&amp;" "&amp;$J$7&amp;" is less than  ART patients who had a positive result returned F07-50"&amp;CHAR(10),""),IF(K266&gt;K260," *  Confirmed ART Patients TB positive and started on TB treatment "&amp;$J$6&amp;" "&amp;$K$7&amp;" is less than  ART patients who had a positive result returned F07-50"&amp;CHAR(10),""),IF(L266&gt;L260," *  Confirmed ART Patients TB positive and started on TB treatment "&amp;$L$6&amp;" "&amp;$L$7&amp;" is less than  ART patients who had a positive result returned F07-50"&amp;CHAR(10),""),IF(M266&gt;M260," *  Confirmed ART Patients TB positive and started on TB treatment "&amp;$L$6&amp;" "&amp;$M$7&amp;" is less than  ART patients who had a positive result returned F07-50"&amp;CHAR(10),""),IF(N266&gt;N260," *  Confirmed ART Patients TB positive and started on TB treatment "&amp;$N$6&amp;" "&amp;$N$7&amp;" is less than  ART patients who had a positive result returned F07-50"&amp;CHAR(10),""),IF(O266&gt;O260," *  Confirmed ART Patients TB positive and started on TB treatment "&amp;$N$6&amp;" "&amp;$O$7&amp;" is less than  ART patients who had a positive result returned F07-50"&amp;CHAR(10),""),IF(P266&gt;P260," *  Confirmed ART Patients TB positive and started on TB treatment "&amp;$P$6&amp;" "&amp;$P$7&amp;" is less than  ART patients who had a positive result returned F07-50"&amp;CHAR(10),""),IF(Q266&gt;Q260," *  Confirmed ART Patients TB positive and started on TB treatment "&amp;$P$6&amp;" "&amp;$Q$7&amp;" is less than  ART patients who had a positive result returned F07-50"&amp;CHAR(10),""),IF(R266&gt;R260," *  Confirmed ART Patients TB positive and started on TB treatment "&amp;$R$6&amp;" "&amp;$R$7&amp;" is less than  ART patients who had a positive result returned F07-50"&amp;CHAR(10),""),IF(S266&gt;S260," *  Confirmed ART Patients TB positive and started on TB treatment "&amp;$R$6&amp;" "&amp;$S$7&amp;" is less than  ART patients who had a positive result returned F07-50"&amp;CHAR(10),""),IF(T266&gt;T260," *  Confirmed ART Patients TB positive and started on TB treatment "&amp;$T$6&amp;" "&amp;$T$7&amp;" is less than  ART patients who had a positive result returned F07-50"&amp;CHAR(10),""),IF(U266&gt;U260," *  Confirmed ART Patients TB positive and started on TB treatment "&amp;$T$6&amp;" "&amp;$U$7&amp;" is less than  ART patients who had a positive result returned F07-50"&amp;CHAR(10),""),IF(V266&gt;V260," *  Confirmed ART Patients TB positive and started on TB treatment "&amp;$V$6&amp;" "&amp;$V$7&amp;" is less than  ART patients who had a positive result returned F07-50"&amp;CHAR(10),""),IF(W266&gt;W260," *  Confirmed ART Patients TB positive and started on TB treatment "&amp;$V$6&amp;" "&amp;$W$7&amp;" is less than  ART patients who had a positive result returned F07-50"&amp;CHAR(10),""),IF(X266&gt;X260," *  Confirmed ART Patients TB positive and started on TB treatment "&amp;$X$6&amp;" "&amp;$X$7&amp;" is less than  ART patients who had a positive result returned F07-50"&amp;CHAR(10),""),IF(Y266&gt;Y260," *  Confirmed ART Patients TB positive and started on TB treatment "&amp;$X$6&amp;" "&amp;$Y$7&amp;" is less than  ART patients who had a positive result returned F07-50"&amp;CHAR(10),""),IF(Z266&gt;Z260," *  Confirmed ART Patients TB positive and started on TB treatment "&amp;$Z$6&amp;" "&amp;$Z$7&amp;" is less than  ART patients who had a positive result returned F07-50"&amp;CHAR(10),""),IF(AA266&gt;AA260," *  Confirmed ART Patients TB positive and started on TB treatment "&amp;$Z$6&amp;" "&amp;$AA$7&amp;" is less than  ART patients who had a positive result returned F07-50"&amp;CHAR(10),""))</f>
        <v/>
      </c>
      <c r="AL265" s="917"/>
      <c r="AM265" s="113"/>
      <c r="AN265" s="820"/>
      <c r="AO265" s="283">
        <v>284</v>
      </c>
    </row>
    <row r="266" spans="1:41" ht="57" thickBot="1">
      <c r="A266" s="1002"/>
      <c r="B266" s="550" t="s">
        <v>685</v>
      </c>
      <c r="C266" s="19" t="s">
        <v>686</v>
      </c>
      <c r="D266" s="551">
        <f>D264+D265</f>
        <v>0</v>
      </c>
      <c r="E266" s="551">
        <f t="shared" ref="E266:Z266" si="167">E264+E265</f>
        <v>0</v>
      </c>
      <c r="F266" s="551">
        <f t="shared" si="167"/>
        <v>0</v>
      </c>
      <c r="G266" s="551">
        <f t="shared" si="167"/>
        <v>0</v>
      </c>
      <c r="H266" s="551">
        <f t="shared" si="167"/>
        <v>0</v>
      </c>
      <c r="I266" s="551">
        <f t="shared" si="167"/>
        <v>0</v>
      </c>
      <c r="J266" s="551">
        <f t="shared" si="167"/>
        <v>0</v>
      </c>
      <c r="K266" s="551">
        <f t="shared" si="167"/>
        <v>0</v>
      </c>
      <c r="L266" s="551">
        <f t="shared" si="167"/>
        <v>0</v>
      </c>
      <c r="M266" s="551">
        <f t="shared" si="167"/>
        <v>0</v>
      </c>
      <c r="N266" s="551">
        <f t="shared" si="167"/>
        <v>0</v>
      </c>
      <c r="O266" s="551">
        <f t="shared" si="167"/>
        <v>0</v>
      </c>
      <c r="P266" s="551">
        <f t="shared" si="167"/>
        <v>0</v>
      </c>
      <c r="Q266" s="551">
        <f t="shared" si="167"/>
        <v>0</v>
      </c>
      <c r="R266" s="551">
        <f t="shared" si="167"/>
        <v>0</v>
      </c>
      <c r="S266" s="551">
        <f t="shared" si="167"/>
        <v>0</v>
      </c>
      <c r="T266" s="551">
        <f t="shared" si="167"/>
        <v>0</v>
      </c>
      <c r="U266" s="551">
        <f t="shared" si="167"/>
        <v>0</v>
      </c>
      <c r="V266" s="551">
        <f t="shared" si="167"/>
        <v>0</v>
      </c>
      <c r="W266" s="551">
        <f t="shared" si="167"/>
        <v>0</v>
      </c>
      <c r="X266" s="551">
        <f t="shared" si="167"/>
        <v>0</v>
      </c>
      <c r="Y266" s="551">
        <f t="shared" si="167"/>
        <v>0</v>
      </c>
      <c r="Z266" s="551">
        <f t="shared" si="167"/>
        <v>0</v>
      </c>
      <c r="AA266" s="551">
        <f t="shared" ref="AA266:AI266" si="168">AA264+AA265</f>
        <v>0</v>
      </c>
      <c r="AB266" s="551">
        <f t="shared" si="168"/>
        <v>0</v>
      </c>
      <c r="AC266" s="551">
        <f t="shared" si="168"/>
        <v>0</v>
      </c>
      <c r="AD266" s="551">
        <f t="shared" si="168"/>
        <v>0</v>
      </c>
      <c r="AE266" s="551">
        <f t="shared" si="168"/>
        <v>0</v>
      </c>
      <c r="AF266" s="551">
        <f t="shared" si="168"/>
        <v>0</v>
      </c>
      <c r="AG266" s="551">
        <f t="shared" si="168"/>
        <v>0</v>
      </c>
      <c r="AH266" s="551">
        <f t="shared" si="168"/>
        <v>0</v>
      </c>
      <c r="AI266" s="611">
        <f t="shared" si="168"/>
        <v>0</v>
      </c>
      <c r="AJ266" s="612">
        <f t="shared" si="147"/>
        <v>0</v>
      </c>
      <c r="AK266" s="274" t="str">
        <f>CONCATENATE(IF(D266&gt;D250," * ART Patients TB positive and started on TB Treatment  for Age "&amp;D6&amp;" "&amp;D7&amp;" is more than Total Screened for TB"&amp;CHAR(10),""),IF(E266&gt;E250," * ART Patients TB positive and started on TB Treatment  for Age "&amp;D6&amp;" "&amp;E7&amp;" is more than Total Screened for TB"&amp;CHAR(10),""),IF(F266&gt;F250," * ART Patients TB positive and started on TB Treatment  for Age "&amp;F6&amp;" "&amp;F7&amp;" is more than Total Screened for TB"&amp;CHAR(10),""),IF(G266&gt;G250," * ART Patients TB positive and started on TB Treatment  for Age "&amp;F6&amp;" "&amp;G7&amp;" is more than Total Screened for TB"&amp;CHAR(10),""),IF(H266&gt;H250," * ART Patients TB positive and started on TB Treatment  for Age "&amp;H6&amp;" "&amp;H7&amp;" is more than Total Screened for TB"&amp;CHAR(10),""),IF(I266&gt;I250," * ART Patients TB positive and started on TB Treatment  for Age "&amp;H6&amp;" "&amp;I7&amp;" is more than Total Screened for TB"&amp;CHAR(10),""),IF(J266&gt;J250," * ART Patients TB positive and started on TB Treatment  for Age "&amp;J6&amp;" "&amp;J7&amp;" is more than Total Screened for TB"&amp;CHAR(10),""),IF(K266&gt;K250," * ART Patients TB positive and started on TB Treatment  for Age "&amp;J6&amp;" "&amp;K7&amp;" is more than Total Screened for TB"&amp;CHAR(10),""),IF(L266&gt;L250," * ART Patients TB positive and started on TB Treatment  for Age "&amp;L6&amp;" "&amp;L7&amp;" is more than Total Screened for TB"&amp;CHAR(10),""),IF(M266&gt;M250," * ART Patients TB positive and started on TB Treatment  for Age "&amp;L6&amp;" "&amp;M7&amp;" is more than Total Screened for TB"&amp;CHAR(10),""),IF(N266&gt;N250," * ART Patients TB positive and started on TB Treatment  for Age "&amp;N6&amp;" "&amp;N7&amp;" is more than Total Screened for TB"&amp;CHAR(10),""),IF(O266&gt;O250," * ART Patients TB positive and started on TB Treatment  for Age "&amp;N6&amp;" "&amp;O7&amp;" is more than Total Screened for TB"&amp;CHAR(10),""),IF(P266&gt;P250," * ART Patients TB positive and started on TB Treatment  for Age "&amp;P6&amp;" "&amp;P7&amp;" is more than Total Screened for TB"&amp;CHAR(10),""),IF(Q266&gt;Q250," * ART Patients TB positive and started on TB Treatment  for Age "&amp;P6&amp;" "&amp;Q7&amp;" is more than Total Screened for TB"&amp;CHAR(10),""),IF(R266&gt;R250," * ART Patients TB positive and started on TB Treatment  for Age "&amp;R6&amp;" "&amp;R7&amp;" is more than Total Screened for TB"&amp;CHAR(10),""),IF(S266&gt;S250," * ART Patients TB positive and started on TB Treatment  for Age "&amp;R6&amp;" "&amp;S7&amp;" is more than Total Screened for TB"&amp;CHAR(10),""),IF(T266&gt;T250," * ART Patients TB positive and started on TB Treatment  for Age "&amp;T6&amp;" "&amp;T7&amp;" is more than Total Screened for TB"&amp;CHAR(10),""),IF(U266&gt;U250," * ART Patients TB positive and started on TB Treatment  for Age "&amp;T6&amp;" "&amp;U7&amp;" is more than Total Screened for TB"&amp;CHAR(10),""),IF(V266&gt;V250," * ART Patients TB positive and started on TB Treatment  for Age "&amp;V6&amp;" "&amp;V7&amp;" is more than Total Screened for TB"&amp;CHAR(10),""),IF(W266&gt;W250," * ART Patients TB positive and started on TB Treatment  for Age "&amp;V6&amp;" "&amp;W7&amp;" is more than Total Screened for TB"&amp;CHAR(10),""),IF(X266&gt;X250," * ART Patients TB positive and started on TB Treatment  for Age "&amp;X6&amp;" "&amp;X7&amp;" is more than Total Screened for TB"&amp;CHAR(10),""),IF(Y266&gt;Y250," * ART Patients TB positive and started on TB Treatment  for Age "&amp;X6&amp;" "&amp;Y7&amp;" is more than Total Screened for TB"&amp;CHAR(10),""),IF(Z266&gt;Z250," * ART Patients TB positive and started on TB Treatment  for Age "&amp;Z6&amp;" "&amp;Z7&amp;" is more than Total Screened for TB"&amp;CHAR(10),""),IF(AA266&gt;AA250," * ART Patients TB positive and started on TB Treatment  for Age "&amp;Z6&amp;" "&amp;AA7&amp;" is more than Total Screened for TB"&amp;CHAR(10),""))</f>
        <v/>
      </c>
      <c r="AL266" s="918"/>
      <c r="AM266" s="113"/>
      <c r="AN266" s="821"/>
      <c r="AO266" s="283">
        <v>285</v>
      </c>
    </row>
    <row r="267" spans="1:41" ht="32.65" customHeight="1" thickBot="1">
      <c r="A267" s="833" t="s">
        <v>688</v>
      </c>
      <c r="B267" s="834"/>
      <c r="C267" s="837"/>
      <c r="D267" s="837"/>
      <c r="E267" s="837"/>
      <c r="F267" s="837"/>
      <c r="G267" s="837"/>
      <c r="H267" s="837"/>
      <c r="I267" s="837"/>
      <c r="J267" s="837"/>
      <c r="K267" s="837"/>
      <c r="L267" s="837"/>
      <c r="M267" s="837"/>
      <c r="N267" s="837"/>
      <c r="O267" s="837"/>
      <c r="P267" s="837"/>
      <c r="Q267" s="837"/>
      <c r="R267" s="837"/>
      <c r="S267" s="837"/>
      <c r="T267" s="837"/>
      <c r="U267" s="837"/>
      <c r="V267" s="837"/>
      <c r="W267" s="837"/>
      <c r="X267" s="837"/>
      <c r="Y267" s="837"/>
      <c r="Z267" s="837"/>
      <c r="AA267" s="837"/>
      <c r="AB267" s="843"/>
      <c r="AC267" s="843"/>
      <c r="AD267" s="843"/>
      <c r="AE267" s="843"/>
      <c r="AF267" s="843"/>
      <c r="AG267" s="843"/>
      <c r="AH267" s="843"/>
      <c r="AI267" s="843"/>
      <c r="AJ267" s="834"/>
      <c r="AK267" s="837"/>
      <c r="AL267" s="834"/>
      <c r="AM267" s="834"/>
      <c r="AN267" s="844"/>
      <c r="AO267" s="283">
        <v>97</v>
      </c>
    </row>
    <row r="268" spans="1:41" ht="26.25" customHeight="1">
      <c r="A268" s="979" t="s">
        <v>3</v>
      </c>
      <c r="B268" s="977" t="s">
        <v>4</v>
      </c>
      <c r="C268" s="892" t="s">
        <v>5</v>
      </c>
      <c r="D268" s="909" t="s">
        <v>888</v>
      </c>
      <c r="E268" s="909"/>
      <c r="F268" s="909" t="s">
        <v>889</v>
      </c>
      <c r="G268" s="909"/>
      <c r="H268" s="909" t="s">
        <v>890</v>
      </c>
      <c r="I268" s="909"/>
      <c r="J268" s="909" t="s">
        <v>891</v>
      </c>
      <c r="K268" s="909"/>
      <c r="L268" s="909" t="s">
        <v>892</v>
      </c>
      <c r="M268" s="909"/>
      <c r="N268" s="909" t="s">
        <v>893</v>
      </c>
      <c r="O268" s="909"/>
      <c r="P268" s="909" t="s">
        <v>894</v>
      </c>
      <c r="Q268" s="909"/>
      <c r="R268" s="909" t="s">
        <v>895</v>
      </c>
      <c r="S268" s="909"/>
      <c r="T268" s="909" t="s">
        <v>896</v>
      </c>
      <c r="U268" s="909"/>
      <c r="V268" s="909" t="s">
        <v>897</v>
      </c>
      <c r="W268" s="909"/>
      <c r="X268" s="909" t="s">
        <v>898</v>
      </c>
      <c r="Y268" s="909"/>
      <c r="Z268" s="909" t="s">
        <v>899</v>
      </c>
      <c r="AA268" s="845"/>
      <c r="AB268" s="1006"/>
      <c r="AC268" s="906"/>
      <c r="AD268" s="906"/>
      <c r="AE268" s="906"/>
      <c r="AF268" s="906"/>
      <c r="AG268" s="906"/>
      <c r="AH268" s="906"/>
      <c r="AI268" s="907"/>
      <c r="AJ268" s="971" t="s">
        <v>904</v>
      </c>
      <c r="AK268" s="923" t="s">
        <v>905</v>
      </c>
      <c r="AL268" s="911" t="s">
        <v>906</v>
      </c>
      <c r="AM268" s="922" t="s">
        <v>907</v>
      </c>
      <c r="AN268" s="888" t="s">
        <v>907</v>
      </c>
      <c r="AO268" s="283">
        <v>98</v>
      </c>
    </row>
    <row r="269" spans="1:41" ht="27" customHeight="1">
      <c r="A269" s="945"/>
      <c r="B269" s="978"/>
      <c r="C269" s="1003"/>
      <c r="D269" s="20" t="s">
        <v>908</v>
      </c>
      <c r="E269" s="20" t="s">
        <v>909</v>
      </c>
      <c r="F269" s="20" t="s">
        <v>908</v>
      </c>
      <c r="G269" s="20" t="s">
        <v>909</v>
      </c>
      <c r="H269" s="20" t="s">
        <v>908</v>
      </c>
      <c r="I269" s="20" t="s">
        <v>909</v>
      </c>
      <c r="J269" s="20" t="s">
        <v>908</v>
      </c>
      <c r="K269" s="20" t="s">
        <v>909</v>
      </c>
      <c r="L269" s="20" t="s">
        <v>908</v>
      </c>
      <c r="M269" s="20" t="s">
        <v>909</v>
      </c>
      <c r="N269" s="20" t="s">
        <v>908</v>
      </c>
      <c r="O269" s="20" t="s">
        <v>909</v>
      </c>
      <c r="P269" s="20" t="s">
        <v>908</v>
      </c>
      <c r="Q269" s="20" t="s">
        <v>909</v>
      </c>
      <c r="R269" s="20" t="s">
        <v>908</v>
      </c>
      <c r="S269" s="20" t="s">
        <v>909</v>
      </c>
      <c r="T269" s="20" t="s">
        <v>908</v>
      </c>
      <c r="U269" s="20" t="s">
        <v>909</v>
      </c>
      <c r="V269" s="20" t="s">
        <v>908</v>
      </c>
      <c r="W269" s="20" t="s">
        <v>909</v>
      </c>
      <c r="X269" s="20" t="s">
        <v>908</v>
      </c>
      <c r="Y269" s="20" t="s">
        <v>909</v>
      </c>
      <c r="Z269" s="20" t="s">
        <v>908</v>
      </c>
      <c r="AA269" s="249" t="s">
        <v>909</v>
      </c>
      <c r="AB269" s="250"/>
      <c r="AC269" s="251"/>
      <c r="AD269" s="251"/>
      <c r="AE269" s="251"/>
      <c r="AF269" s="251"/>
      <c r="AG269" s="251"/>
      <c r="AH269" s="251"/>
      <c r="AI269" s="278"/>
      <c r="AJ269" s="972"/>
      <c r="AK269" s="924"/>
      <c r="AL269" s="912"/>
      <c r="AM269" s="922"/>
      <c r="AN269" s="889"/>
      <c r="AO269" s="283">
        <v>99</v>
      </c>
    </row>
    <row r="270" spans="1:41" ht="33.4" customHeight="1" thickBot="1">
      <c r="A270" s="833" t="s">
        <v>689</v>
      </c>
      <c r="B270" s="834"/>
      <c r="C270" s="834"/>
      <c r="D270" s="834"/>
      <c r="E270" s="834"/>
      <c r="F270" s="834"/>
      <c r="G270" s="834"/>
      <c r="H270" s="834"/>
      <c r="I270" s="834"/>
      <c r="J270" s="834"/>
      <c r="K270" s="834"/>
      <c r="L270" s="834"/>
      <c r="M270" s="834"/>
      <c r="N270" s="834"/>
      <c r="O270" s="834"/>
      <c r="P270" s="834"/>
      <c r="Q270" s="834"/>
      <c r="R270" s="834"/>
      <c r="S270" s="834"/>
      <c r="T270" s="834"/>
      <c r="U270" s="834"/>
      <c r="V270" s="834"/>
      <c r="W270" s="834"/>
      <c r="X270" s="834"/>
      <c r="Y270" s="834"/>
      <c r="Z270" s="834"/>
      <c r="AA270" s="834"/>
      <c r="AB270" s="834"/>
      <c r="AC270" s="834"/>
      <c r="AD270" s="834"/>
      <c r="AE270" s="834"/>
      <c r="AF270" s="834"/>
      <c r="AG270" s="834"/>
      <c r="AH270" s="834"/>
      <c r="AI270" s="834"/>
      <c r="AJ270" s="834"/>
      <c r="AK270" s="834"/>
      <c r="AL270" s="834"/>
      <c r="AM270" s="834"/>
      <c r="AN270" s="835"/>
      <c r="AO270" s="283">
        <v>97</v>
      </c>
    </row>
    <row r="271" spans="1:41" ht="47.25" customHeight="1" thickBot="1">
      <c r="A271" s="980" t="s">
        <v>690</v>
      </c>
      <c r="B271" s="552" t="s">
        <v>691</v>
      </c>
      <c r="C271" s="553" t="s">
        <v>692</v>
      </c>
      <c r="D271" s="744"/>
      <c r="E271" s="25"/>
      <c r="F271" s="25"/>
      <c r="G271" s="25"/>
      <c r="H271" s="25"/>
      <c r="I271" s="25"/>
      <c r="J271" s="25"/>
      <c r="K271" s="25"/>
      <c r="L271" s="25"/>
      <c r="M271" s="25"/>
      <c r="N271" s="25"/>
      <c r="O271" s="25"/>
      <c r="P271" s="25"/>
      <c r="Q271" s="25"/>
      <c r="R271" s="25"/>
      <c r="S271" s="25"/>
      <c r="T271" s="25"/>
      <c r="U271" s="25"/>
      <c r="V271" s="25"/>
      <c r="W271" s="25"/>
      <c r="X271" s="25"/>
      <c r="Y271" s="25"/>
      <c r="Z271" s="25"/>
      <c r="AA271" s="252"/>
      <c r="AB271" s="240"/>
      <c r="AC271" s="241"/>
      <c r="AD271" s="241"/>
      <c r="AE271" s="241"/>
      <c r="AF271" s="241"/>
      <c r="AG271" s="241"/>
      <c r="AH271" s="241"/>
      <c r="AI271" s="268"/>
      <c r="AJ271" s="280">
        <f>SUM(D271:AA271)</f>
        <v>0</v>
      </c>
      <c r="AK271" s="385"/>
      <c r="AL271" s="825" t="str">
        <f>CONCATENATE(AK271,AK272)</f>
        <v/>
      </c>
      <c r="AM271" s="613"/>
      <c r="AN271" s="831"/>
      <c r="AO271" s="283">
        <v>100</v>
      </c>
    </row>
    <row r="272" spans="1:41" ht="42" customHeight="1" thickBot="1">
      <c r="A272" s="980"/>
      <c r="B272" s="556" t="s">
        <v>695</v>
      </c>
      <c r="C272" s="557" t="s">
        <v>696</v>
      </c>
      <c r="D272" s="745"/>
      <c r="E272" s="337"/>
      <c r="F272" s="337"/>
      <c r="G272" s="337"/>
      <c r="H272" s="337"/>
      <c r="I272" s="337"/>
      <c r="J272" s="337"/>
      <c r="K272" s="337"/>
      <c r="L272" s="337"/>
      <c r="M272" s="337"/>
      <c r="N272" s="337"/>
      <c r="O272" s="337"/>
      <c r="P272" s="337"/>
      <c r="Q272" s="337"/>
      <c r="R272" s="337"/>
      <c r="S272" s="337"/>
      <c r="T272" s="337"/>
      <c r="U272" s="337"/>
      <c r="V272" s="337"/>
      <c r="W272" s="337"/>
      <c r="X272" s="337"/>
      <c r="Y272" s="337"/>
      <c r="Z272" s="337"/>
      <c r="AA272" s="361"/>
      <c r="AB272" s="240"/>
      <c r="AC272" s="241"/>
      <c r="AD272" s="241"/>
      <c r="AE272" s="241"/>
      <c r="AF272" s="241"/>
      <c r="AG272" s="241"/>
      <c r="AH272" s="241"/>
      <c r="AI272" s="268"/>
      <c r="AJ272" s="614">
        <f>SUM(D272:AA272)</f>
        <v>0</v>
      </c>
      <c r="AK272" s="615"/>
      <c r="AL272" s="827"/>
      <c r="AM272" s="616"/>
      <c r="AN272" s="832"/>
      <c r="AO272" s="283"/>
    </row>
    <row r="273" spans="1:45" ht="33.4" customHeight="1" thickBot="1">
      <c r="A273" s="833" t="s">
        <v>698</v>
      </c>
      <c r="B273" s="834"/>
      <c r="C273" s="834"/>
      <c r="D273" s="836"/>
      <c r="E273" s="836"/>
      <c r="F273" s="836"/>
      <c r="G273" s="836"/>
      <c r="H273" s="836"/>
      <c r="I273" s="836"/>
      <c r="J273" s="836"/>
      <c r="K273" s="836"/>
      <c r="L273" s="836"/>
      <c r="M273" s="836"/>
      <c r="N273" s="836"/>
      <c r="O273" s="836"/>
      <c r="P273" s="836"/>
      <c r="Q273" s="836"/>
      <c r="R273" s="836"/>
      <c r="S273" s="836"/>
      <c r="T273" s="836"/>
      <c r="U273" s="836"/>
      <c r="V273" s="836"/>
      <c r="W273" s="836"/>
      <c r="X273" s="836"/>
      <c r="Y273" s="836"/>
      <c r="Z273" s="836"/>
      <c r="AA273" s="836"/>
      <c r="AB273" s="834"/>
      <c r="AC273" s="834"/>
      <c r="AD273" s="834"/>
      <c r="AE273" s="834"/>
      <c r="AF273" s="834"/>
      <c r="AG273" s="834"/>
      <c r="AH273" s="834"/>
      <c r="AI273" s="834"/>
      <c r="AJ273" s="834"/>
      <c r="AK273" s="834"/>
      <c r="AL273" s="834"/>
      <c r="AM273" s="834"/>
      <c r="AN273" s="835"/>
      <c r="AO273" s="283">
        <v>97</v>
      </c>
    </row>
    <row r="274" spans="1:45" ht="41.25" customHeight="1" thickBot="1">
      <c r="A274" s="962" t="s">
        <v>699</v>
      </c>
      <c r="B274" s="558" t="s">
        <v>691</v>
      </c>
      <c r="C274" s="793" t="s">
        <v>700</v>
      </c>
      <c r="D274" s="374"/>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c r="AA274" s="219"/>
      <c r="AB274" s="245"/>
      <c r="AC274" s="246"/>
      <c r="AD274" s="246"/>
      <c r="AE274" s="246"/>
      <c r="AF274" s="246"/>
      <c r="AG274" s="246"/>
      <c r="AH274" s="246"/>
      <c r="AI274" s="272"/>
      <c r="AJ274" s="280">
        <f>SUM(D274:AA274)</f>
        <v>0</v>
      </c>
      <c r="AK274" s="385"/>
      <c r="AL274" s="825" t="str">
        <f>CONCATENATE(AK274,AK275,AK276,AK277)</f>
        <v/>
      </c>
      <c r="AM274" s="613"/>
      <c r="AN274" s="776"/>
      <c r="AO274" s="283">
        <v>100</v>
      </c>
    </row>
    <row r="275" spans="1:45" ht="42" customHeight="1" thickBot="1">
      <c r="A275" s="963"/>
      <c r="B275" s="559" t="s">
        <v>695</v>
      </c>
      <c r="C275" s="191" t="s">
        <v>703</v>
      </c>
      <c r="D275" s="376"/>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227"/>
      <c r="AB275" s="240"/>
      <c r="AC275" s="727"/>
      <c r="AD275" s="727"/>
      <c r="AE275" s="727"/>
      <c r="AF275" s="727"/>
      <c r="AG275" s="727"/>
      <c r="AH275" s="727"/>
      <c r="AI275" s="268"/>
      <c r="AJ275" s="614">
        <f>SUM(D275:AA275)</f>
        <v>0</v>
      </c>
      <c r="AK275" s="615"/>
      <c r="AL275" s="826"/>
      <c r="AM275" s="616"/>
      <c r="AN275" s="777"/>
      <c r="AO275" s="283"/>
    </row>
    <row r="276" spans="1:45" ht="42" customHeight="1" thickBot="1">
      <c r="A276" s="894" t="s">
        <v>948</v>
      </c>
      <c r="B276" s="558" t="s">
        <v>706</v>
      </c>
      <c r="C276" s="191" t="s">
        <v>707</v>
      </c>
      <c r="D276" s="376"/>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c r="AB276" s="240"/>
      <c r="AC276" s="727"/>
      <c r="AD276" s="727"/>
      <c r="AE276" s="727"/>
      <c r="AF276" s="727"/>
      <c r="AG276" s="727"/>
      <c r="AH276" s="727"/>
      <c r="AI276" s="268"/>
      <c r="AJ276" s="614">
        <f t="shared" ref="AJ276:AJ277" si="169">SUM(D276:AA276)</f>
        <v>0</v>
      </c>
      <c r="AK276" s="615" t="str">
        <f>CONCATENATE(IF(D276&gt;D235," * TX_CURR eligible for  IPT/TPT Initiation for Age "&amp;D6&amp;" "&amp;D7&amp;" is more than TX_CURR"&amp;CHAR(10),""),IF(E276&gt;E235," * TX_CURR eligible for  IPT/TPT Initiation for Age "&amp;D6&amp;" "&amp;E7&amp;" is more than TX_CURR"&amp;CHAR(10),""),IF(F276&gt;F235," * TX_CURR eligible for  IPT/TPT Initiation for Age "&amp;F6&amp;" "&amp;F7&amp;" is more than TX_CURR"&amp;CHAR(10),""),IF(G276&gt;G235," * TX_CURR eligible for  IPT/TPT Initiation for Age "&amp;F6&amp;" "&amp;G7&amp;" is more than TX_CURR"&amp;CHAR(10),""),IF(H276&gt;H235," * TX_CURR eligible for  IPT/TPT Initiation for Age "&amp;H6&amp;" "&amp;H7&amp;" is more than TX_CURR"&amp;CHAR(10),""),IF(I276&gt;I235," * TX_CURR eligible for  IPT/TPT Initiation for Age "&amp;H6&amp;" "&amp;I7&amp;" is more than TX_CURR"&amp;CHAR(10),""),IF(J276&gt;J235," * TX_CURR eligible for  IPT/TPT Initiation for Age "&amp;J6&amp;" "&amp;J7&amp;" is more than TX_CURR"&amp;CHAR(10),""),IF(K276&gt;K235," * TX_CURR eligible for  IPT/TPT Initiation for Age "&amp;J6&amp;" "&amp;K7&amp;" is more than TX_CURR"&amp;CHAR(10),""),IF(L276&gt;L235," * TX_CURR eligible for  IPT/TPT Initiation for Age "&amp;L6&amp;" "&amp;L7&amp;" is more than TX_CURR"&amp;CHAR(10),""),IF(M276&gt;M235," * TX_CURR eligible for  IPT/TPT Initiation for Age "&amp;L6&amp;" "&amp;M7&amp;" is more than TX_CURR"&amp;CHAR(10),""),IF(N276&gt;N235," * TX_CURR eligible for  IPT/TPT Initiation for Age "&amp;N6&amp;" "&amp;N7&amp;" is more than TX_CURR"&amp;CHAR(10),""),IF(O276&gt;O235," * TX_CURR eligible for  IPT/TPT Initiation for Age "&amp;N6&amp;" "&amp;O7&amp;" is more than TX_CURR"&amp;CHAR(10),""),IF(P276&gt;P235," * TX_CURR eligible for  IPT/TPT Initiation for Age "&amp;P6&amp;" "&amp;P7&amp;" is more than TX_CURR"&amp;CHAR(10),""),IF(Q276&gt;Q235," * TX_CURR eligible for  IPT/TPT Initiation for Age "&amp;P6&amp;" "&amp;Q7&amp;" is more than TX_CURR"&amp;CHAR(10),""),IF(R276&gt;R235," * TX_CURR eligible for  IPT/TPT Initiation for Age "&amp;R6&amp;" "&amp;R7&amp;" is more than TX_CURR"&amp;CHAR(10),""),IF(S276&gt;S235," * TX_CURR eligible for  IPT/TPT Initiation for Age "&amp;R6&amp;" "&amp;S7&amp;" is more than TX_CURR"&amp;CHAR(10),""),IF(T276&gt;T235," * TX_CURR eligible for  IPT/TPT Initiation for Age "&amp;T6&amp;" "&amp;T7&amp;" is more than TX_CURR"&amp;CHAR(10),""),IF(U276&gt;U235," * TX_CURR eligible for  IPT/TPT Initiation for Age "&amp;T6&amp;" "&amp;U7&amp;" is more than TX_CURR"&amp;CHAR(10),""),IF(V276&gt;V235," * TX_CURR eligible for  IPT/TPT Initiation for Age "&amp;V6&amp;" "&amp;V7&amp;" is more than TX_CURR"&amp;CHAR(10),""),IF(W276&gt;W235," * TX_CURR eligible for  IPT/TPT Initiation for Age "&amp;V6&amp;" "&amp;W7&amp;" is more than TX_CURR"&amp;CHAR(10),""),IF(X276&gt;X235," * TX_CURR eligible for  IPT/TPT Initiation for Age "&amp;X6&amp;" "&amp;X7&amp;" is more than TX_CURR"&amp;CHAR(10),""),IF(Y276&gt;Y235," * TX_CURR eligible for  IPT/TPT Initiation for Age "&amp;X6&amp;" "&amp;Y7&amp;" is more than TX_CURR"&amp;CHAR(10),""),IF(Z276&gt;Z235," * TX_CURR eligible for  IPT/TPT Initiation for Age "&amp;Z6&amp;" "&amp;Z7&amp;" is more than TX_CURR"&amp;CHAR(10),""),IF(AA276&gt;AA235," * TX_CURR eligible for  IPT/TPT Initiation for Age "&amp;Z6&amp;" "&amp;AA7&amp;" is more than TX_CURR"&amp;CHAR(10),""))</f>
        <v/>
      </c>
      <c r="AL276" s="826"/>
      <c r="AM276" s="616"/>
      <c r="AN276" s="777"/>
      <c r="AO276" s="283"/>
    </row>
    <row r="277" spans="1:45" ht="42" customHeight="1" thickBot="1">
      <c r="A277" s="896"/>
      <c r="B277" s="559" t="s">
        <v>710</v>
      </c>
      <c r="C277" s="287" t="s">
        <v>711</v>
      </c>
      <c r="D277" s="380"/>
      <c r="E277" s="360"/>
      <c r="F277" s="360"/>
      <c r="G277" s="360"/>
      <c r="H277" s="360"/>
      <c r="I277" s="360"/>
      <c r="J277" s="360"/>
      <c r="K277" s="360"/>
      <c r="L277" s="360"/>
      <c r="M277" s="360"/>
      <c r="N277" s="360"/>
      <c r="O277" s="360"/>
      <c r="P277" s="360"/>
      <c r="Q277" s="360"/>
      <c r="R277" s="360"/>
      <c r="S277" s="360"/>
      <c r="T277" s="360"/>
      <c r="U277" s="360"/>
      <c r="V277" s="360"/>
      <c r="W277" s="360"/>
      <c r="X277" s="360"/>
      <c r="Y277" s="360"/>
      <c r="Z277" s="360"/>
      <c r="AA277" s="360"/>
      <c r="AB277" s="589"/>
      <c r="AC277" s="590"/>
      <c r="AD277" s="590"/>
      <c r="AE277" s="590"/>
      <c r="AF277" s="590"/>
      <c r="AG277" s="590"/>
      <c r="AH277" s="590"/>
      <c r="AI277" s="618"/>
      <c r="AJ277" s="614">
        <f t="shared" si="169"/>
        <v>0</v>
      </c>
      <c r="AK277" s="274" t="str">
        <f>CONCATENATE(IF(D276&lt;D277," *  TX_CURR eligible for on IPT/TPT Initiation initiated on IPT/TPT "&amp;$D$6&amp;" "&amp;$D$7&amp;" should not be more than TX_CURR eligible for on IPT/TPT Initiation"&amp;CHAR(10),""),IF(E276&lt;E277," *  TX_CURR eligible for on IPT/TPT Initiation initiated on IPT/TPT "&amp;$D$6&amp;" "&amp;$E$7&amp;" should not be more than TX_CURR eligible for on IPT/TPT Initiation"&amp;CHAR(10),""),IF(F276&lt;F277," *  TX_CURR eligible for on IPT/TPT Initiation initiated on IPT/TPT "&amp;$F$6&amp;" "&amp;$F$7&amp;" should not be more than TX_CURR eligible for on IPT/TPT Initiation"&amp;CHAR(10),""),IF(G276&lt;G277," *  TX_CURR eligible for on IPT/TPT Initiation initiated on IPT/TPT "&amp;$F$6&amp;" "&amp;$G$7&amp;" should not be more than TX_CURR eligible for on IPT/TPT Initiation"&amp;CHAR(10),""),IF(H276&lt;H277," *  TX_CURR eligible for on IPT/TPT Initiation initiated on IPT/TPT "&amp;$H$6&amp;" "&amp;$H$7&amp;" should not be more than TX_CURR eligible for on IPT/TPT Initiation"&amp;CHAR(10),""),IF(I276&lt;I277," *  TX_CURR eligible for on IPT/TPT Initiation initiated on IPT/TPT "&amp;$H$6&amp;" "&amp;$I$7&amp;" should not be more than TX_CURR eligible for on IPT/TPT Initiation"&amp;CHAR(10),""),IF(J276&lt;J277," *  TX_CURR eligible for on IPT/TPT Initiation initiated on IPT/TPT "&amp;$J$6&amp;" "&amp;$J$7&amp;" should not be more than TX_CURR eligible for on IPT/TPT Initiation"&amp;CHAR(10),""),IF(K276&lt;K277," *  TX_CURR eligible for on IPT/TPT Initiation initiated on IPT/TPT "&amp;$J$6&amp;" "&amp;$K$7&amp;" should not be more than TX_CURR eligible for on IPT/TPT Initiation"&amp;CHAR(10),""),IF(L276&lt;L277," *  TX_CURR eligible for on IPT/TPT Initiation initiated on IPT/TPT "&amp;$L$6&amp;" "&amp;$L$7&amp;" should not be more than TX_CURR eligible for on IPT/TPT Initiation"&amp;CHAR(10),""),IF(M276&lt;M277," *  TX_CURR eligible for on IPT/TPT Initiation initiated on IPT/TPT "&amp;$L$6&amp;" "&amp;$M$7&amp;" should not be more than TX_CURR eligible for on IPT/TPT Initiation"&amp;CHAR(10),""),IF(N276&lt;N277," *  TX_CURR eligible for on IPT/TPT Initiation initiated on IPT/TPT "&amp;$N$6&amp;" "&amp;$N$7&amp;" should not be more than TX_CURR eligible for on IPT/TPT Initiation"&amp;CHAR(10),""),IF(O276&lt;O277," *  TX_CURR eligible for on IPT/TPT Initiation initiated on IPT/TPT "&amp;$N$6&amp;" "&amp;$O$7&amp;" should not be more than TX_CURR eligible for on IPT/TPT Initiation"&amp;CHAR(10),""),IF(P276&lt;P277," *  TX_CURR eligible for on IPT/TPT Initiation initiated on IPT/TPT "&amp;$P$6&amp;" "&amp;$P$7&amp;" should not be more than TX_CURR eligible for on IPT/TPT Initiation"&amp;CHAR(10),""),IF(Q276&lt;Q277," *  TX_CURR eligible for on IPT/TPT Initiation initiated on IPT/TPT "&amp;$P$6&amp;" "&amp;$Q$7&amp;" should not be more than TX_CURR eligible for on IPT/TPT Initiation"&amp;CHAR(10),""),IF(R276&lt;R277," *  TX_CURR eligible for on IPT/TPT Initiation initiated on IPT/TPT "&amp;$R$6&amp;" "&amp;$R$7&amp;" should not be more than TX_CURR eligible for on IPT/TPT Initiation"&amp;CHAR(10),""),IF(S276&lt;S277," *  TX_CURR eligible for on IPT/TPT Initiation initiated on IPT/TPT "&amp;$R$6&amp;" "&amp;$S$7&amp;" should not be more than TX_CURR eligible for on IPT/TPT Initiation"&amp;CHAR(10),""),IF(T276&lt;T277," *  TX_CURR eligible for on IPT/TPT Initiation initiated on IPT/TPT "&amp;$T$6&amp;" "&amp;$T$7&amp;" should not be more than TX_CURR eligible for on IPT/TPT Initiation"&amp;CHAR(10),""),IF(U276&lt;U277," *  TX_CURR eligible for on IPT/TPT Initiation initiated on IPT/TPT "&amp;$T$6&amp;" "&amp;$U$7&amp;" should not be more than TX_CURR eligible for on IPT/TPT Initiation"&amp;CHAR(10),""),IF(V276&lt;V277," *  TX_CURR eligible for on IPT/TPT Initiation initiated on IPT/TPT "&amp;$V$6&amp;" "&amp;$V$7&amp;" should not be more than TX_CURR eligible for on IPT/TPT Initiation"&amp;CHAR(10),""),IF(W276&lt;W277," *  TX_CURR eligible for on IPT/TPT Initiation initiated on IPT/TPT "&amp;$V$6&amp;" "&amp;$W$7&amp;" should not be more than TX_CURR eligible for on IPT/TPT Initiation"&amp;CHAR(10),""),IF(X276&lt;X277," *  TX_CURR eligible for on IPT/TPT Initiation initiated on IPT/TPT "&amp;$X$6&amp;" "&amp;$X$7&amp;" should not be more than TX_CURR eligible for on IPT/TPT Initiation"&amp;CHAR(10),""),IF(Y276&lt;Y277," *  TX_CURR eligible for on IPT/TPT Initiation initiated on IPT/TPT "&amp;$X$6&amp;" "&amp;$Y$7&amp;" should not be more than TX_CURR eligible for on IPT/TPT Initiation"&amp;CHAR(10),""),IF(Z276&lt;Z277," *  TX_CURR eligible for on IPT/TPT Initiation initiated on IPT/TPT "&amp;$Z$6&amp;" "&amp;$Z$7&amp;" should not be more than TX_CURR eligible for on IPT/TPT Initiation"&amp;CHAR(10),""),IF(AA276&lt;AA277," *  TX_CURR eligible for on IPT/TPT Initiation initiated on IPT/TPT "&amp;$Z$6&amp;" "&amp;$AA$7&amp;" should not be more than TX_CURR eligible for on IPT/TPT Initiation"&amp;CHAR(10),""))</f>
        <v/>
      </c>
      <c r="AL277" s="827"/>
      <c r="AM277" s="616"/>
      <c r="AN277" s="778"/>
      <c r="AO277" s="283"/>
    </row>
    <row r="278" spans="1:45" ht="33.4" customHeight="1" thickBot="1">
      <c r="A278" s="833" t="s">
        <v>949</v>
      </c>
      <c r="B278" s="834"/>
      <c r="C278" s="834"/>
      <c r="D278" s="837"/>
      <c r="E278" s="837"/>
      <c r="F278" s="837"/>
      <c r="G278" s="837"/>
      <c r="H278" s="837"/>
      <c r="I278" s="837"/>
      <c r="J278" s="837"/>
      <c r="K278" s="837"/>
      <c r="L278" s="837"/>
      <c r="M278" s="837"/>
      <c r="N278" s="837"/>
      <c r="O278" s="837"/>
      <c r="P278" s="837"/>
      <c r="Q278" s="837"/>
      <c r="R278" s="837"/>
      <c r="S278" s="837"/>
      <c r="T278" s="837"/>
      <c r="U278" s="837"/>
      <c r="V278" s="837"/>
      <c r="W278" s="837"/>
      <c r="X278" s="837"/>
      <c r="Y278" s="837"/>
      <c r="Z278" s="837"/>
      <c r="AA278" s="837"/>
      <c r="AB278" s="834"/>
      <c r="AC278" s="834"/>
      <c r="AD278" s="834"/>
      <c r="AE278" s="834"/>
      <c r="AF278" s="834"/>
      <c r="AG278" s="834"/>
      <c r="AH278" s="834"/>
      <c r="AI278" s="834"/>
      <c r="AJ278" s="834"/>
      <c r="AK278" s="834"/>
      <c r="AL278" s="834"/>
      <c r="AM278" s="834"/>
      <c r="AN278" s="835"/>
      <c r="AO278" s="283">
        <v>97</v>
      </c>
      <c r="AQ278" s="920" t="s">
        <v>858</v>
      </c>
      <c r="AR278" s="958" t="s">
        <v>859</v>
      </c>
      <c r="AS278" s="960" t="s">
        <v>860</v>
      </c>
    </row>
    <row r="279" spans="1:45" ht="33" customHeight="1" thickBot="1">
      <c r="A279" s="838" t="s">
        <v>970</v>
      </c>
      <c r="B279" s="839"/>
      <c r="C279" s="560"/>
      <c r="D279" s="450">
        <f>SUM(D280:D283)</f>
        <v>0</v>
      </c>
      <c r="E279" s="450">
        <f t="shared" ref="E279:AA279" si="170">SUM(E280:E283)</f>
        <v>0</v>
      </c>
      <c r="F279" s="450">
        <f t="shared" si="170"/>
        <v>0</v>
      </c>
      <c r="G279" s="450">
        <f t="shared" si="170"/>
        <v>0</v>
      </c>
      <c r="H279" s="450">
        <f t="shared" si="170"/>
        <v>0</v>
      </c>
      <c r="I279" s="450">
        <f t="shared" si="170"/>
        <v>0</v>
      </c>
      <c r="J279" s="450">
        <f t="shared" si="170"/>
        <v>0</v>
      </c>
      <c r="K279" s="450">
        <f t="shared" si="170"/>
        <v>0</v>
      </c>
      <c r="L279" s="450">
        <f t="shared" si="170"/>
        <v>0</v>
      </c>
      <c r="M279" s="450">
        <f t="shared" si="170"/>
        <v>0</v>
      </c>
      <c r="N279" s="450">
        <f t="shared" si="170"/>
        <v>0</v>
      </c>
      <c r="O279" s="450">
        <f t="shared" si="170"/>
        <v>0</v>
      </c>
      <c r="P279" s="450">
        <f t="shared" si="170"/>
        <v>0</v>
      </c>
      <c r="Q279" s="450">
        <f t="shared" si="170"/>
        <v>0</v>
      </c>
      <c r="R279" s="450">
        <f t="shared" si="170"/>
        <v>0</v>
      </c>
      <c r="S279" s="450">
        <f t="shared" si="170"/>
        <v>0</v>
      </c>
      <c r="T279" s="450">
        <f t="shared" si="170"/>
        <v>0</v>
      </c>
      <c r="U279" s="450">
        <f t="shared" si="170"/>
        <v>0</v>
      </c>
      <c r="V279" s="450">
        <f t="shared" si="170"/>
        <v>0</v>
      </c>
      <c r="W279" s="450">
        <f t="shared" si="170"/>
        <v>0</v>
      </c>
      <c r="X279" s="450">
        <f t="shared" si="170"/>
        <v>0</v>
      </c>
      <c r="Y279" s="450">
        <f t="shared" si="170"/>
        <v>0</v>
      </c>
      <c r="Z279" s="450">
        <f t="shared" si="170"/>
        <v>0</v>
      </c>
      <c r="AA279" s="450">
        <f t="shared" si="170"/>
        <v>0</v>
      </c>
      <c r="AB279" s="450">
        <f t="shared" ref="AB279" si="171">SUM(AB280:AB283)</f>
        <v>0</v>
      </c>
      <c r="AC279" s="450">
        <f t="shared" ref="AC279" si="172">SUM(AC280:AC283)</f>
        <v>0</v>
      </c>
      <c r="AD279" s="450">
        <f t="shared" ref="AD279" si="173">SUM(AD280:AD283)</f>
        <v>0</v>
      </c>
      <c r="AE279" s="450">
        <f t="shared" ref="AE279" si="174">SUM(AE280:AE283)</f>
        <v>0</v>
      </c>
      <c r="AF279" s="450">
        <f t="shared" ref="AF279" si="175">SUM(AF280:AF283)</f>
        <v>0</v>
      </c>
      <c r="AG279" s="450">
        <f t="shared" ref="AG279" si="176">SUM(AG280:AG283)</f>
        <v>0</v>
      </c>
      <c r="AH279" s="450">
        <f t="shared" ref="AH279" si="177">SUM(AH280:AH283)</f>
        <v>0</v>
      </c>
      <c r="AI279" s="450">
        <f t="shared" ref="AI279" si="178">SUM(AI280:AI283)</f>
        <v>0</v>
      </c>
      <c r="AJ279" s="280">
        <f>SUM(D279:AA279)</f>
        <v>0</v>
      </c>
      <c r="AK279" s="560" t="str">
        <f>CONCATENATE(IF(D279&lt;D284," *  TB_PREV (Numerator)"&amp;$D$6&amp;" "&amp;$D$7&amp;" should not be more than TB_PREV (Denominator)"&amp;CHAR(10),""),IF(E279&lt;E284," *  TB_PREV (Numerator)"&amp;$D$6&amp;" "&amp;$E$7&amp;" should not be more than TB_PREV (Denominator)"&amp;CHAR(10),""),IF(F279&lt;F284," *  TB_PREV (Numerator)"&amp;$F$6&amp;" "&amp;$F$7&amp;" should not be more than TB_PREV (Denominator)"&amp;CHAR(10),""),IF(G279&lt;G284," *  TB_PREV (Numerator)"&amp;$F$6&amp;" "&amp;$G$7&amp;" should not be more than TB_PREV (Denominator)"&amp;CHAR(10),""),IF(H279&lt;H284," *  TB_PREV (Numerator)"&amp;$H$6&amp;" "&amp;$H$7&amp;" should not be more than TB_PREV (Denominator)"&amp;CHAR(10),""),IF(I279&lt;I284," *  TB_PREV (Numerator)"&amp;$H$6&amp;" "&amp;$I$7&amp;" should not be more than TB_PREV (Denominator)"&amp;CHAR(10),""),IF(J279&lt;J284," *  TB_PREV (Numerator)"&amp;$J$6&amp;" "&amp;$J$7&amp;" should not be more than TB_PREV (Denominator)"&amp;CHAR(10),""),IF(K279&lt;K284," *  TB_PREV (Numerator)"&amp;$J$6&amp;" "&amp;$K$7&amp;" should not be more than TB_PREV (Denominator)"&amp;CHAR(10),""),IF(L279&lt;L284," *  TB_PREV (Numerator)"&amp;$L$6&amp;" "&amp;$L$7&amp;" should not be more than TB_PREV (Denominator)"&amp;CHAR(10),""),IF(M279&lt;M284," *  TB_PREV (Numerator)"&amp;$L$6&amp;" "&amp;$M$7&amp;" should not be more than TB_PREV (Denominator)"&amp;CHAR(10),""),IF(N279&lt;N284," *  TB_PREV (Numerator)"&amp;$N$6&amp;" "&amp;$N$7&amp;" should not be more than TB_PREV (Denominator)"&amp;CHAR(10),""),IF(O279&lt;O284," *  TB_PREV (Numerator)"&amp;$N$6&amp;" "&amp;$O$7&amp;" should not be more than TB_PREV (Denominator)"&amp;CHAR(10),""),IF(P279&lt;P284," *  TB_PREV (Numerator)"&amp;$P$6&amp;" "&amp;$P$7&amp;" should not be more than TB_PREV (Denominator)"&amp;CHAR(10),""),IF(Q279&lt;Q284," *  TB_PREV (Numerator)"&amp;$P$6&amp;" "&amp;$Q$7&amp;" should not be more than TB_PREV (Denominator)"&amp;CHAR(10),""),IF(R279&lt;R284," *  TB_PREV (Numerator)"&amp;$R$6&amp;" "&amp;$R$7&amp;" should not be more than TB_PREV (Denominator)"&amp;CHAR(10),""),IF(S279&lt;S284," *  TB_PREV (Numerator)"&amp;$R$6&amp;" "&amp;$S$7&amp;" should not be more than TB_PREV (Denominator)"&amp;CHAR(10),""),IF(T279&lt;T284," *  TB_PREV (Numerator)"&amp;$T$6&amp;" "&amp;$T$7&amp;" should not be more than TB_PREV (Denominator)"&amp;CHAR(10),""),IF(U279&lt;U284," *  TB_PREV (Numerator)"&amp;$T$6&amp;" "&amp;$U$7&amp;" should not be more than TB_PREV (Denominator)"&amp;CHAR(10),""),IF(V279&lt;V284," *  TB_PREV (Numerator)"&amp;$V$6&amp;" "&amp;$V$7&amp;" should not be more than TB_PREV (Denominator)"&amp;CHAR(10),""),IF(W279&lt;W284," *  TB_PREV (Numerator)"&amp;$V$6&amp;" "&amp;$W$7&amp;" should not be more than TB_PREV (Denominator)"&amp;CHAR(10),""),IF(X279&lt;X284," *  TB_PREV (Numerator)"&amp;$X$6&amp;" "&amp;$X$7&amp;" should not be more than TB_PREV (Denominator)"&amp;CHAR(10),""),IF(Y279&lt;Y284," *  TB_PREV (Numerator)"&amp;$X$6&amp;" "&amp;$Y$7&amp;" should not be more than TB_PREV (Denominator)"&amp;CHAR(10),""),IF(Z279&lt;Z284," *  TB_PREV (Numerator)"&amp;$Z$6&amp;" "&amp;$Z$7&amp;" should not be more than TB_PREV (Denominator)"&amp;CHAR(10),""),IF(AA279&lt;AA284," *  TB_PREV (Numerator)"&amp;$Z$6&amp;" "&amp;$AA$7&amp;" should not be more than TB_PREV (Denominator)"&amp;CHAR(10),""))</f>
        <v/>
      </c>
      <c r="AL279" s="560"/>
      <c r="AM279" s="560"/>
      <c r="AN279" s="617"/>
      <c r="AO279" s="283">
        <v>97</v>
      </c>
      <c r="AQ279" s="921"/>
      <c r="AR279" s="959"/>
      <c r="AS279" s="961"/>
    </row>
    <row r="280" spans="1:45" ht="42.75" customHeight="1">
      <c r="A280" s="946" t="s">
        <v>714</v>
      </c>
      <c r="B280" s="561" t="s">
        <v>950</v>
      </c>
      <c r="C280" s="306" t="s">
        <v>716</v>
      </c>
      <c r="D280" s="554"/>
      <c r="E280" s="554"/>
      <c r="F280" s="554"/>
      <c r="G280" s="554"/>
      <c r="H280" s="554"/>
      <c r="I280" s="554"/>
      <c r="J280" s="554"/>
      <c r="K280" s="554"/>
      <c r="L280" s="554"/>
      <c r="M280" s="554"/>
      <c r="N280" s="554"/>
      <c r="O280" s="554"/>
      <c r="P280" s="554"/>
      <c r="Q280" s="554"/>
      <c r="R280" s="554"/>
      <c r="S280" s="554"/>
      <c r="T280" s="554"/>
      <c r="U280" s="554"/>
      <c r="V280" s="554"/>
      <c r="W280" s="554"/>
      <c r="X280" s="554"/>
      <c r="Y280" s="554"/>
      <c r="Z280" s="554"/>
      <c r="AA280" s="554"/>
      <c r="AB280" s="240"/>
      <c r="AC280" s="241"/>
      <c r="AD280" s="241"/>
      <c r="AE280" s="241"/>
      <c r="AF280" s="241"/>
      <c r="AG280" s="241"/>
      <c r="AH280" s="241"/>
      <c r="AI280" s="268"/>
      <c r="AJ280" s="280">
        <f>SUM(D280:AA280)</f>
        <v>0</v>
      </c>
      <c r="AK280" s="274"/>
      <c r="AL280" s="825" t="str">
        <f>CONCATENATE(AK280,AK281,AK282,AK283,AK279)</f>
        <v/>
      </c>
      <c r="AM280" s="613"/>
      <c r="AN280" s="816" t="str">
        <f>CONCATENATE(AM280,AM281,AM282,AM283)</f>
        <v/>
      </c>
      <c r="AO280" s="283"/>
      <c r="AQ280" s="621" t="s">
        <v>861</v>
      </c>
      <c r="AR280" s="622" t="s">
        <v>862</v>
      </c>
      <c r="AS280" s="622" t="s">
        <v>863</v>
      </c>
    </row>
    <row r="281" spans="1:45" ht="36.75" customHeight="1" thickBot="1">
      <c r="A281" s="948"/>
      <c r="B281" s="562" t="s">
        <v>718</v>
      </c>
      <c r="C281" s="19" t="s">
        <v>719</v>
      </c>
      <c r="D281" s="554"/>
      <c r="E281" s="554"/>
      <c r="F281" s="554"/>
      <c r="G281" s="554"/>
      <c r="H281" s="554"/>
      <c r="I281" s="554"/>
      <c r="J281" s="554"/>
      <c r="K281" s="554"/>
      <c r="L281" s="554"/>
      <c r="M281" s="554"/>
      <c r="N281" s="554"/>
      <c r="O281" s="554"/>
      <c r="P281" s="554"/>
      <c r="Q281" s="554"/>
      <c r="R281" s="554"/>
      <c r="S281" s="554"/>
      <c r="T281" s="554"/>
      <c r="U281" s="554"/>
      <c r="V281" s="554"/>
      <c r="W281" s="554"/>
      <c r="X281" s="554"/>
      <c r="Y281" s="554"/>
      <c r="Z281" s="554"/>
      <c r="AA281" s="554"/>
      <c r="AB281" s="589"/>
      <c r="AC281" s="590"/>
      <c r="AD281" s="590"/>
      <c r="AE281" s="590"/>
      <c r="AF281" s="590"/>
      <c r="AG281" s="590"/>
      <c r="AH281" s="590"/>
      <c r="AI281" s="618"/>
      <c r="AJ281" s="281">
        <f t="shared" ref="AJ281:AJ282" si="179">SUM(D281:AA281)</f>
        <v>0</v>
      </c>
      <c r="AK281" s="274"/>
      <c r="AL281" s="826"/>
      <c r="AM281" s="613"/>
      <c r="AN281" s="817"/>
      <c r="AO281" s="283"/>
      <c r="AQ281" s="623" t="s">
        <v>864</v>
      </c>
      <c r="AR281" s="624" t="s">
        <v>865</v>
      </c>
      <c r="AS281" s="624" t="s">
        <v>866</v>
      </c>
    </row>
    <row r="282" spans="1:45" ht="38.450000000000003" customHeight="1">
      <c r="A282" s="946" t="s">
        <v>721</v>
      </c>
      <c r="B282" s="22" t="s">
        <v>951</v>
      </c>
      <c r="C282" s="306" t="s">
        <v>723</v>
      </c>
      <c r="D282" s="554"/>
      <c r="E282" s="555"/>
      <c r="F282" s="555"/>
      <c r="G282" s="555"/>
      <c r="H282" s="555"/>
      <c r="I282" s="555"/>
      <c r="J282" s="555"/>
      <c r="K282" s="555"/>
      <c r="L282" s="555"/>
      <c r="M282" s="555"/>
      <c r="N282" s="555"/>
      <c r="O282" s="555"/>
      <c r="P282" s="555"/>
      <c r="Q282" s="555"/>
      <c r="R282" s="555"/>
      <c r="S282" s="555"/>
      <c r="T282" s="555"/>
      <c r="U282" s="555"/>
      <c r="V282" s="555"/>
      <c r="W282" s="555"/>
      <c r="X282" s="555"/>
      <c r="Y282" s="555"/>
      <c r="Z282" s="555"/>
      <c r="AA282" s="587"/>
      <c r="AB282" s="240"/>
      <c r="AC282" s="241"/>
      <c r="AD282" s="241"/>
      <c r="AE282" s="241"/>
      <c r="AF282" s="241"/>
      <c r="AG282" s="241"/>
      <c r="AH282" s="241"/>
      <c r="AI282" s="268"/>
      <c r="AJ282" s="280">
        <f t="shared" si="179"/>
        <v>0</v>
      </c>
      <c r="AK282" s="385"/>
      <c r="AL282" s="826"/>
      <c r="AM282" s="613"/>
      <c r="AN282" s="817"/>
      <c r="AO282" s="283">
        <v>100</v>
      </c>
      <c r="AQ282" s="623" t="s">
        <v>867</v>
      </c>
      <c r="AR282" s="624" t="s">
        <v>868</v>
      </c>
      <c r="AS282" s="624" t="s">
        <v>869</v>
      </c>
    </row>
    <row r="283" spans="1:45" ht="38.450000000000003" customHeight="1" thickBot="1">
      <c r="A283" s="985"/>
      <c r="B283" s="188" t="s">
        <v>725</v>
      </c>
      <c r="C283" s="187" t="s">
        <v>726</v>
      </c>
      <c r="D283" s="209"/>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48"/>
      <c r="AB283" s="240"/>
      <c r="AC283" s="241"/>
      <c r="AD283" s="241"/>
      <c r="AE283" s="241"/>
      <c r="AF283" s="241"/>
      <c r="AG283" s="241"/>
      <c r="AH283" s="241"/>
      <c r="AI283" s="268"/>
      <c r="AJ283" s="279">
        <f t="shared" ref="AJ283:AJ288" si="180">SUM(D283:AA283)</f>
        <v>0</v>
      </c>
      <c r="AK283" s="276" t="str">
        <f>CONCATENATE(IF(D235&lt;SUM(D282,D283)," * Total Initiated on IPT for Age "&amp;D6&amp;" "&amp;D7&amp;" is More than Current ON ART "&amp;CHAR(10),""),IF(E235&lt;SUM(E282,E283)," * Total Initiated on IPT for Age "&amp;D6&amp;" "&amp;E7&amp;" is More than Current ON ART"&amp;CHAR(10),""),IF(F235&lt;SUM(F282,F283)," * Total Initiated on IPT for Age "&amp;F6&amp;" "&amp;F7&amp;" is More than Current ON ART "&amp;CHAR(10),""),IF(G235&lt;SUM(G282,G283)," * Total Initiated on IPT for Age "&amp;F6&amp;" "&amp;G7&amp;" is More than Current ON ART"&amp;CHAR(10),""),IF(H235&lt;SUM(H282,H283)," * Total Initiated on IPT for Age "&amp;H6&amp;" "&amp;H7&amp;" is More than Current ON ART "&amp;CHAR(10),""),IF(I235&lt;SUM(I282,I283)," * Total Initiated on IPT for Age "&amp;H6&amp;" "&amp;I7&amp;" is More than Current ON ART"&amp;CHAR(10),""),IF(J235&lt;SUM(J282,J283)," * Total Initiated on IPT for Age "&amp;J6&amp;" "&amp;J7&amp;" is More than Current ON ART "&amp;CHAR(10),""),IF(K235&lt;SUM(K282,K283)," * Total Initiated on IPT for Age "&amp;J6&amp;" "&amp;K7&amp;" is More than Current ON ART"&amp;CHAR(10),""),IF(L235&lt;SUM(L282,L283)," * Total Initiated on IPT for Age "&amp;L6&amp;" "&amp;L7&amp;" is More than Current ON ART "&amp;CHAR(10),""),IF(M235&lt;SUM(M282,M283)," * Total Initiated on IPT for Age "&amp;L6&amp;" "&amp;M7&amp;" is More than Current ON ART"&amp;CHAR(10),""),IF(N235&lt;SUM(N282,N283)," * Total Initiated on IPT for Age "&amp;N6&amp;" "&amp;N7&amp;" is More than Current ON ART "&amp;CHAR(10),""),IF(O235&lt;SUM(O282,O283)," * Total Initiated on IPT for Age "&amp;N6&amp;" "&amp;O7&amp;" is More than Current ON ART"&amp;CHAR(10),""),IF(P235&lt;SUM(P282,P283)," * Total Initiated on IPT for Age "&amp;P6&amp;" "&amp;P7&amp;" is More than Current ON ART "&amp;CHAR(10),""),IF(Q235&lt;SUM(Q282,Q283)," * Total Initiated on IPT for Age "&amp;P6&amp;" "&amp;Q7&amp;" is More than Current ON ART"&amp;CHAR(10),""),IF(R235&lt;SUM(R282,R283)," * Total Initiated on IPT for Age "&amp;R6&amp;" "&amp;R7&amp;" is More than Current ON ART "&amp;CHAR(10),""),IF(S235&lt;SUM(S282,S283)," * Total Initiated on IPT for Age "&amp;R6&amp;" "&amp;S7&amp;" is More than Current ON ART"&amp;CHAR(10),""),IF(T235&lt;SUM(T282,T283)," * Total Initiated on IPT for Age "&amp;T6&amp;" "&amp;T7&amp;" is More than Current ON ART "&amp;CHAR(10),""),IF(U235&lt;SUM(U282,U283)," * Total Initiated on IPT for Age "&amp;T6&amp;" "&amp;U7&amp;" is More than Current ON ART"&amp;CHAR(10),""),IF(V235&lt;SUM(V282,V283)," * Total Initiated on IPT for Age "&amp;V6&amp;" "&amp;V7&amp;" is More than Current ON ART "&amp;CHAR(10),""),IF(W235&lt;SUM(W282,W283)," * Total Initiated on IPT for Age "&amp;V6&amp;" "&amp;W7&amp;" is More than Current ON ART"&amp;CHAR(10),""),IF(X235&lt;SUM(X282,X283)," * Total Initiated on IPT for Age "&amp;X6&amp;" "&amp;X7&amp;" is More than Current ON ART "&amp;CHAR(10),""),IF(Y235&lt;SUM(Y282,Y283)," * Total Initiated on IPT for Age "&amp;X6&amp;" "&amp;Y7&amp;" is More than Current ON ART"&amp;CHAR(10),""),IF(Z235&lt;SUM(Z282,Z283)," * Total Initiated on IPT for Age "&amp;Z6&amp;" "&amp;Z7&amp;" is More than Current ON ART "&amp;CHAR(10),""),IF(AA235&lt;SUM(AA282,AA283)," * Total Initiated on IPT for Age "&amp;Z6&amp;" "&amp;AA7&amp;" is More than Current ON ART "&amp;CHAR(10),""))</f>
        <v/>
      </c>
      <c r="AL283" s="827"/>
      <c r="AM283" s="619"/>
      <c r="AN283" s="818"/>
      <c r="AO283" s="283">
        <v>101</v>
      </c>
      <c r="AQ283" s="623" t="s">
        <v>870</v>
      </c>
      <c r="AR283" s="624" t="s">
        <v>861</v>
      </c>
      <c r="AS283" s="624" t="s">
        <v>862</v>
      </c>
    </row>
    <row r="284" spans="1:45" ht="38.450000000000003" customHeight="1" thickBot="1">
      <c r="A284" s="840" t="s">
        <v>971</v>
      </c>
      <c r="B284" s="841"/>
      <c r="C284" s="564"/>
      <c r="D284" s="450">
        <f t="shared" ref="D284:E284" si="181">SUM(D285:D288)</f>
        <v>0</v>
      </c>
      <c r="E284" s="450">
        <f t="shared" si="181"/>
        <v>0</v>
      </c>
      <c r="F284" s="450">
        <f t="shared" ref="F284" si="182">SUM(F285:F288)</f>
        <v>0</v>
      </c>
      <c r="G284" s="450">
        <f t="shared" ref="G284" si="183">SUM(G285:G288)</f>
        <v>0</v>
      </c>
      <c r="H284" s="450">
        <f t="shared" ref="H284" si="184">SUM(H285:H288)</f>
        <v>0</v>
      </c>
      <c r="I284" s="450">
        <f t="shared" ref="I284" si="185">SUM(I285:I288)</f>
        <v>0</v>
      </c>
      <c r="J284" s="450">
        <f t="shared" ref="J284" si="186">SUM(J285:J288)</f>
        <v>0</v>
      </c>
      <c r="K284" s="450">
        <f t="shared" ref="K284" si="187">SUM(K285:K288)</f>
        <v>0</v>
      </c>
      <c r="L284" s="450">
        <f t="shared" ref="L284" si="188">SUM(L285:L288)</f>
        <v>0</v>
      </c>
      <c r="M284" s="450">
        <f t="shared" ref="M284" si="189">SUM(M285:M288)</f>
        <v>0</v>
      </c>
      <c r="N284" s="450">
        <f t="shared" ref="N284" si="190">SUM(N285:N288)</f>
        <v>0</v>
      </c>
      <c r="O284" s="450">
        <f t="shared" ref="O284" si="191">SUM(O285:O288)</f>
        <v>0</v>
      </c>
      <c r="P284" s="450">
        <f t="shared" ref="P284" si="192">SUM(P285:P288)</f>
        <v>0</v>
      </c>
      <c r="Q284" s="450">
        <f t="shared" ref="Q284" si="193">SUM(Q285:Q288)</f>
        <v>0</v>
      </c>
      <c r="R284" s="450">
        <f t="shared" ref="R284" si="194">SUM(R285:R288)</f>
        <v>0</v>
      </c>
      <c r="S284" s="450">
        <f t="shared" ref="S284" si="195">SUM(S285:S288)</f>
        <v>0</v>
      </c>
      <c r="T284" s="450">
        <f t="shared" ref="T284" si="196">SUM(T285:T288)</f>
        <v>0</v>
      </c>
      <c r="U284" s="450">
        <f t="shared" ref="U284" si="197">SUM(U285:U288)</f>
        <v>0</v>
      </c>
      <c r="V284" s="450">
        <f t="shared" ref="V284" si="198">SUM(V285:V288)</f>
        <v>0</v>
      </c>
      <c r="W284" s="450">
        <f t="shared" ref="W284" si="199">SUM(W285:W288)</f>
        <v>0</v>
      </c>
      <c r="X284" s="450">
        <f t="shared" ref="X284" si="200">SUM(X285:X288)</f>
        <v>0</v>
      </c>
      <c r="Y284" s="450">
        <f t="shared" ref="Y284" si="201">SUM(Y285:Y288)</f>
        <v>0</v>
      </c>
      <c r="Z284" s="450">
        <f t="shared" ref="Z284" si="202">SUM(Z285:Z288)</f>
        <v>0</v>
      </c>
      <c r="AA284" s="450">
        <f t="shared" ref="AA284" si="203">SUM(AA285:AA288)</f>
        <v>0</v>
      </c>
      <c r="AB284" s="450">
        <f t="shared" ref="AB284" si="204">SUM(AB285:AB288)</f>
        <v>0</v>
      </c>
      <c r="AC284" s="450">
        <f t="shared" ref="AC284" si="205">SUM(AC285:AC288)</f>
        <v>0</v>
      </c>
      <c r="AD284" s="450">
        <f t="shared" ref="AD284" si="206">SUM(AD285:AD288)</f>
        <v>0</v>
      </c>
      <c r="AE284" s="450">
        <f t="shared" ref="AE284" si="207">SUM(AE285:AE288)</f>
        <v>0</v>
      </c>
      <c r="AF284" s="450">
        <f t="shared" ref="AF284" si="208">SUM(AF285:AF288)</f>
        <v>0</v>
      </c>
      <c r="AG284" s="450">
        <f t="shared" ref="AG284" si="209">SUM(AG285:AG288)</f>
        <v>0</v>
      </c>
      <c r="AH284" s="450">
        <f t="shared" ref="AH284" si="210">SUM(AH285:AH288)</f>
        <v>0</v>
      </c>
      <c r="AI284" s="450">
        <f t="shared" ref="AI284" si="211">SUM(AI285:AI288)</f>
        <v>0</v>
      </c>
      <c r="AJ284" s="450">
        <f t="shared" ref="AJ284" si="212">SUM(AJ285:AJ288)</f>
        <v>0</v>
      </c>
      <c r="AK284" s="564"/>
      <c r="AL284" s="564"/>
      <c r="AM284" s="564"/>
      <c r="AN284" s="620"/>
      <c r="AO284" s="283"/>
      <c r="AQ284" s="623" t="s">
        <v>871</v>
      </c>
      <c r="AR284" s="624" t="s">
        <v>864</v>
      </c>
      <c r="AS284" s="624" t="s">
        <v>865</v>
      </c>
    </row>
    <row r="285" spans="1:45" ht="49.5" customHeight="1">
      <c r="A285" s="946" t="s">
        <v>952</v>
      </c>
      <c r="B285" s="22" t="s">
        <v>730</v>
      </c>
      <c r="C285" s="306" t="s">
        <v>731</v>
      </c>
      <c r="D285" s="565"/>
      <c r="E285" s="565"/>
      <c r="F285" s="565"/>
      <c r="G285" s="565"/>
      <c r="H285" s="565"/>
      <c r="I285" s="565"/>
      <c r="J285" s="565"/>
      <c r="K285" s="565"/>
      <c r="L285" s="565"/>
      <c r="M285" s="565"/>
      <c r="N285" s="565"/>
      <c r="O285" s="565"/>
      <c r="P285" s="565"/>
      <c r="Q285" s="565"/>
      <c r="R285" s="565"/>
      <c r="S285" s="565"/>
      <c r="T285" s="565"/>
      <c r="U285" s="565"/>
      <c r="V285" s="565"/>
      <c r="W285" s="565"/>
      <c r="X285" s="565"/>
      <c r="Y285" s="565"/>
      <c r="Z285" s="565"/>
      <c r="AA285" s="565"/>
      <c r="AB285" s="245"/>
      <c r="AC285" s="246"/>
      <c r="AD285" s="246"/>
      <c r="AE285" s="246"/>
      <c r="AF285" s="246"/>
      <c r="AG285" s="246"/>
      <c r="AH285" s="246"/>
      <c r="AI285" s="272"/>
      <c r="AJ285" s="280">
        <f t="shared" ref="AJ285:AJ286" si="213">SUM(D285:AA285)</f>
        <v>0</v>
      </c>
      <c r="AK285" s="791" t="str">
        <f>CONCATENATE(IF(D285&gt;D280," * F03-15 for Age "&amp;D4&amp;" "&amp;D5&amp;" is more than F03-13"&amp;CHAR(10),""),IF(E285&gt;E280," * F03-15 for Age "&amp;D4&amp;" "&amp;E5&amp;" is more than F03-13"&amp;CHAR(10),""),IF(F285&gt;F280," * F03-15 for Age "&amp;F4&amp;" "&amp;F5&amp;" is more than F03-13"&amp;CHAR(10),""),IF(G285&gt;G280," * F03-15 for Age "&amp;F4&amp;" "&amp;G5&amp;" is more than F03-13"&amp;CHAR(10),""),IF(H285&gt;H280," * F03-15 for Age "&amp;H4&amp;" "&amp;H5&amp;" is more than F03-13"&amp;CHAR(10),""),IF(I285&gt;I280," * F03-15 for Age "&amp;H4&amp;" "&amp;I5&amp;" is more than F03-13"&amp;CHAR(10),""),IF(J285&gt;J280," * F03-15 for Age "&amp;J4&amp;" "&amp;J5&amp;" is more than F03-13"&amp;CHAR(10),""),IF(K285&gt;K280," * F03-15 for Age "&amp;J4&amp;" "&amp;K5&amp;" is more than F03-13"&amp;CHAR(10),""),IF(L285&gt;L280," * F03-15 for Age "&amp;L4&amp;" "&amp;L5&amp;" is more than F03-13"&amp;CHAR(10),""),IF(M285&gt;M280," * F03-15 for Age "&amp;L4&amp;" "&amp;M5&amp;" is more than F03-13"&amp;CHAR(10),""),IF(N285&gt;N280," * F03-15 for Age "&amp;N4&amp;" "&amp;N5&amp;" is more than F03-13"&amp;CHAR(10),""),IF(O285&gt;O280," * F03-15 for Age "&amp;N4&amp;" "&amp;O5&amp;" is more than F03-13"&amp;CHAR(10),""),IF(P285&gt;P280," * F03-15 for Age "&amp;P4&amp;" "&amp;P5&amp;" is more than F03-13"&amp;CHAR(10),""),IF(Q285&gt;Q280," * F03-15 for Age "&amp;P4&amp;" "&amp;Q5&amp;" is more than F03-13"&amp;CHAR(10),""),IF(R285&gt;R280," * F03-15 for Age "&amp;R4&amp;" "&amp;R5&amp;" is more than F03-13"&amp;CHAR(10),""),IF(S285&gt;S280," * F03-15 for Age "&amp;R4&amp;" "&amp;S5&amp;" is more than F03-13"&amp;CHAR(10),""),IF(T285&gt;T280," * F03-15 for Age "&amp;T4&amp;" "&amp;T5&amp;" is more than F03-13"&amp;CHAR(10),""),IF(U285&gt;U280," * F03-15 for Age "&amp;T4&amp;" "&amp;U5&amp;" is more than F03-13"&amp;CHAR(10),""),IF(V285&gt;V280," * F03-15 for Age "&amp;V4&amp;" "&amp;V5&amp;" is more than F03-13"&amp;CHAR(10),""),IF(W285&gt;W280," * F03-15 for Age "&amp;V4&amp;" "&amp;W5&amp;" is more than F03-13"&amp;CHAR(10),""),IF(X285&gt;X280," * F03-15 for Age "&amp;X4&amp;" "&amp;X5&amp;" is more than F03-13"&amp;CHAR(10),""),IF(Y285&gt;Y280," * F03-15 for Age "&amp;X4&amp;" "&amp;Y5&amp;" is more than F03-13"&amp;CHAR(10),""),IF(Z285&gt;Z280," * F03-15 for Age "&amp;Z4&amp;" "&amp;Z5&amp;" is more than F03-13"&amp;CHAR(10),""),IF(AA285&gt;AA280," * F03-15 for Age "&amp;Z4&amp;" "&amp;AA5&amp;" is more than F03-13"&amp;CHAR(10),""))</f>
        <v/>
      </c>
      <c r="AL285" s="825" t="str">
        <f>CONCATENATE(AK285,AK286,AK287,AK288)</f>
        <v/>
      </c>
      <c r="AM285" s="110"/>
      <c r="AN285" s="816" t="str">
        <f>CONCATENATE(AM285,AM286,AM287,AM288)</f>
        <v/>
      </c>
      <c r="AO285" s="283"/>
      <c r="AQ285" s="623" t="s">
        <v>872</v>
      </c>
      <c r="AR285" s="624" t="s">
        <v>867</v>
      </c>
      <c r="AS285" s="624" t="s">
        <v>868</v>
      </c>
    </row>
    <row r="286" spans="1:45" ht="52.5" customHeight="1" thickBot="1">
      <c r="A286" s="948"/>
      <c r="B286" s="194" t="s">
        <v>718</v>
      </c>
      <c r="C286" s="19" t="s">
        <v>733</v>
      </c>
      <c r="D286" s="565"/>
      <c r="E286" s="565"/>
      <c r="F286" s="565"/>
      <c r="G286" s="565"/>
      <c r="H286" s="565"/>
      <c r="I286" s="565"/>
      <c r="J286" s="565"/>
      <c r="K286" s="565"/>
      <c r="L286" s="565"/>
      <c r="M286" s="565"/>
      <c r="N286" s="565"/>
      <c r="O286" s="565"/>
      <c r="P286" s="565"/>
      <c r="Q286" s="565"/>
      <c r="R286" s="565"/>
      <c r="S286" s="565"/>
      <c r="T286" s="565"/>
      <c r="U286" s="565"/>
      <c r="V286" s="565"/>
      <c r="W286" s="565"/>
      <c r="X286" s="565"/>
      <c r="Y286" s="565"/>
      <c r="Z286" s="565"/>
      <c r="AA286" s="565"/>
      <c r="AB286" s="240"/>
      <c r="AC286" s="727"/>
      <c r="AD286" s="727"/>
      <c r="AE286" s="727"/>
      <c r="AF286" s="727"/>
      <c r="AG286" s="727"/>
      <c r="AH286" s="727"/>
      <c r="AI286" s="268"/>
      <c r="AJ286" s="281">
        <f t="shared" si="213"/>
        <v>0</v>
      </c>
      <c r="AK286" s="791" t="str">
        <f>CONCATENATE(IF(D286&gt;D281," * F03-16 for Age "&amp;D5&amp;" "&amp;D6&amp;" is more than F03-14"&amp;CHAR(10),""),IF(E286&gt;E281," * F03-16 for Age "&amp;D5&amp;" "&amp;E6&amp;" is more than F03-14"&amp;CHAR(10),""),IF(F286&gt;F281," * F03-16 for Age "&amp;F5&amp;" "&amp;F6&amp;" is more than F03-14"&amp;CHAR(10),""),IF(G286&gt;G281," * F03-16 for Age "&amp;F5&amp;" "&amp;G6&amp;" is more than F03-14"&amp;CHAR(10),""),IF(H286&gt;H281," * F03-16 for Age "&amp;H5&amp;" "&amp;H6&amp;" is more than F03-14"&amp;CHAR(10),""),IF(I286&gt;I281," * F03-16 for Age "&amp;H5&amp;" "&amp;I6&amp;" is more than F03-14"&amp;CHAR(10),""),IF(J286&gt;J281," * F03-16 for Age "&amp;J5&amp;" "&amp;J6&amp;" is more than F03-14"&amp;CHAR(10),""),IF(K286&gt;K281," * F03-16 for Age "&amp;J5&amp;" "&amp;K6&amp;" is more than F03-14"&amp;CHAR(10),""),IF(L286&gt;L281," * F03-16 for Age "&amp;L5&amp;" "&amp;L6&amp;" is more than F03-14"&amp;CHAR(10),""),IF(M286&gt;M281," * F03-16 for Age "&amp;L5&amp;" "&amp;M6&amp;" is more than F03-14"&amp;CHAR(10),""),IF(N286&gt;N281," * F03-16 for Age "&amp;N5&amp;" "&amp;N6&amp;" is more than F03-14"&amp;CHAR(10),""),IF(O286&gt;O281," * F03-16 for Age "&amp;N5&amp;" "&amp;O6&amp;" is more than F03-14"&amp;CHAR(10),""),IF(P286&gt;P281," * F03-16 for Age "&amp;P5&amp;" "&amp;P6&amp;" is more than F03-14"&amp;CHAR(10),""),IF(Q286&gt;Q281," * F03-16 for Age "&amp;P5&amp;" "&amp;Q6&amp;" is more than F03-14"&amp;CHAR(10),""),IF(R286&gt;R281," * F03-16 for Age "&amp;R5&amp;" "&amp;R6&amp;" is more than F03-14"&amp;CHAR(10),""),IF(S286&gt;S281," * F03-16 for Age "&amp;R5&amp;" "&amp;S6&amp;" is more than F03-14"&amp;CHAR(10),""),IF(T286&gt;T281," * F03-16 for Age "&amp;T5&amp;" "&amp;T6&amp;" is more than F03-14"&amp;CHAR(10),""),IF(U286&gt;U281," * F03-16 for Age "&amp;T5&amp;" "&amp;U6&amp;" is more than F03-14"&amp;CHAR(10),""),IF(V286&gt;V281," * F03-16 for Age "&amp;V5&amp;" "&amp;V6&amp;" is more than F03-14"&amp;CHAR(10),""),IF(W286&gt;W281," * F03-16 for Age "&amp;V5&amp;" "&amp;W6&amp;" is more than F03-14"&amp;CHAR(10),""),IF(X286&gt;X281," * F03-16 for Age "&amp;X5&amp;" "&amp;X6&amp;" is more than F03-14"&amp;CHAR(10),""),IF(Y286&gt;Y281," * F03-16 for Age "&amp;X5&amp;" "&amp;Y6&amp;" is more than F03-14"&amp;CHAR(10),""),IF(Z286&gt;Z281," * F03-16 for Age "&amp;Z5&amp;" "&amp;Z6&amp;" is more than F03-14"&amp;CHAR(10),""),IF(AA286&gt;AA281," * F03-16 for Age "&amp;Z5&amp;" "&amp;AA6&amp;" is more than F03-14"&amp;CHAR(10),""))</f>
        <v/>
      </c>
      <c r="AL286" s="826"/>
      <c r="AM286" s="113"/>
      <c r="AN286" s="817"/>
      <c r="AO286" s="283"/>
      <c r="AQ286" s="623" t="s">
        <v>863</v>
      </c>
      <c r="AR286" s="624" t="s">
        <v>870</v>
      </c>
      <c r="AS286" s="624" t="s">
        <v>861</v>
      </c>
    </row>
    <row r="287" spans="1:45" ht="38.450000000000003" customHeight="1">
      <c r="A287" s="946" t="s">
        <v>953</v>
      </c>
      <c r="B287" s="42" t="s">
        <v>736</v>
      </c>
      <c r="C287" s="18" t="s">
        <v>737</v>
      </c>
      <c r="D287" s="568"/>
      <c r="E287" s="569"/>
      <c r="F287" s="569"/>
      <c r="G287" s="569"/>
      <c r="H287" s="569"/>
      <c r="I287" s="569"/>
      <c r="J287" s="569"/>
      <c r="K287" s="569"/>
      <c r="L287" s="569"/>
      <c r="M287" s="569"/>
      <c r="N287" s="569"/>
      <c r="O287" s="569"/>
      <c r="P287" s="569"/>
      <c r="Q287" s="569"/>
      <c r="R287" s="569"/>
      <c r="S287" s="569"/>
      <c r="T287" s="569"/>
      <c r="U287" s="569"/>
      <c r="V287" s="569"/>
      <c r="W287" s="569"/>
      <c r="X287" s="569"/>
      <c r="Y287" s="569"/>
      <c r="Z287" s="569"/>
      <c r="AA287" s="592"/>
      <c r="AB287" s="240"/>
      <c r="AC287" s="727"/>
      <c r="AD287" s="727"/>
      <c r="AE287" s="727"/>
      <c r="AF287" s="727"/>
      <c r="AG287" s="727"/>
      <c r="AH287" s="727"/>
      <c r="AI287" s="268"/>
      <c r="AJ287" s="273">
        <f t="shared" si="180"/>
        <v>0</v>
      </c>
      <c r="AK287" s="274" t="str">
        <f>CONCATENATE(IF(D287&gt;D282," * F03-03 for Age "&amp;D6&amp;" "&amp;D7&amp;" is more than F03-01"&amp;CHAR(10),""),IF(E287&gt;E282," * F03-03 for Age "&amp;D6&amp;" "&amp;E7&amp;" is more than F03-01"&amp;CHAR(10),""),IF(F287&gt;F282," * F03-03 for Age "&amp;F6&amp;" "&amp;F7&amp;" is more than F03-01"&amp;CHAR(10),""),IF(G287&gt;G282," * F03-03 for Age "&amp;F6&amp;" "&amp;G7&amp;" is more than F03-01"&amp;CHAR(10),""),IF(H287&gt;H282," * F03-03 for Age "&amp;H6&amp;" "&amp;H7&amp;" is more than F03-01"&amp;CHAR(10),""),IF(I287&gt;I282," * F03-03 for Age "&amp;H6&amp;" "&amp;I7&amp;" is more than F03-01"&amp;CHAR(10),""),IF(J287&gt;J282," * F03-03 for Age "&amp;J6&amp;" "&amp;J7&amp;" is more than F03-01"&amp;CHAR(10),""),IF(K287&gt;K282," * F03-03 for Age "&amp;J6&amp;" "&amp;K7&amp;" is more than F03-01"&amp;CHAR(10),""),IF(L287&gt;L282," * F03-03 for Age "&amp;L6&amp;" "&amp;L7&amp;" is more than F03-01"&amp;CHAR(10),""),IF(M287&gt;M282," * F03-03 for Age "&amp;L6&amp;" "&amp;M7&amp;" is more than F03-01"&amp;CHAR(10),""),IF(N287&gt;N282," * F03-03 for Age "&amp;N6&amp;" "&amp;N7&amp;" is more than F03-01"&amp;CHAR(10),""),IF(O287&gt;O282," * F03-03 for Age "&amp;N6&amp;" "&amp;O7&amp;" is more than F03-01"&amp;CHAR(10),""),IF(P287&gt;P282," * F03-03 for Age "&amp;P6&amp;" "&amp;P7&amp;" is more than F03-01"&amp;CHAR(10),""),IF(Q287&gt;Q282," * F03-03 for Age "&amp;P6&amp;" "&amp;Q7&amp;" is more than F03-01"&amp;CHAR(10),""),IF(R287&gt;R282," * F03-03 for Age "&amp;R6&amp;" "&amp;R7&amp;" is more than F03-01"&amp;CHAR(10),""),IF(S287&gt;S282," * F03-03 for Age "&amp;R6&amp;" "&amp;S7&amp;" is more than F03-01"&amp;CHAR(10),""),IF(T287&gt;T282," * F03-03 for Age "&amp;T6&amp;" "&amp;T7&amp;" is more than F03-01"&amp;CHAR(10),""),IF(U287&gt;U282," * F03-03 for Age "&amp;T6&amp;" "&amp;U7&amp;" is more than F03-01"&amp;CHAR(10),""),IF(V287&gt;V282," * F03-03 for Age "&amp;V6&amp;" "&amp;V7&amp;" is more than F03-01"&amp;CHAR(10),""),IF(W287&gt;W282," * F03-03 for Age "&amp;V6&amp;" "&amp;W7&amp;" is more than F03-01"&amp;CHAR(10),""),IF(X287&gt;X282," * F03-03 for Age "&amp;X6&amp;" "&amp;X7&amp;" is more than F03-01"&amp;CHAR(10),""),IF(Y287&gt;Y282," * F03-03 for Age "&amp;X6&amp;" "&amp;Y7&amp;" is more than F03-01"&amp;CHAR(10),""),IF(Z287&gt;Z282," * F03-03 for Age "&amp;Z6&amp;" "&amp;Z7&amp;" is more than F03-01"&amp;CHAR(10),""),IF(AA287&gt;AA282," * F03-03 for Age "&amp;Z6&amp;" "&amp;AA7&amp;" is more than F03-01"&amp;CHAR(10),""))</f>
        <v/>
      </c>
      <c r="AL287" s="826"/>
      <c r="AM287" s="113"/>
      <c r="AN287" s="817"/>
      <c r="AO287" s="283">
        <v>102</v>
      </c>
      <c r="AQ287" s="623" t="s">
        <v>866</v>
      </c>
      <c r="AR287" s="624" t="s">
        <v>871</v>
      </c>
      <c r="AS287" s="624" t="s">
        <v>864</v>
      </c>
    </row>
    <row r="288" spans="1:45" ht="45.75" customHeight="1" thickBot="1">
      <c r="A288" s="948"/>
      <c r="B288" s="194" t="s">
        <v>725</v>
      </c>
      <c r="C288" s="19" t="s">
        <v>739</v>
      </c>
      <c r="D288" s="566"/>
      <c r="E288" s="567"/>
      <c r="F288" s="567"/>
      <c r="G288" s="567"/>
      <c r="H288" s="567"/>
      <c r="I288" s="567"/>
      <c r="J288" s="567"/>
      <c r="K288" s="567"/>
      <c r="L288" s="567"/>
      <c r="M288" s="567"/>
      <c r="N288" s="567"/>
      <c r="O288" s="567"/>
      <c r="P288" s="567"/>
      <c r="Q288" s="567"/>
      <c r="R288" s="567"/>
      <c r="S288" s="567"/>
      <c r="T288" s="567"/>
      <c r="U288" s="567"/>
      <c r="V288" s="567"/>
      <c r="W288" s="567"/>
      <c r="X288" s="567"/>
      <c r="Y288" s="567"/>
      <c r="Z288" s="567"/>
      <c r="AA288" s="591"/>
      <c r="AB288" s="589"/>
      <c r="AC288" s="590"/>
      <c r="AD288" s="590"/>
      <c r="AE288" s="590"/>
      <c r="AF288" s="590"/>
      <c r="AG288" s="590"/>
      <c r="AH288" s="590"/>
      <c r="AI288" s="618"/>
      <c r="AJ288" s="281">
        <f t="shared" si="180"/>
        <v>0</v>
      </c>
      <c r="AK288" s="274" t="str">
        <f>CONCATENATE(IF(D288&gt;D283," * F03-04 for Age "&amp;D6&amp;" "&amp;D7&amp;" is more than F03-02"&amp;CHAR(10),""),IF(E288&gt;E283," * F03-04 for Age "&amp;D6&amp;" "&amp;E7&amp;" is more than F03-02"&amp;CHAR(10),""),IF(F288&gt;F283," * F03-04 for Age "&amp;F6&amp;" "&amp;F7&amp;" is more than F03-02"&amp;CHAR(10),""),IF(G288&gt;G283," * F03-04 for Age "&amp;F6&amp;" "&amp;G7&amp;" is more than F03-02"&amp;CHAR(10),""),IF(H288&gt;H283," * F03-04 for Age "&amp;H6&amp;" "&amp;H7&amp;" is more than F03-02"&amp;CHAR(10),""),IF(I288&gt;I283," * F03-04 for Age "&amp;H6&amp;" "&amp;I7&amp;" is more than F03-02"&amp;CHAR(10),""),IF(J288&gt;J283," * F03-04 for Age "&amp;J6&amp;" "&amp;J7&amp;" is more than F03-02"&amp;CHAR(10),""),IF(K288&gt;K283," * F03-04 for Age "&amp;J6&amp;" "&amp;K7&amp;" is more than F03-02"&amp;CHAR(10),""),IF(L288&gt;L283," * F03-04 for Age "&amp;L6&amp;" "&amp;L7&amp;" is more than F03-02"&amp;CHAR(10),""),IF(M288&gt;M283," * F03-04 for Age "&amp;L6&amp;" "&amp;M7&amp;" is more than F03-02"&amp;CHAR(10),""),IF(N288&gt;N283," * F03-04 for Age "&amp;N6&amp;" "&amp;N7&amp;" is more than F03-02"&amp;CHAR(10),""),IF(O288&gt;O283," * F03-04 for Age "&amp;N6&amp;" "&amp;O7&amp;" is more than F03-02"&amp;CHAR(10),""),IF(P288&gt;P283," * F03-04 for Age "&amp;P6&amp;" "&amp;P7&amp;" is more than F03-02"&amp;CHAR(10),""),IF(Q288&gt;Q283," * F03-04 for Age "&amp;P6&amp;" "&amp;Q7&amp;" is more than F03-02"&amp;CHAR(10),""),IF(R288&gt;R283," * F03-04 for Age "&amp;R6&amp;" "&amp;R7&amp;" is more than F03-02"&amp;CHAR(10),""),IF(S288&gt;S283," * F03-04 for Age "&amp;R6&amp;" "&amp;S7&amp;" is more than F03-02"&amp;CHAR(10),""),IF(T288&gt;T283," * F03-04 for Age "&amp;T6&amp;" "&amp;T7&amp;" is more than F03-02"&amp;CHAR(10),""),IF(U288&gt;U283," * F03-04 for Age "&amp;T6&amp;" "&amp;U7&amp;" is more than F03-02"&amp;CHAR(10),""),IF(V288&gt;V283," * F03-04 for Age "&amp;V6&amp;" "&amp;V7&amp;" is more than F03-02"&amp;CHAR(10),""),IF(W288&gt;W283," * F03-04 for Age "&amp;V6&amp;" "&amp;W7&amp;" is more than F03-02"&amp;CHAR(10),""),IF(X288&gt;X283," * F03-04 for Age "&amp;X6&amp;" "&amp;X7&amp;" is more than F03-02"&amp;CHAR(10),""),IF(Y288&gt;Y283," * F03-04 for Age "&amp;X6&amp;" "&amp;Y7&amp;" is more than F03-02"&amp;CHAR(10),""),IF(Z288&gt;Z283," * F03-04 for Age "&amp;Z6&amp;" "&amp;Z7&amp;" is more than F03-02"&amp;CHAR(10),""),IF(AA288&gt;AA283," * F03-04 for Age "&amp;Z6&amp;" "&amp;AA7&amp;" is more than F03-02"&amp;CHAR(10),""),IF(AJ288&gt;AJ283," * Total F03-04 is more than Total F03-02"&amp;CHAR(10),""))</f>
        <v/>
      </c>
      <c r="AL288" s="827"/>
      <c r="AM288" s="113"/>
      <c r="AN288" s="818"/>
      <c r="AO288" s="283">
        <v>103</v>
      </c>
      <c r="AQ288" s="623" t="s">
        <v>869</v>
      </c>
      <c r="AR288" s="624" t="s">
        <v>872</v>
      </c>
      <c r="AS288" s="624" t="s">
        <v>867</v>
      </c>
    </row>
    <row r="289" spans="1:45" ht="28.5" thickBot="1">
      <c r="A289" s="842" t="s">
        <v>972</v>
      </c>
      <c r="B289" s="834"/>
      <c r="C289" s="834"/>
      <c r="D289" s="836"/>
      <c r="E289" s="836"/>
      <c r="F289" s="836"/>
      <c r="G289" s="836"/>
      <c r="H289" s="836"/>
      <c r="I289" s="836"/>
      <c r="J289" s="836"/>
      <c r="K289" s="836"/>
      <c r="L289" s="836"/>
      <c r="M289" s="836"/>
      <c r="N289" s="836"/>
      <c r="O289" s="836"/>
      <c r="P289" s="836"/>
      <c r="Q289" s="836"/>
      <c r="R289" s="836"/>
      <c r="S289" s="836"/>
      <c r="T289" s="836"/>
      <c r="U289" s="836"/>
      <c r="V289" s="836"/>
      <c r="W289" s="836"/>
      <c r="X289" s="836"/>
      <c r="Y289" s="836"/>
      <c r="Z289" s="836"/>
      <c r="AA289" s="836"/>
      <c r="AB289" s="843"/>
      <c r="AC289" s="843"/>
      <c r="AD289" s="843"/>
      <c r="AE289" s="843"/>
      <c r="AF289" s="843"/>
      <c r="AG289" s="843"/>
      <c r="AH289" s="843"/>
      <c r="AI289" s="843"/>
      <c r="AJ289" s="834"/>
      <c r="AK289" s="834"/>
      <c r="AL289" s="834"/>
      <c r="AM289" s="834"/>
      <c r="AN289" s="844"/>
      <c r="AO289" s="283">
        <v>112</v>
      </c>
      <c r="AQ289" s="623" t="s">
        <v>862</v>
      </c>
      <c r="AR289" s="624" t="s">
        <v>863</v>
      </c>
      <c r="AS289" s="624" t="s">
        <v>870</v>
      </c>
    </row>
    <row r="290" spans="1:45" ht="26.25" customHeight="1">
      <c r="A290" s="979" t="s">
        <v>3</v>
      </c>
      <c r="B290" s="1004" t="s">
        <v>4</v>
      </c>
      <c r="C290" s="890" t="s">
        <v>5</v>
      </c>
      <c r="D290" s="981"/>
      <c r="E290" s="982"/>
      <c r="F290" s="982"/>
      <c r="G290" s="982"/>
      <c r="H290" s="982"/>
      <c r="I290" s="982"/>
      <c r="J290" s="982"/>
      <c r="K290" s="982"/>
      <c r="L290" s="908" t="s">
        <v>892</v>
      </c>
      <c r="M290" s="909"/>
      <c r="N290" s="909" t="s">
        <v>893</v>
      </c>
      <c r="O290" s="909"/>
      <c r="P290" s="909" t="s">
        <v>894</v>
      </c>
      <c r="Q290" s="909"/>
      <c r="R290" s="909" t="s">
        <v>895</v>
      </c>
      <c r="S290" s="909"/>
      <c r="T290" s="909" t="s">
        <v>896</v>
      </c>
      <c r="U290" s="909"/>
      <c r="V290" s="909" t="s">
        <v>897</v>
      </c>
      <c r="W290" s="909"/>
      <c r="X290" s="909" t="s">
        <v>898</v>
      </c>
      <c r="Y290" s="909"/>
      <c r="Z290" s="909" t="s">
        <v>899</v>
      </c>
      <c r="AA290" s="845"/>
      <c r="AB290" s="845" t="s">
        <v>900</v>
      </c>
      <c r="AC290" s="846"/>
      <c r="AD290" s="845" t="s">
        <v>901</v>
      </c>
      <c r="AE290" s="846"/>
      <c r="AF290" s="845" t="s">
        <v>902</v>
      </c>
      <c r="AG290" s="846"/>
      <c r="AH290" s="845" t="s">
        <v>903</v>
      </c>
      <c r="AI290" s="846"/>
      <c r="AJ290" s="971" t="s">
        <v>904</v>
      </c>
      <c r="AK290" s="923" t="s">
        <v>905</v>
      </c>
      <c r="AL290" s="911" t="s">
        <v>906</v>
      </c>
      <c r="AM290" s="922" t="s">
        <v>907</v>
      </c>
      <c r="AN290" s="888" t="s">
        <v>907</v>
      </c>
      <c r="AO290" s="283">
        <v>113</v>
      </c>
      <c r="AQ290" s="623" t="s">
        <v>865</v>
      </c>
      <c r="AR290" s="624" t="s">
        <v>866</v>
      </c>
      <c r="AS290" s="624" t="s">
        <v>871</v>
      </c>
    </row>
    <row r="291" spans="1:45" ht="27" customHeight="1" thickBot="1">
      <c r="A291" s="945"/>
      <c r="B291" s="1005"/>
      <c r="C291" s="891"/>
      <c r="D291" s="983"/>
      <c r="E291" s="984"/>
      <c r="F291" s="984"/>
      <c r="G291" s="984"/>
      <c r="H291" s="984"/>
      <c r="I291" s="984"/>
      <c r="J291" s="984"/>
      <c r="K291" s="984"/>
      <c r="L291" s="746" t="s">
        <v>908</v>
      </c>
      <c r="M291" s="82" t="s">
        <v>909</v>
      </c>
      <c r="N291" s="82" t="s">
        <v>908</v>
      </c>
      <c r="O291" s="82" t="s">
        <v>909</v>
      </c>
      <c r="P291" s="82" t="s">
        <v>908</v>
      </c>
      <c r="Q291" s="82" t="s">
        <v>909</v>
      </c>
      <c r="R291" s="82" t="s">
        <v>908</v>
      </c>
      <c r="S291" s="82" t="s">
        <v>909</v>
      </c>
      <c r="T291" s="82" t="s">
        <v>908</v>
      </c>
      <c r="U291" s="82" t="s">
        <v>909</v>
      </c>
      <c r="V291" s="82" t="s">
        <v>908</v>
      </c>
      <c r="W291" s="82" t="s">
        <v>909</v>
      </c>
      <c r="X291" s="82" t="s">
        <v>908</v>
      </c>
      <c r="Y291" s="82" t="s">
        <v>909</v>
      </c>
      <c r="Z291" s="82" t="s">
        <v>908</v>
      </c>
      <c r="AA291" s="373" t="s">
        <v>909</v>
      </c>
      <c r="AB291" s="82" t="s">
        <v>908</v>
      </c>
      <c r="AC291" s="82" t="s">
        <v>909</v>
      </c>
      <c r="AD291" s="82" t="s">
        <v>908</v>
      </c>
      <c r="AE291" s="82" t="s">
        <v>909</v>
      </c>
      <c r="AF291" s="82" t="s">
        <v>908</v>
      </c>
      <c r="AG291" s="82" t="s">
        <v>909</v>
      </c>
      <c r="AH291" s="82" t="s">
        <v>908</v>
      </c>
      <c r="AI291" s="393" t="s">
        <v>909</v>
      </c>
      <c r="AJ291" s="972"/>
      <c r="AK291" s="924"/>
      <c r="AL291" s="912"/>
      <c r="AM291" s="922"/>
      <c r="AN291" s="889"/>
      <c r="AO291" s="283">
        <v>114</v>
      </c>
      <c r="AQ291" s="623" t="s">
        <v>868</v>
      </c>
      <c r="AR291" s="624" t="s">
        <v>869</v>
      </c>
      <c r="AS291" s="624" t="s">
        <v>872</v>
      </c>
    </row>
    <row r="292" spans="1:45" ht="26.25" customHeight="1">
      <c r="A292" s="894" t="s">
        <v>741</v>
      </c>
      <c r="B292" s="22" t="s">
        <v>50</v>
      </c>
      <c r="C292" s="306" t="s">
        <v>742</v>
      </c>
      <c r="D292" s="23"/>
      <c r="E292" s="24"/>
      <c r="F292" s="24"/>
      <c r="G292" s="24"/>
      <c r="H292" s="24"/>
      <c r="I292" s="24"/>
      <c r="J292" s="24"/>
      <c r="K292" s="24"/>
      <c r="L292" s="24"/>
      <c r="M292" s="25"/>
      <c r="N292" s="24"/>
      <c r="O292" s="25"/>
      <c r="P292" s="24"/>
      <c r="Q292" s="25"/>
      <c r="R292" s="24"/>
      <c r="S292" s="25"/>
      <c r="T292" s="24"/>
      <c r="U292" s="25"/>
      <c r="V292" s="24"/>
      <c r="W292" s="25"/>
      <c r="X292" s="585"/>
      <c r="Y292" s="25"/>
      <c r="Z292" s="601"/>
      <c r="AA292" s="351">
        <f>SUM(AC292,AE292,AG292,AI292)</f>
        <v>0</v>
      </c>
      <c r="AB292" s="602"/>
      <c r="AC292" s="83"/>
      <c r="AD292" s="585"/>
      <c r="AE292" s="83"/>
      <c r="AF292" s="585"/>
      <c r="AG292" s="83"/>
      <c r="AH292" s="585"/>
      <c r="AI292" s="252"/>
      <c r="AJ292" s="280">
        <f>SUM(D292:AA292)</f>
        <v>0</v>
      </c>
      <c r="AK292" s="385"/>
      <c r="AL292" s="822" t="str">
        <f>CONCATENATE(AK292,AK293,AK294,AK297,AK298,AK299,AK301,AK302,AK303,AK306,AK307,AK308,AK310,AK311,AK312,AK315,AK316,AK317,AK295,AK296,AK304,AK305,AK313,AK314,AK300,AK318,AK309)</f>
        <v/>
      </c>
      <c r="AM292" s="110"/>
      <c r="AN292" s="816" t="str">
        <f>CONCATENATE(AM292,AM293,AM294,AM297,AM298,AM299,AM301,AM302,AM303,AM306,AM307,AM308,AM310,AM311,AM312,AM315,AM316,AM317,AM300,AM295,AM296,AM304,AM305,AM309,AM313,AM314,AM318)</f>
        <v/>
      </c>
      <c r="AO292" s="283">
        <v>115</v>
      </c>
    </row>
    <row r="293" spans="1:45">
      <c r="A293" s="895"/>
      <c r="B293" s="26" t="s">
        <v>33</v>
      </c>
      <c r="C293" s="27" t="s">
        <v>745</v>
      </c>
      <c r="D293" s="28"/>
      <c r="E293" s="29"/>
      <c r="F293" s="29"/>
      <c r="G293" s="29"/>
      <c r="H293" s="29"/>
      <c r="I293" s="29"/>
      <c r="J293" s="29"/>
      <c r="K293" s="29"/>
      <c r="L293" s="29"/>
      <c r="M293" s="30"/>
      <c r="N293" s="29"/>
      <c r="O293" s="30"/>
      <c r="P293" s="29"/>
      <c r="Q293" s="30"/>
      <c r="R293" s="29"/>
      <c r="S293" s="30"/>
      <c r="T293" s="29"/>
      <c r="U293" s="30"/>
      <c r="V293" s="29"/>
      <c r="W293" s="30"/>
      <c r="X293" s="583"/>
      <c r="Y293" s="30"/>
      <c r="Z293" s="596"/>
      <c r="AA293" s="396">
        <f t="shared" ref="AA293:AA317" si="214">SUM(AC293,AE293,AG293,AI293)</f>
        <v>0</v>
      </c>
      <c r="AB293" s="597"/>
      <c r="AC293" s="87"/>
      <c r="AD293" s="583"/>
      <c r="AE293" s="87"/>
      <c r="AF293" s="583"/>
      <c r="AG293" s="87"/>
      <c r="AH293" s="583"/>
      <c r="AI293" s="253"/>
      <c r="AJ293" s="275">
        <f t="shared" ref="AJ293:AJ318" si="215">SUM(D293:AA293)</f>
        <v>0</v>
      </c>
      <c r="AK293" s="274" t="str">
        <f>CONCATENATE(IF(D295&lt;SUM(D296,D297,D298,D299)," * First Time Screening , Total CXCA Screening positive for Age "&amp;D6&amp;" "&amp;D7&amp;" should be greater than or equal to  the sum of (Cryotherapy , Leep , Thermocoagulation and Reffered for treatment)"&amp;CHAR(10),""),IF(E295&lt;SUM(E296,E297,E298,E299)," * First Time Screening , Total CXCA Screening positive for Age "&amp;D6&amp;" "&amp;E7&amp;" should be greater than or equal to  the sum of (Cryotherapy , Leep , Thermocoagulation and Reffered for treatment)"&amp;CHAR(10),""),IF(F295&lt;SUM(F296,F297,F298,F299)," * First Time Screening , Total CXCA Screening positive for Age "&amp;F6&amp;" "&amp;F7&amp;" should be greater than or equal to  the sum of (Cryotherapy , Leep , Thermocoagulation and Reffered for treatment)"&amp;CHAR(10),""),IF(G295&lt;SUM(G296,G297,G298,G299)," * First Time Screening , Total CXCA Screening positive for Age "&amp;F6&amp;" "&amp;G7&amp;" should be greater than or equal to  the sum of (Cryotherapy , Leep , Thermocoagulation and Reffered for treatment)"&amp;CHAR(10),""),IF(H295&lt;SUM(H296,H297,H298,H299)," * First Time Screening , Total CXCA Screening positive for Age "&amp;H6&amp;" "&amp;H7&amp;" should be greater than or equal to  the sum of (Cryotherapy , Leep , Thermocoagulation and Reffered for treatment)"&amp;CHAR(10),""),IF(I295&lt;SUM(I296,I297,I298,I299)," * First Time Screening , Total CXCA Screening positive for Age "&amp;H6&amp;" "&amp;I7&amp;" should be greater than or equal to  the sum of (Cryotherapy , Leep , Thermocoagulation and Reffered for treatment)"&amp;CHAR(10),""),IF(J295&lt;SUM(J296,J297,J298,J299)," * First Time Screening , Total CXCA Screening positive for Age "&amp;J6&amp;" "&amp;J7&amp;" should be greater than or equal to  the sum of (Cryotherapy , Leep , Thermocoagulation and Reffered for treatment)"&amp;CHAR(10),""),IF(K295&lt;SUM(K296,K297,K298,K299)," * First Time Screening , Total CXCA Screening positive for Age "&amp;J6&amp;" "&amp;K7&amp;" should be greater than or equal to  the sum of (Cryotherapy , Leep , Thermocoagulation and Reffered for treatment)"&amp;CHAR(10),""),IF(L295&lt;SUM(L296,L297,L298,L299)," * First Time Screening , Total CXCA Screening positive for Age "&amp;L6&amp;" "&amp;L7&amp;" should be greater than or equal to  the sum of (Cryotherapy , Leep , Thermocoagulation and Reffered for treatment)"&amp;CHAR(10),""),IF(M295&lt;SUM(M296,M297,M298,M299)," * First Time Screening , Total CXCA Screening positive for Age "&amp;L6&amp;" "&amp;M7&amp;" should be greater than or equal to  the sum of (Cryotherapy , Leep , Thermocoagulation and Reffered for treatment)"&amp;CHAR(10),""),IF(N295&lt;SUM(N296,N297,N298,N299)," * First Time Screening , Total CXCA Screening positive for Age "&amp;N6&amp;" "&amp;N7&amp;" should be greater than or equal to  the sum of (Cryotherapy , Leep , Thermocoagulation and Reffered for treatment)"&amp;CHAR(10),""),IF(O295&lt;SUM(O296,O297,O298,O299)," * First Time Screening , Total CXCA Screening positive for Age "&amp;N6&amp;" "&amp;O7&amp;" should be greater than or equal to  the sum of (Cryotherapy , Leep , Thermocoagulation and Reffered for treatment)"&amp;CHAR(10),""),IF(P295&lt;SUM(P296,P297,P298,P299)," * First Time Screening , Total CXCA Screening positive for Age "&amp;P6&amp;" "&amp;P7&amp;" should be greater than or equal to  the sum of (Cryotherapy , Leep , Thermocoagulation and Reffered for treatment)"&amp;CHAR(10),""),IF(Q295&lt;SUM(Q296,Q297,Q298,Q299)," * First Time Screening , Total CXCA Screening positive for Age "&amp;P6&amp;" "&amp;Q7&amp;" should be greater than or equal to  the sum of (Cryotherapy , Leep , Thermocoagulation and Reffered for treatment)"&amp;CHAR(10),""),IF(R295&lt;SUM(R296,R297,R298,R299)," * First Time Screening , Total CXCA Screening positive for Age "&amp;R6&amp;" "&amp;R7&amp;" should be greater than or equal to  the sum of (Cryotherapy , Leep , Thermocoagulation and Reffered for treatment)"&amp;CHAR(10),""),IF(S295&lt;SUM(S296,S297,S298,S299)," * First Time Screening , Total CXCA Screening positive for Age "&amp;R6&amp;" "&amp;S7&amp;" should be greater than or equal to  the sum of (Cryotherapy , Leep , Thermocoagulation and Reffered for treatment)"&amp;CHAR(10),""),IF(T295&lt;SUM(T296,T297,T298,T299)," * First Time Screening , Total CXCA Screening positive for Age "&amp;T6&amp;" "&amp;T7&amp;" should be greater than or equal to  the sum of (Cryotherapy , Leep , Thermocoagulation and Reffered for treatment)"&amp;CHAR(10),""),IF(U295&lt;SUM(U296,U297,U298,U299)," * First Time Screening , Total CXCA Screening positive for Age "&amp;T6&amp;" "&amp;U7&amp;" should be greater than or equal to  the sum of (Cryotherapy , Leep , Thermocoagulation and Reffered for treatment)"&amp;CHAR(10),""),IF(V295&lt;SUM(V296,V297,V298,V299)," * First Time Screening , Total CXCA Screening positive for Age "&amp;V6&amp;" "&amp;V7&amp;" should be greater than or equal to  the sum of (Cryotherapy , Leep , Thermocoagulation and Reffered for treatment)"&amp;CHAR(10),""),IF(W295&lt;SUM(W296,W297,W298,W299)," * First Time Screening , Total CXCA Screening positive for Age "&amp;V6&amp;" "&amp;W7&amp;" should be greater than or equal to  the sum of (Cryotherapy , Leep , Thermocoagulation and Reffered for treatment)"&amp;CHAR(10),""),IF(X295&lt;SUM(X296,X297,X298,X299)," * First Time Screening , Total CXCA Screening positive for Age "&amp;X6&amp;" "&amp;X7&amp;" should be greater than or equal to  the sum of (Cryotherapy , Leep , Thermocoagulation and Reffered for treatment)"&amp;CHAR(10),""),IF(Y295&lt;SUM(Y296,Y297,Y298,Y299)," * First Time Screening , Total CXCA Screening positive for Age "&amp;X6&amp;" "&amp;Y7&amp;" should be greater than or equal to  the sum of (Cryotherapy , Leep , Thermocoagulation and Reffered for treatment)"&amp;CHAR(10),""),IF(Z295&lt;SUM(Z296,Z297,Z298,Z299)," * First Time Screening , Total CXCA Screening positive for Age "&amp;Z6&amp;" "&amp;Z7&amp;" should be greater than or equal to  the sum of (Cryotherapy , Leep , Thermocoagulation and Reffered for treatment)"&amp;CHAR(10),""),IF(AA295&lt;SUM(AA296,AA297,AA298,AA299)," * First Time Screening , Total CXCA Screening positive for Age "&amp;Z6&amp;" "&amp;AA7&amp;" should be greater than or equal to  the sum of (Cryotherapy , Leep , Thermocoagulation and Reffered for treatment)"&amp;CHAR(10),""))</f>
        <v/>
      </c>
      <c r="AL293" s="823"/>
      <c r="AM293" s="113"/>
      <c r="AN293" s="817"/>
      <c r="AO293" s="283">
        <v>116</v>
      </c>
    </row>
    <row r="294" spans="1:45">
      <c r="A294" s="895"/>
      <c r="B294" s="26" t="s">
        <v>747</v>
      </c>
      <c r="C294" s="27" t="s">
        <v>748</v>
      </c>
      <c r="D294" s="28"/>
      <c r="E294" s="29"/>
      <c r="F294" s="29"/>
      <c r="G294" s="29"/>
      <c r="H294" s="29"/>
      <c r="I294" s="29"/>
      <c r="J294" s="29"/>
      <c r="K294" s="29"/>
      <c r="L294" s="29"/>
      <c r="M294" s="30"/>
      <c r="N294" s="29"/>
      <c r="O294" s="30"/>
      <c r="P294" s="29"/>
      <c r="Q294" s="30"/>
      <c r="R294" s="29"/>
      <c r="S294" s="30"/>
      <c r="T294" s="29"/>
      <c r="U294" s="30"/>
      <c r="V294" s="29"/>
      <c r="W294" s="30"/>
      <c r="X294" s="583"/>
      <c r="Y294" s="30"/>
      <c r="Z294" s="596"/>
      <c r="AA294" s="396">
        <f t="shared" si="214"/>
        <v>0</v>
      </c>
      <c r="AB294" s="597"/>
      <c r="AC294" s="87"/>
      <c r="AD294" s="583"/>
      <c r="AE294" s="87"/>
      <c r="AF294" s="583"/>
      <c r="AG294" s="87"/>
      <c r="AH294" s="583"/>
      <c r="AI294" s="253"/>
      <c r="AJ294" s="275">
        <f t="shared" si="215"/>
        <v>0</v>
      </c>
      <c r="AK294" s="274"/>
      <c r="AL294" s="823"/>
      <c r="AM294" s="113"/>
      <c r="AN294" s="817"/>
      <c r="AO294" s="283">
        <v>117</v>
      </c>
    </row>
    <row r="295" spans="1:45" ht="31.5" thickBot="1">
      <c r="A295" s="895"/>
      <c r="B295" s="571" t="s">
        <v>750</v>
      </c>
      <c r="C295" s="187" t="s">
        <v>751</v>
      </c>
      <c r="D295" s="50"/>
      <c r="E295" s="51"/>
      <c r="F295" s="51"/>
      <c r="G295" s="51"/>
      <c r="H295" s="51"/>
      <c r="I295" s="51"/>
      <c r="J295" s="51"/>
      <c r="K295" s="51"/>
      <c r="L295" s="51"/>
      <c r="M295" s="748">
        <f>M294+M293</f>
        <v>0</v>
      </c>
      <c r="N295" s="749"/>
      <c r="O295" s="748">
        <f>O294+O293</f>
        <v>0</v>
      </c>
      <c r="P295" s="51"/>
      <c r="Q295" s="748">
        <f>Q294+Q293</f>
        <v>0</v>
      </c>
      <c r="R295" s="51"/>
      <c r="S295" s="748">
        <f>S294+S293</f>
        <v>0</v>
      </c>
      <c r="T295" s="51"/>
      <c r="U295" s="748">
        <f>U294+U293</f>
        <v>0</v>
      </c>
      <c r="V295" s="51"/>
      <c r="W295" s="748">
        <f>W294+W293</f>
        <v>0</v>
      </c>
      <c r="X295" s="584"/>
      <c r="Y295" s="748">
        <f>Y294+Y293</f>
        <v>0</v>
      </c>
      <c r="Z295" s="599"/>
      <c r="AA295" s="750">
        <f t="shared" si="214"/>
        <v>0</v>
      </c>
      <c r="AB295" s="600"/>
      <c r="AC295" s="751">
        <f>AC294+AC293</f>
        <v>0</v>
      </c>
      <c r="AD295" s="584"/>
      <c r="AE295" s="751">
        <f>AE294+AE293</f>
        <v>0</v>
      </c>
      <c r="AF295" s="584"/>
      <c r="AG295" s="751">
        <f>AG294+AG293</f>
        <v>0</v>
      </c>
      <c r="AH295" s="584"/>
      <c r="AI295" s="752">
        <f>AI294+AI293</f>
        <v>0</v>
      </c>
      <c r="AJ295" s="275">
        <f t="shared" si="215"/>
        <v>0</v>
      </c>
      <c r="AK295" s="274"/>
      <c r="AL295" s="823"/>
      <c r="AM295" s="113"/>
      <c r="AN295" s="817"/>
      <c r="AO295" s="283">
        <v>118</v>
      </c>
    </row>
    <row r="296" spans="1:45" ht="26.25" customHeight="1">
      <c r="A296" s="894" t="s">
        <v>753</v>
      </c>
      <c r="B296" s="572" t="s">
        <v>754</v>
      </c>
      <c r="C296" s="18" t="s">
        <v>755</v>
      </c>
      <c r="D296" s="570"/>
      <c r="E296" s="313"/>
      <c r="F296" s="313"/>
      <c r="G296" s="313"/>
      <c r="H296" s="313"/>
      <c r="I296" s="313"/>
      <c r="J296" s="313"/>
      <c r="K296" s="313"/>
      <c r="L296" s="313"/>
      <c r="M296" s="555"/>
      <c r="N296" s="747"/>
      <c r="O296" s="555"/>
      <c r="P296" s="313"/>
      <c r="Q296" s="555"/>
      <c r="R296" s="313"/>
      <c r="S296" s="555"/>
      <c r="T296" s="313"/>
      <c r="U296" s="555"/>
      <c r="V296" s="313"/>
      <c r="W296" s="555"/>
      <c r="X296" s="582"/>
      <c r="Y296" s="555"/>
      <c r="Z296" s="593"/>
      <c r="AA296" s="594">
        <f t="shared" si="214"/>
        <v>0</v>
      </c>
      <c r="AB296" s="595"/>
      <c r="AC296" s="587"/>
      <c r="AD296" s="582"/>
      <c r="AE296" s="587"/>
      <c r="AF296" s="582"/>
      <c r="AG296" s="587"/>
      <c r="AH296" s="582"/>
      <c r="AI296" s="587"/>
      <c r="AJ296" s="275">
        <f t="shared" si="215"/>
        <v>0</v>
      </c>
      <c r="AK296" s="274"/>
      <c r="AL296" s="823"/>
      <c r="AM296" s="113"/>
      <c r="AN296" s="817"/>
      <c r="AO296" s="283">
        <v>119</v>
      </c>
    </row>
    <row r="297" spans="1:45">
      <c r="A297" s="895"/>
      <c r="B297" s="573" t="s">
        <v>756</v>
      </c>
      <c r="C297" s="27" t="s">
        <v>757</v>
      </c>
      <c r="D297" s="92"/>
      <c r="E297" s="29"/>
      <c r="F297" s="29"/>
      <c r="G297" s="29"/>
      <c r="H297" s="29"/>
      <c r="I297" s="29"/>
      <c r="J297" s="29"/>
      <c r="K297" s="29"/>
      <c r="L297" s="29"/>
      <c r="M297" s="30"/>
      <c r="N297" s="29"/>
      <c r="O297" s="30"/>
      <c r="P297" s="29"/>
      <c r="Q297" s="30"/>
      <c r="R297" s="29"/>
      <c r="S297" s="30"/>
      <c r="T297" s="29"/>
      <c r="U297" s="30"/>
      <c r="V297" s="29"/>
      <c r="W297" s="30"/>
      <c r="X297" s="583"/>
      <c r="Y297" s="30"/>
      <c r="Z297" s="596"/>
      <c r="AA297" s="396">
        <f t="shared" si="214"/>
        <v>0</v>
      </c>
      <c r="AB297" s="597"/>
      <c r="AC297" s="87"/>
      <c r="AD297" s="583"/>
      <c r="AE297" s="87"/>
      <c r="AF297" s="583"/>
      <c r="AG297" s="87"/>
      <c r="AH297" s="583"/>
      <c r="AI297" s="87"/>
      <c r="AJ297" s="275">
        <f t="shared" si="215"/>
        <v>0</v>
      </c>
      <c r="AK297" s="274"/>
      <c r="AL297" s="823"/>
      <c r="AM297" s="113"/>
      <c r="AN297" s="817"/>
      <c r="AO297" s="283">
        <v>120</v>
      </c>
    </row>
    <row r="298" spans="1:45">
      <c r="A298" s="895"/>
      <c r="B298" s="573" t="s">
        <v>760</v>
      </c>
      <c r="C298" s="27" t="s">
        <v>761</v>
      </c>
      <c r="D298" s="92"/>
      <c r="E298" s="29"/>
      <c r="F298" s="29"/>
      <c r="G298" s="29"/>
      <c r="H298" s="29"/>
      <c r="I298" s="29"/>
      <c r="J298" s="29"/>
      <c r="K298" s="29"/>
      <c r="L298" s="29"/>
      <c r="M298" s="30"/>
      <c r="N298" s="29"/>
      <c r="O298" s="30"/>
      <c r="P298" s="29"/>
      <c r="Q298" s="30"/>
      <c r="R298" s="29"/>
      <c r="S298" s="30"/>
      <c r="T298" s="29"/>
      <c r="U298" s="30"/>
      <c r="V298" s="29"/>
      <c r="W298" s="30"/>
      <c r="X298" s="583"/>
      <c r="Y298" s="30"/>
      <c r="Z298" s="596"/>
      <c r="AA298" s="396">
        <f t="shared" si="214"/>
        <v>0</v>
      </c>
      <c r="AB298" s="597"/>
      <c r="AC298" s="87"/>
      <c r="AD298" s="583"/>
      <c r="AE298" s="87"/>
      <c r="AF298" s="583"/>
      <c r="AG298" s="87"/>
      <c r="AH298" s="583"/>
      <c r="AI298" s="87"/>
      <c r="AJ298" s="275">
        <f t="shared" si="215"/>
        <v>0</v>
      </c>
      <c r="AK298" s="274"/>
      <c r="AL298" s="823"/>
      <c r="AM298" s="113"/>
      <c r="AN298" s="817"/>
      <c r="AO298" s="283">
        <v>121</v>
      </c>
    </row>
    <row r="299" spans="1:45" ht="31.5" thickBot="1">
      <c r="A299" s="895"/>
      <c r="B299" s="573" t="s">
        <v>764</v>
      </c>
      <c r="C299" s="27" t="s">
        <v>765</v>
      </c>
      <c r="D299" s="92"/>
      <c r="E299" s="29"/>
      <c r="F299" s="29"/>
      <c r="G299" s="29"/>
      <c r="H299" s="29"/>
      <c r="I299" s="29"/>
      <c r="J299" s="29"/>
      <c r="K299" s="29"/>
      <c r="L299" s="29"/>
      <c r="M299" s="336"/>
      <c r="N299" s="51"/>
      <c r="O299" s="336"/>
      <c r="P299" s="51"/>
      <c r="Q299" s="336"/>
      <c r="R299" s="51"/>
      <c r="S299" s="336"/>
      <c r="T299" s="51"/>
      <c r="U299" s="336"/>
      <c r="V299" s="51"/>
      <c r="W299" s="336"/>
      <c r="X299" s="584"/>
      <c r="Y299" s="336"/>
      <c r="Z299" s="599"/>
      <c r="AA299" s="396">
        <f t="shared" si="214"/>
        <v>0</v>
      </c>
      <c r="AB299" s="600"/>
      <c r="AC299" s="588"/>
      <c r="AD299" s="584"/>
      <c r="AE299" s="588"/>
      <c r="AF299" s="584"/>
      <c r="AG299" s="588"/>
      <c r="AH299" s="584"/>
      <c r="AI299" s="588"/>
      <c r="AJ299" s="281">
        <f t="shared" si="215"/>
        <v>0</v>
      </c>
      <c r="AK299" s="274"/>
      <c r="AL299" s="823"/>
      <c r="AM299" s="113"/>
      <c r="AN299" s="817"/>
      <c r="AO299" s="283">
        <v>122</v>
      </c>
    </row>
    <row r="300" spans="1:45" ht="66" customHeight="1" thickBot="1">
      <c r="A300" s="896"/>
      <c r="B300" s="702" t="s">
        <v>976</v>
      </c>
      <c r="C300" s="574" t="s">
        <v>769</v>
      </c>
      <c r="D300" s="148"/>
      <c r="E300" s="61"/>
      <c r="F300" s="61"/>
      <c r="G300" s="61"/>
      <c r="H300" s="61"/>
      <c r="I300" s="61"/>
      <c r="J300" s="61"/>
      <c r="K300" s="61"/>
      <c r="L300" s="61"/>
      <c r="M300" s="210"/>
      <c r="N300" s="61"/>
      <c r="O300" s="210"/>
      <c r="P300" s="61"/>
      <c r="Q300" s="210"/>
      <c r="R300" s="61"/>
      <c r="S300" s="210"/>
      <c r="T300" s="61"/>
      <c r="U300" s="210"/>
      <c r="V300" s="61"/>
      <c r="W300" s="210"/>
      <c r="X300" s="753"/>
      <c r="Y300" s="210"/>
      <c r="Z300" s="754"/>
      <c r="AA300" s="755">
        <f t="shared" ref="AA300" si="216">SUM(AC300,AE300,AG300,AI300)</f>
        <v>0</v>
      </c>
      <c r="AB300" s="756"/>
      <c r="AC300" s="248"/>
      <c r="AD300" s="753"/>
      <c r="AE300" s="248"/>
      <c r="AF300" s="753"/>
      <c r="AG300" s="248"/>
      <c r="AH300" s="753"/>
      <c r="AI300" s="248"/>
      <c r="AJ300" s="279">
        <f t="shared" ref="AJ300" si="217">SUM(D300:AA300)</f>
        <v>0</v>
      </c>
      <c r="AK300" s="274"/>
      <c r="AL300" s="823"/>
      <c r="AM300" s="113"/>
      <c r="AN300" s="817"/>
      <c r="AO300" s="283"/>
    </row>
    <row r="301" spans="1:45" ht="26.25" customHeight="1">
      <c r="A301" s="894" t="s">
        <v>771</v>
      </c>
      <c r="B301" s="197" t="s">
        <v>50</v>
      </c>
      <c r="C301" s="18" t="s">
        <v>772</v>
      </c>
      <c r="D301" s="23"/>
      <c r="E301" s="24"/>
      <c r="F301" s="24"/>
      <c r="G301" s="24"/>
      <c r="H301" s="24"/>
      <c r="I301" s="24"/>
      <c r="J301" s="24"/>
      <c r="K301" s="24"/>
      <c r="L301" s="24"/>
      <c r="M301" s="25"/>
      <c r="N301" s="24"/>
      <c r="O301" s="25"/>
      <c r="P301" s="24"/>
      <c r="Q301" s="25"/>
      <c r="R301" s="24"/>
      <c r="S301" s="25"/>
      <c r="T301" s="24"/>
      <c r="U301" s="25"/>
      <c r="V301" s="24"/>
      <c r="W301" s="25"/>
      <c r="X301" s="585"/>
      <c r="Y301" s="25"/>
      <c r="Z301" s="601"/>
      <c r="AA301" s="351">
        <f t="shared" si="214"/>
        <v>0</v>
      </c>
      <c r="AB301" s="602"/>
      <c r="AC301" s="83"/>
      <c r="AD301" s="585"/>
      <c r="AE301" s="83"/>
      <c r="AF301" s="585"/>
      <c r="AG301" s="83"/>
      <c r="AH301" s="585"/>
      <c r="AI301" s="83"/>
      <c r="AJ301" s="273">
        <f t="shared" si="215"/>
        <v>0</v>
      </c>
      <c r="AK301" s="274"/>
      <c r="AL301" s="823"/>
      <c r="AM301" s="113"/>
      <c r="AN301" s="817"/>
      <c r="AO301" s="283">
        <v>123</v>
      </c>
    </row>
    <row r="302" spans="1:45">
      <c r="A302" s="895"/>
      <c r="B302" s="573" t="s">
        <v>33</v>
      </c>
      <c r="C302" s="27" t="s">
        <v>774</v>
      </c>
      <c r="D302" s="28"/>
      <c r="E302" s="29"/>
      <c r="F302" s="29"/>
      <c r="G302" s="29"/>
      <c r="H302" s="29"/>
      <c r="I302" s="29"/>
      <c r="J302" s="29"/>
      <c r="K302" s="29"/>
      <c r="L302" s="29"/>
      <c r="M302" s="30"/>
      <c r="N302" s="29"/>
      <c r="O302" s="30"/>
      <c r="P302" s="29"/>
      <c r="Q302" s="30"/>
      <c r="R302" s="29"/>
      <c r="S302" s="30"/>
      <c r="T302" s="29"/>
      <c r="U302" s="30"/>
      <c r="V302" s="29"/>
      <c r="W302" s="30"/>
      <c r="X302" s="583"/>
      <c r="Y302" s="30"/>
      <c r="Z302" s="596"/>
      <c r="AA302" s="396">
        <f t="shared" si="214"/>
        <v>0</v>
      </c>
      <c r="AB302" s="597"/>
      <c r="AC302" s="87"/>
      <c r="AD302" s="583"/>
      <c r="AE302" s="87"/>
      <c r="AF302" s="583"/>
      <c r="AG302" s="87"/>
      <c r="AH302" s="583"/>
      <c r="AI302" s="87"/>
      <c r="AJ302" s="275">
        <f t="shared" si="215"/>
        <v>0</v>
      </c>
      <c r="AK302" s="274" t="str">
        <f>CONCATENATE(
IF(D304&lt;SUM(D305,D306,D307,D308)," * Rescreened and treatment , Total CXCA Screening positive for Age "&amp;D6&amp;" "&amp;D7&amp;" should be greater than or equal to the sum of (Cryotherapy , Leep , Thermocoagulation and Referred for treatment)"&amp;CHAR(10),""),
IF(E304&lt;SUM(E305,E306,E307,E308)," * Rescreened and treatment , Total CXCA Screening positive for Age "&amp;D6&amp;" "&amp;E7&amp;" should be greater than or equal to the sum of (Cryotherapy , Leep , Thermocoagulation and Referred for treatment)"&amp;CHAR(10),""),
IF(F304&lt;SUM(F305,F306,F307,F308)," * Rescreened and treatment , Total CXCA Screening positive for Age "&amp;F6&amp;" "&amp;F7&amp;" should be greater than or equal to the sum of (Cryotherapy , Leep , Thermocoagulation and Referred for treatment)"&amp;CHAR(10),""),
IF(G304&lt;SUM(G305,G306,G307,G308)," * Rescreened and treatment , Total CXCA Screening positive for Age "&amp;F6&amp;" "&amp;G7&amp;" should be greater than or equal to the sum of (Cryotherapy , Leep , Thermocoagulation and Referred for treatment)"&amp;CHAR(10),""),
IF(H304&lt;SUM(H305,H306,H307,H308)," * Rescreened and treatment , Total CXCA Screening positive for Age "&amp;H6&amp;" "&amp;H7&amp;" should be greater than or equal to the sum of (Cryotherapy , Leep , Thermocoagulation and Referred for treatment)"&amp;CHAR(10),""),
IF(I304&lt;SUM(I305,I306,I307,I308)," * Rescreened and treatment , Total CXCA Screening positive for Age "&amp;H6&amp;" "&amp;I7&amp;" should be greater than or equal to the sum of (Cryotherapy , Leep , Thermocoagulation and Referred for treatment)"&amp;CHAR(10),""),
IF(J304&lt;SUM(J305,J306,J307,J308)," * Rescreened and treatment , Total CXCA Screening positive for Age "&amp;J6&amp;" "&amp;J7&amp;" should be greater than or equal to the sum of (Cryotherapy , Leep , Thermocoagulation and Referred for treatment)"&amp;CHAR(10),""),
IF(K304&lt;SUM(K305,K306,K307,K308)," * Rescreened and treatment , Total CXCA Screening positive for Age "&amp;J6&amp;" "&amp;K7&amp;" should be greater than or equal to the sum of (Cryotherapy , Leep , Thermocoagulation and Referred for treatment)"&amp;CHAR(10),""),
IF(L304&lt;SUM(L305,L306,L307,L308)," * Rescreened and treatment , Total CXCA Screening positive for Age "&amp;L6&amp;" "&amp;L7&amp;" should be greater than or equal to the sum of (Cryotherapy , Leep , Thermocoagulation and Referred for treatment)"&amp;CHAR(10),""),
IF(M304&lt;SUM(M305,M306,M307,M308)," * Rescreened and treatment , Total CXCA Screening positive for Age "&amp;L6&amp;" "&amp;M7&amp;" should be greater than or equal to the sum of (Cryotherapy , Leep , Thermocoagulation and Referred for treatment)"&amp;CHAR(10),""),
IF(N304&lt;SUM(N305,N306,N307,N308)," * Rescreened and treatment , Total CXCA Screening positive for Age "&amp;N6&amp;" "&amp;N7&amp;" should be greater than or equal to the sum of (Cryotherapy , Leep , Thermocoagulation and Referred for treatment)"&amp;CHAR(10),""),
IF(O304&lt;SUM(O305,O306,O307,O308)," * Rescreened and treatment , Total CXCA Screening positive for Age "&amp;N6&amp;" "&amp;O7&amp;" should be greater than or equal to the sum of (Cryotherapy , Leep , Thermocoagulation and Referred for treatment)"&amp;CHAR(10),""),
IF(P304&lt;SUM(P305,P306,P307,P308)," * Rescreened and treatment , Total CXCA Screening positive for Age "&amp;P6&amp;" "&amp;P7&amp;" should be greater than or equal to the sum of (Cryotherapy , Leep , Thermocoagulation and Referred for treatment)"&amp;CHAR(10),""),
IF(Q304&lt;SUM(Q305,Q306,Q307,Q308)," * Rescreened and treatment , Total CXCA Screening positive for Age "&amp;P6&amp;" "&amp;Q7&amp;" should be greater than or equal to the sum of (Cryotherapy , Leep , Thermocoagulation and Referred for treatment)"&amp;CHAR(10),""),
IF(R304&lt;SUM(R305,R306,R307,R308)," * Rescreened and treatment , Total CXCA Screening positive for Age "&amp;R6&amp;" "&amp;R7&amp;" should be greater than or equal to the sum of (Cryotherapy , Leep , Thermocoagulation and Referred for treatment)"&amp;CHAR(10),""),
IF(S304&lt;SUM(S305,S306,S307,S308)," * Rescreened and treatment , Total CXCA Screening positive for Age "&amp;R6&amp;" "&amp;S7&amp;" should be greater than or equal to the sum of (Cryotherapy , Leep , Thermocoagulation and Referred for treatment)"&amp;CHAR(10),""),
IF(T304&lt;SUM(T305,T306,T307,T308)," * Rescreened and treatment , Total CXCA Screening positive for Age "&amp;T6&amp;" "&amp;T7&amp;" should be greater than or equal to the sum of (Cryotherapy , Leep , Thermocoagulation and Referred for treatment)"&amp;CHAR(10),""),
IF(U304&lt;SUM(U305,U306,U307,U308)," * Rescreened and treatment , Total CXCA Screening positive for Age "&amp;T6&amp;" "&amp;U7&amp;" should be greater than or equal to the sum of (Cryotherapy , Leep , Thermocoagulation and Referred for treatment)"&amp;CHAR(10),""),
IF(V304&lt;SUM(V305,V306,V307,V308)," * Rescreened and treatment , Total CXCA Screening positive for Age "&amp;V6&amp;" "&amp;V7&amp;" should be greater than or equal to the sum of (Cryotherapy , Leep , Thermocoagulation and Referred for treatment)"&amp;CHAR(10),""),
IF(W304&lt;SUM(W305,W306,W307,W308)," * Rescreened and treatment , Total CXCA Screening positive for Age "&amp;V6&amp;" "&amp;W7&amp;" should be greater than or equal to the sum of (Cryotherapy , Leep , Thermocoagulation and Referred for treatment)"&amp;CHAR(10),""),
IF(X304&lt;SUM(X305,X306,X307,X308)," * Rescreened and treatment , Total CXCA Screening positive for Age "&amp;X6&amp;" "&amp;X7&amp;" should be greater than or equal to the sum of (Cryotherapy , Leep , Thermocoagulation and Referred for treatment)"&amp;CHAR(10),""),
IF(Y304&lt;SUM(Y305,Y306,Y307,Y308)," * Rescreened and treatment , Total CXCA Screening positive for Age "&amp;X6&amp;" "&amp;Y7&amp;" should be greater than or equal to the sum of (Cryotherapy , Leep , Thermocoagulation and Referred for treatment)"&amp;CHAR(10),""),
IF(Z304&lt;SUM(Z305,Z306,Z307,Z308)," * Rescreened and treatment , Total CXCA Screening positive for Age "&amp;Z6&amp;" "&amp;Z7&amp;" should be greater than or equal to the sum of (Cryotherapy , Leep , Thermocoagulation and Referred for treatment)"&amp;CHAR(10),""),
IF(AA304&lt;SUM(AA305,AA306,AA307,AA308)," * Rescreened and treatment , Total CXCA Screening positive for Age "&amp;Z6&amp;" "&amp;AA7&amp;" should be greater than or equal to the sum of (Cryotherapy , Leep , Thermocoagulation and Referred for treatment)"&amp;CHAR(10),"")
)</f>
        <v/>
      </c>
      <c r="AL302" s="823"/>
      <c r="AM302" s="113"/>
      <c r="AN302" s="817"/>
      <c r="AO302" s="283">
        <v>124</v>
      </c>
    </row>
    <row r="303" spans="1:45">
      <c r="A303" s="895"/>
      <c r="B303" s="573" t="s">
        <v>747</v>
      </c>
      <c r="C303" s="27" t="s">
        <v>776</v>
      </c>
      <c r="D303" s="28"/>
      <c r="E303" s="29"/>
      <c r="F303" s="29"/>
      <c r="G303" s="29"/>
      <c r="H303" s="29"/>
      <c r="I303" s="29"/>
      <c r="J303" s="29"/>
      <c r="K303" s="29"/>
      <c r="L303" s="29"/>
      <c r="M303" s="30"/>
      <c r="N303" s="29"/>
      <c r="O303" s="30"/>
      <c r="P303" s="29"/>
      <c r="Q303" s="30"/>
      <c r="R303" s="29"/>
      <c r="S303" s="30"/>
      <c r="T303" s="29"/>
      <c r="U303" s="30"/>
      <c r="V303" s="29"/>
      <c r="W303" s="30"/>
      <c r="X303" s="583"/>
      <c r="Y303" s="30"/>
      <c r="Z303" s="596"/>
      <c r="AA303" s="396">
        <f t="shared" si="214"/>
        <v>0</v>
      </c>
      <c r="AB303" s="597"/>
      <c r="AC303" s="87"/>
      <c r="AD303" s="583"/>
      <c r="AE303" s="87"/>
      <c r="AF303" s="583"/>
      <c r="AG303" s="87"/>
      <c r="AH303" s="583"/>
      <c r="AI303" s="87"/>
      <c r="AJ303" s="275">
        <f t="shared" si="215"/>
        <v>0</v>
      </c>
      <c r="AK303" s="274"/>
      <c r="AL303" s="823"/>
      <c r="AM303" s="113"/>
      <c r="AN303" s="817"/>
      <c r="AO303" s="283">
        <v>125</v>
      </c>
    </row>
    <row r="304" spans="1:45" ht="31.5" thickBot="1">
      <c r="A304" s="896"/>
      <c r="B304" s="575" t="s">
        <v>750</v>
      </c>
      <c r="C304" s="19" t="s">
        <v>778</v>
      </c>
      <c r="D304" s="50"/>
      <c r="E304" s="51"/>
      <c r="F304" s="51"/>
      <c r="G304" s="51"/>
      <c r="H304" s="51"/>
      <c r="I304" s="51"/>
      <c r="J304" s="51"/>
      <c r="K304" s="51"/>
      <c r="L304" s="51"/>
      <c r="M304" s="748">
        <f>M303+M302</f>
        <v>0</v>
      </c>
      <c r="N304" s="749"/>
      <c r="O304" s="748">
        <f>O303+O302</f>
        <v>0</v>
      </c>
      <c r="P304" s="51"/>
      <c r="Q304" s="748">
        <f>Q303+Q302</f>
        <v>0</v>
      </c>
      <c r="R304" s="51"/>
      <c r="S304" s="748">
        <f>S303+S302</f>
        <v>0</v>
      </c>
      <c r="T304" s="51"/>
      <c r="U304" s="748">
        <f>U303+U302</f>
        <v>0</v>
      </c>
      <c r="V304" s="51"/>
      <c r="W304" s="748">
        <f>W303+W302</f>
        <v>0</v>
      </c>
      <c r="X304" s="584"/>
      <c r="Y304" s="748">
        <f>Y303+Y302</f>
        <v>0</v>
      </c>
      <c r="Z304" s="599"/>
      <c r="AA304" s="750">
        <f t="shared" si="214"/>
        <v>0</v>
      </c>
      <c r="AB304" s="600"/>
      <c r="AC304" s="751">
        <f>AC303+AC302</f>
        <v>0</v>
      </c>
      <c r="AD304" s="584"/>
      <c r="AE304" s="751">
        <f>AE303+AE302</f>
        <v>0</v>
      </c>
      <c r="AF304" s="584"/>
      <c r="AG304" s="751">
        <f>AG303+AG302</f>
        <v>0</v>
      </c>
      <c r="AH304" s="584"/>
      <c r="AI304" s="751">
        <f>AI303+AI302</f>
        <v>0</v>
      </c>
      <c r="AJ304" s="281">
        <f t="shared" si="215"/>
        <v>0</v>
      </c>
      <c r="AK304" s="274"/>
      <c r="AL304" s="823"/>
      <c r="AM304" s="113"/>
      <c r="AN304" s="817"/>
      <c r="AO304" s="283">
        <v>126</v>
      </c>
    </row>
    <row r="305" spans="1:41" ht="26.25" customHeight="1">
      <c r="A305" s="895" t="s">
        <v>779</v>
      </c>
      <c r="B305" s="576" t="s">
        <v>754</v>
      </c>
      <c r="C305" s="306" t="s">
        <v>780</v>
      </c>
      <c r="D305" s="570"/>
      <c r="E305" s="313"/>
      <c r="F305" s="313"/>
      <c r="G305" s="313"/>
      <c r="H305" s="313"/>
      <c r="I305" s="313"/>
      <c r="J305" s="313"/>
      <c r="K305" s="313"/>
      <c r="L305" s="313"/>
      <c r="M305" s="555"/>
      <c r="N305" s="747"/>
      <c r="O305" s="555"/>
      <c r="P305" s="313"/>
      <c r="Q305" s="555"/>
      <c r="R305" s="313"/>
      <c r="S305" s="555"/>
      <c r="T305" s="313"/>
      <c r="U305" s="555"/>
      <c r="V305" s="313"/>
      <c r="W305" s="555"/>
      <c r="X305" s="582"/>
      <c r="Y305" s="555"/>
      <c r="Z305" s="593"/>
      <c r="AA305" s="594">
        <f t="shared" si="214"/>
        <v>0</v>
      </c>
      <c r="AB305" s="595"/>
      <c r="AC305" s="587"/>
      <c r="AD305" s="582"/>
      <c r="AE305" s="587"/>
      <c r="AF305" s="582"/>
      <c r="AG305" s="587"/>
      <c r="AH305" s="582"/>
      <c r="AI305" s="587"/>
      <c r="AJ305" s="280">
        <f t="shared" si="215"/>
        <v>0</v>
      </c>
      <c r="AK305" s="274"/>
      <c r="AL305" s="823"/>
      <c r="AM305" s="113"/>
      <c r="AN305" s="817"/>
      <c r="AO305" s="283">
        <v>127</v>
      </c>
    </row>
    <row r="306" spans="1:41">
      <c r="A306" s="895"/>
      <c r="B306" s="26" t="s">
        <v>756</v>
      </c>
      <c r="C306" s="27" t="s">
        <v>781</v>
      </c>
      <c r="D306" s="92"/>
      <c r="E306" s="29"/>
      <c r="F306" s="29"/>
      <c r="G306" s="29"/>
      <c r="H306" s="29"/>
      <c r="I306" s="29"/>
      <c r="J306" s="29"/>
      <c r="K306" s="29"/>
      <c r="L306" s="29"/>
      <c r="M306" s="30"/>
      <c r="N306" s="29"/>
      <c r="O306" s="30"/>
      <c r="P306" s="29"/>
      <c r="Q306" s="30"/>
      <c r="R306" s="29"/>
      <c r="S306" s="30"/>
      <c r="T306" s="29"/>
      <c r="U306" s="30"/>
      <c r="V306" s="29"/>
      <c r="W306" s="30"/>
      <c r="X306" s="583"/>
      <c r="Y306" s="30"/>
      <c r="Z306" s="596"/>
      <c r="AA306" s="396">
        <f t="shared" si="214"/>
        <v>0</v>
      </c>
      <c r="AB306" s="597"/>
      <c r="AC306" s="87"/>
      <c r="AD306" s="583"/>
      <c r="AE306" s="87"/>
      <c r="AF306" s="583"/>
      <c r="AG306" s="87"/>
      <c r="AH306" s="583"/>
      <c r="AI306" s="87"/>
      <c r="AJ306" s="275">
        <f t="shared" si="215"/>
        <v>0</v>
      </c>
      <c r="AK306" s="274"/>
      <c r="AL306" s="823"/>
      <c r="AM306" s="113"/>
      <c r="AN306" s="817"/>
      <c r="AO306" s="283">
        <v>128</v>
      </c>
    </row>
    <row r="307" spans="1:41">
      <c r="A307" s="895"/>
      <c r="B307" s="26" t="s">
        <v>760</v>
      </c>
      <c r="C307" s="27" t="s">
        <v>783</v>
      </c>
      <c r="D307" s="92"/>
      <c r="E307" s="29"/>
      <c r="F307" s="29"/>
      <c r="G307" s="29"/>
      <c r="H307" s="29"/>
      <c r="I307" s="29"/>
      <c r="J307" s="29"/>
      <c r="K307" s="29"/>
      <c r="L307" s="29"/>
      <c r="M307" s="30"/>
      <c r="N307" s="29"/>
      <c r="O307" s="30"/>
      <c r="P307" s="29"/>
      <c r="Q307" s="30"/>
      <c r="R307" s="29"/>
      <c r="S307" s="30"/>
      <c r="T307" s="29"/>
      <c r="U307" s="30"/>
      <c r="V307" s="29"/>
      <c r="W307" s="30"/>
      <c r="X307" s="583"/>
      <c r="Y307" s="30"/>
      <c r="Z307" s="596"/>
      <c r="AA307" s="396">
        <f t="shared" si="214"/>
        <v>0</v>
      </c>
      <c r="AB307" s="597"/>
      <c r="AC307" s="87"/>
      <c r="AD307" s="583"/>
      <c r="AE307" s="87"/>
      <c r="AF307" s="583"/>
      <c r="AG307" s="87"/>
      <c r="AH307" s="583"/>
      <c r="AI307" s="87"/>
      <c r="AJ307" s="275">
        <f t="shared" si="215"/>
        <v>0</v>
      </c>
      <c r="AK307" s="274"/>
      <c r="AL307" s="823"/>
      <c r="AM307" s="113"/>
      <c r="AN307" s="817"/>
      <c r="AO307" s="283">
        <v>129</v>
      </c>
    </row>
    <row r="308" spans="1:41" ht="31.5" thickBot="1">
      <c r="A308" s="895"/>
      <c r="B308" s="26" t="s">
        <v>764</v>
      </c>
      <c r="C308" s="27" t="s">
        <v>785</v>
      </c>
      <c r="D308" s="291"/>
      <c r="E308" s="51"/>
      <c r="F308" s="51"/>
      <c r="G308" s="51"/>
      <c r="H308" s="51"/>
      <c r="I308" s="51"/>
      <c r="J308" s="51"/>
      <c r="K308" s="51"/>
      <c r="L308" s="51"/>
      <c r="M308" s="336"/>
      <c r="N308" s="51"/>
      <c r="O308" s="336"/>
      <c r="P308" s="51"/>
      <c r="Q308" s="336"/>
      <c r="R308" s="51"/>
      <c r="S308" s="336"/>
      <c r="T308" s="51"/>
      <c r="U308" s="336"/>
      <c r="V308" s="51"/>
      <c r="W308" s="336"/>
      <c r="X308" s="584"/>
      <c r="Y308" s="336"/>
      <c r="Z308" s="599"/>
      <c r="AA308" s="396">
        <f t="shared" si="214"/>
        <v>0</v>
      </c>
      <c r="AB308" s="600"/>
      <c r="AC308" s="588"/>
      <c r="AD308" s="584"/>
      <c r="AE308" s="588"/>
      <c r="AF308" s="584"/>
      <c r="AG308" s="588"/>
      <c r="AH308" s="584"/>
      <c r="AI308" s="588"/>
      <c r="AJ308" s="281">
        <f t="shared" si="215"/>
        <v>0</v>
      </c>
      <c r="AK308" s="274"/>
      <c r="AL308" s="823"/>
      <c r="AM308" s="113"/>
      <c r="AN308" s="817"/>
      <c r="AO308" s="283">
        <v>130</v>
      </c>
    </row>
    <row r="309" spans="1:41" ht="63.6" customHeight="1" thickBot="1">
      <c r="A309" s="896"/>
      <c r="B309" s="702" t="s">
        <v>977</v>
      </c>
      <c r="C309" s="577" t="s">
        <v>787</v>
      </c>
      <c r="D309" s="578"/>
      <c r="E309" s="579"/>
      <c r="F309" s="579"/>
      <c r="G309" s="579"/>
      <c r="H309" s="579"/>
      <c r="I309" s="579"/>
      <c r="J309" s="579"/>
      <c r="K309" s="579"/>
      <c r="L309" s="579"/>
      <c r="M309" s="79"/>
      <c r="N309" s="579"/>
      <c r="O309" s="79"/>
      <c r="P309" s="579"/>
      <c r="Q309" s="79"/>
      <c r="R309" s="579"/>
      <c r="S309" s="79"/>
      <c r="T309" s="579"/>
      <c r="U309" s="79"/>
      <c r="V309" s="579"/>
      <c r="W309" s="79"/>
      <c r="X309" s="586"/>
      <c r="Y309" s="79"/>
      <c r="Z309" s="603"/>
      <c r="AA309" s="396"/>
      <c r="AB309" s="604"/>
      <c r="AC309" s="96"/>
      <c r="AD309" s="586"/>
      <c r="AE309" s="96"/>
      <c r="AF309" s="586"/>
      <c r="AG309" s="96"/>
      <c r="AH309" s="586"/>
      <c r="AI309" s="96"/>
      <c r="AJ309" s="281">
        <f t="shared" si="215"/>
        <v>0</v>
      </c>
      <c r="AK309" s="274"/>
      <c r="AL309" s="823"/>
      <c r="AM309" s="113"/>
      <c r="AN309" s="817"/>
      <c r="AO309" s="283"/>
    </row>
    <row r="310" spans="1:41">
      <c r="A310" s="894" t="s">
        <v>789</v>
      </c>
      <c r="B310" s="42" t="s">
        <v>50</v>
      </c>
      <c r="C310" s="18" t="s">
        <v>790</v>
      </c>
      <c r="D310" s="145"/>
      <c r="E310" s="24"/>
      <c r="F310" s="24"/>
      <c r="G310" s="24"/>
      <c r="H310" s="24"/>
      <c r="I310" s="24"/>
      <c r="J310" s="24"/>
      <c r="K310" s="24"/>
      <c r="L310" s="24"/>
      <c r="M310" s="25"/>
      <c r="N310" s="24"/>
      <c r="O310" s="25"/>
      <c r="P310" s="24"/>
      <c r="Q310" s="25"/>
      <c r="R310" s="24"/>
      <c r="S310" s="25"/>
      <c r="T310" s="24"/>
      <c r="U310" s="25"/>
      <c r="V310" s="24"/>
      <c r="W310" s="25"/>
      <c r="X310" s="585"/>
      <c r="Y310" s="25"/>
      <c r="Z310" s="601"/>
      <c r="AA310" s="396">
        <f t="shared" si="214"/>
        <v>0</v>
      </c>
      <c r="AB310" s="602"/>
      <c r="AC310" s="83"/>
      <c r="AD310" s="585"/>
      <c r="AE310" s="83"/>
      <c r="AF310" s="585"/>
      <c r="AG310" s="83"/>
      <c r="AH310" s="585"/>
      <c r="AI310" s="83"/>
      <c r="AJ310" s="273">
        <f t="shared" si="215"/>
        <v>0</v>
      </c>
      <c r="AK310" s="274"/>
      <c r="AL310" s="823"/>
      <c r="AM310" s="113"/>
      <c r="AN310" s="817"/>
      <c r="AO310" s="283">
        <v>131</v>
      </c>
    </row>
    <row r="311" spans="1:41">
      <c r="A311" s="895"/>
      <c r="B311" s="26" t="s">
        <v>33</v>
      </c>
      <c r="C311" s="27" t="s">
        <v>792</v>
      </c>
      <c r="D311" s="92"/>
      <c r="E311" s="29"/>
      <c r="F311" s="29"/>
      <c r="G311" s="29"/>
      <c r="H311" s="29"/>
      <c r="I311" s="29"/>
      <c r="J311" s="29"/>
      <c r="K311" s="29"/>
      <c r="L311" s="29"/>
      <c r="M311" s="30"/>
      <c r="N311" s="29"/>
      <c r="O311" s="30"/>
      <c r="P311" s="29"/>
      <c r="Q311" s="30"/>
      <c r="R311" s="29"/>
      <c r="S311" s="30"/>
      <c r="T311" s="29"/>
      <c r="U311" s="30"/>
      <c r="V311" s="29"/>
      <c r="W311" s="30"/>
      <c r="X311" s="583"/>
      <c r="Y311" s="30"/>
      <c r="Z311" s="596"/>
      <c r="AA311" s="396">
        <f t="shared" si="214"/>
        <v>0</v>
      </c>
      <c r="AB311" s="597"/>
      <c r="AC311" s="87"/>
      <c r="AD311" s="583"/>
      <c r="AE311" s="87"/>
      <c r="AF311" s="583"/>
      <c r="AG311" s="87"/>
      <c r="AH311" s="583"/>
      <c r="AI311" s="87"/>
      <c r="AJ311" s="275">
        <f t="shared" si="215"/>
        <v>0</v>
      </c>
      <c r="AK311" s="274" t="str">
        <f>CONCATENATE(IF(D313&lt;SUM(D314,D315,D316,D317)," * Post Treatment Follow up, Total CXCA Screening positive for Age "&amp;D33&amp;" "&amp;D34&amp;" should be greater than or equal to  the sum of (Cryotherapy , Leep , Thermocoagulation and Reffered for treatment)"&amp;CHAR(10),""),IF(E313&lt;SUM(E314,E315,E316,E317)," * Post Treatment Follow up, Total CXCA Screening positive for Age "&amp;D33&amp;" "&amp;E34&amp;" should be greater than or equal to  the sum of (Cryotherapy , Leep , Thermocoagulation and Reffered for treatment)"&amp;CHAR(10),""),IF(F313&lt;SUM(F314,F315,F316,F317)," * Post Treatment Follow up, Total CXCA Screening positive for Age "&amp;F33&amp;" "&amp;F34&amp;" should be greater than or equal to  the sum of (Cryotherapy , Leep , Thermocoagulation and Reffered for treatment)"&amp;CHAR(10),""),IF(G313&lt;SUM(G314,G315,G316,G317)," * Post Treatment Follow up, Total CXCA Screening positive for Age "&amp;F33&amp;" "&amp;G34&amp;" should be greater than or equal to  the sum of (Cryotherapy , Leep , Thermocoagulation and Reffered for treatment)"&amp;CHAR(10),""),IF(H313&lt;SUM(H314,H315,H316,H317)," * Post Treatment Follow up, Total CXCA Screening positive for Age "&amp;H33&amp;" "&amp;H34&amp;" should be greater than or equal to  the sum of (Cryotherapy , Leep , Thermocoagulation and Reffered for treatment)"&amp;CHAR(10),""),IF(I313&lt;SUM(I314,I315,I316,I317)," * Post Treatment Follow up, Total CXCA Screening positive for Age "&amp;H33&amp;" "&amp;I34&amp;" should be greater than or equal to  the sum of (Cryotherapy , Leep , Thermocoagulation and Reffered for treatment)"&amp;CHAR(10),""),IF(J313&lt;SUM(J314,J315,J316,J317)," * Post Treatment Follow up, Total CXCA Screening positive for Age "&amp;J33&amp;" "&amp;J34&amp;" should be greater than or equal to  the sum of (Cryotherapy , Leep , Thermocoagulation and Reffered for treatment)"&amp;CHAR(10),""),IF(K313&lt;SUM(K314,K315,K316,K317)," * Post Treatment Follow up, Total CXCA Screening positive for Age "&amp;J33&amp;" "&amp;K34&amp;" should be greater than or equal to  the sum of (Cryotherapy , Leep , Thermocoagulation and Reffered for treatment)"&amp;CHAR(10),""),IF(L313&lt;SUM(L314,L315,L316,L317)," * Post Treatment Follow up, Total CXCA Screening positive for Age "&amp;L33&amp;" "&amp;L34&amp;" should be greater than or equal to  the sum of (Cryotherapy , Leep , Thermocoagulation and Reffered for treatment)"&amp;CHAR(10),""),IF(M313&lt;SUM(M314,M315,M316,M317)," * Post Treatment Follow up, Total CXCA Screening positive for Age "&amp;L33&amp;" "&amp;M34&amp;" should be greater than or equal to  the sum of (Cryotherapy , Leep , Thermocoagulation and Reffered for treatment)"&amp;CHAR(10),""),IF(N313&lt;SUM(N314,N315,N316,N317)," * Post Treatment Follow up, Total CXCA Screening positive for Age "&amp;N33&amp;" "&amp;N34&amp;" should be greater than or equal to  the sum of (Cryotherapy , Leep , Thermocoagulation and Reffered for treatment)"&amp;CHAR(10),""),IF(O313&lt;SUM(O314,O315,O316,O317)," * Post Treatment Follow up, Total CXCA Screening positive for Age "&amp;N33&amp;" "&amp;O34&amp;" should be greater than or equal to  the sum of (Cryotherapy , Leep , Thermocoagulation and Reffered for treatment)"&amp;CHAR(10),""),IF(P313&lt;SUM(P314,P315,P316,P317)," * Post Treatment Follow up, Total CXCA Screening positive for Age "&amp;P33&amp;" "&amp;P34&amp;" should be greater than or equal to  the sum of (Cryotherapy , Leep , Thermocoagulation and Reffered for treatment)"&amp;CHAR(10),""),IF(Q313&lt;SUM(Q314,Q315,Q316,Q317)," * Post Treatment Follow up, Total CXCA Screening positive for Age "&amp;P33&amp;" "&amp;Q34&amp;" should be greater than or equal to  the sum of (Cryotherapy , Leep , Thermocoagulation and Reffered for treatment)"&amp;CHAR(10),""),IF(R313&lt;SUM(R314,R315,R316,R317)," * Post Treatment Follow up, Total CXCA Screening positive for Age "&amp;R33&amp;" "&amp;R34&amp;" should be greater than or equal to  the sum of (Cryotherapy , Leep , Thermocoagulation and Reffered for treatment)"&amp;CHAR(10),""),IF(S313&lt;SUM(S314,S315,S316,S317)," * Post Treatment Follow up, Total CXCA Screening positive for Age "&amp;R33&amp;" "&amp;S34&amp;" should be greater than or equal to  the sum of (Cryotherapy , Leep , Thermocoagulation and Reffered for treatment)"&amp;CHAR(10),""),IF(T313&lt;SUM(T314,T315,T316,T317)," * Post Treatment Follow up, Total CXCA Screening positive for Age "&amp;T33&amp;" "&amp;T34&amp;" should be greater than or equal to  the sum of (Cryotherapy , Leep , Thermocoagulation and Reffered for treatment)"&amp;CHAR(10),""),IF(U313&lt;SUM(U314,U315,U316,U317)," * Post Treatment Follow up, Total CXCA Screening positive for Age "&amp;T33&amp;" "&amp;U34&amp;" should be greater than or equal to  the sum of (Cryotherapy , Leep , Thermocoagulation and Reffered for treatment)"&amp;CHAR(10),""),IF(V313&lt;SUM(V314,V315,V316,V317)," * Post Treatment Follow up, Total CXCA Screening positive for Age "&amp;V33&amp;" "&amp;V34&amp;" should be greater than or equal to  the sum of (Cryotherapy , Leep , Thermocoagulation and Reffered for treatment)"&amp;CHAR(10),""),IF(W313&lt;SUM(W314,W315,W316,W317)," * Post Treatment Follow up, Total CXCA Screening positive for Age "&amp;V33&amp;" "&amp;W34&amp;" should be greater than or equal to  the sum of (Cryotherapy , Leep , Thermocoagulation and Reffered for treatment)"&amp;CHAR(10),""),IF(X313&lt;SUM(X314,X315,X316,X317)," * Post Treatment Follow up, Total CXCA Screening positive for Age "&amp;X33&amp;" "&amp;X34&amp;" should be greater than or equal to  the sum of (Cryotherapy , Leep , Thermocoagulation and Reffered for treatment)"&amp;CHAR(10),""),IF(Y313&lt;SUM(Y314,Y315,Y316,Y317)," * Post Treatment Follow up, Total CXCA Screening positive for Age "&amp;X33&amp;" "&amp;Y34&amp;" should be greater than or equal to  the sum of (Cryotherapy , Leep , Thermocoagulation and Reffered for treatment)"&amp;CHAR(10),""),IF(Z313&lt;SUM(Z314,Z315,Z316,Z317)," * Post Treatment Follow up, Total CXCA Screening positive for Age "&amp;Z33&amp;" "&amp;Z34&amp;" should be greater than or equal to  the sum of (Cryotherapy , Leep , Thermocoagulation and Reffered for treatment)"&amp;CHAR(10),""),IF(AA313&lt;SUM(AA314,AA315,AA316,AA317)," * Post Treatment Follow up, Total CXCA Screening positive for Age "&amp;Z33&amp;" "&amp;AA34&amp;" should be greater than or equal to  the sum of (Cryotherapy , Leep , Thermocoagulation and Reffered for treatment)"&amp;CHAR(10),""))</f>
        <v/>
      </c>
      <c r="AL311" s="823"/>
      <c r="AM311" s="113"/>
      <c r="AN311" s="817"/>
      <c r="AO311" s="283">
        <v>132</v>
      </c>
    </row>
    <row r="312" spans="1:41">
      <c r="A312" s="895"/>
      <c r="B312" s="26" t="s">
        <v>747</v>
      </c>
      <c r="C312" s="27" t="s">
        <v>794</v>
      </c>
      <c r="D312" s="92"/>
      <c r="E312" s="29"/>
      <c r="F312" s="29"/>
      <c r="G312" s="29"/>
      <c r="H312" s="29"/>
      <c r="I312" s="29"/>
      <c r="J312" s="29"/>
      <c r="K312" s="29"/>
      <c r="L312" s="29"/>
      <c r="M312" s="30"/>
      <c r="N312" s="29"/>
      <c r="O312" s="30"/>
      <c r="P312" s="29"/>
      <c r="Q312" s="30"/>
      <c r="R312" s="29"/>
      <c r="S312" s="30"/>
      <c r="T312" s="29"/>
      <c r="U312" s="30"/>
      <c r="V312" s="29"/>
      <c r="W312" s="30"/>
      <c r="X312" s="583"/>
      <c r="Y312" s="30"/>
      <c r="Z312" s="596"/>
      <c r="AA312" s="396">
        <f t="shared" si="214"/>
        <v>0</v>
      </c>
      <c r="AB312" s="597"/>
      <c r="AC312" s="87"/>
      <c r="AD312" s="583"/>
      <c r="AE312" s="87"/>
      <c r="AF312" s="583"/>
      <c r="AG312" s="87"/>
      <c r="AH312" s="583"/>
      <c r="AI312" s="87"/>
      <c r="AJ312" s="275">
        <f t="shared" si="215"/>
        <v>0</v>
      </c>
      <c r="AK312" s="274"/>
      <c r="AL312" s="823"/>
      <c r="AM312" s="113"/>
      <c r="AN312" s="817"/>
      <c r="AO312" s="283">
        <v>133</v>
      </c>
    </row>
    <row r="313" spans="1:41" ht="31.5" thickBot="1">
      <c r="A313" s="896"/>
      <c r="B313" s="571" t="s">
        <v>750</v>
      </c>
      <c r="C313" s="707" t="s">
        <v>796</v>
      </c>
      <c r="D313" s="148"/>
      <c r="E313" s="61"/>
      <c r="F313" s="61"/>
      <c r="G313" s="61"/>
      <c r="H313" s="61"/>
      <c r="I313" s="61"/>
      <c r="J313" s="61"/>
      <c r="K313" s="61"/>
      <c r="L313" s="61"/>
      <c r="M313" s="580">
        <f>M312+M311</f>
        <v>0</v>
      </c>
      <c r="N313" s="581"/>
      <c r="O313" s="580">
        <f>O312+O311</f>
        <v>0</v>
      </c>
      <c r="P313" s="29"/>
      <c r="Q313" s="580">
        <f>Q312+Q311</f>
        <v>0</v>
      </c>
      <c r="R313" s="29"/>
      <c r="S313" s="580">
        <f>S312+S311</f>
        <v>0</v>
      </c>
      <c r="T313" s="29"/>
      <c r="U313" s="580">
        <f>U312+U311</f>
        <v>0</v>
      </c>
      <c r="V313" s="29"/>
      <c r="W313" s="580">
        <f>W312+W311</f>
        <v>0</v>
      </c>
      <c r="X313" s="583"/>
      <c r="Y313" s="580">
        <f>Y312+Y311</f>
        <v>0</v>
      </c>
      <c r="Z313" s="596"/>
      <c r="AA313" s="396">
        <f t="shared" si="214"/>
        <v>0</v>
      </c>
      <c r="AB313" s="597"/>
      <c r="AC313" s="598">
        <f>AC312+AC311</f>
        <v>0</v>
      </c>
      <c r="AD313" s="583"/>
      <c r="AE313" s="598">
        <f>AE312+AE311</f>
        <v>0</v>
      </c>
      <c r="AF313" s="583"/>
      <c r="AG313" s="598">
        <f>AG312+AG311</f>
        <v>0</v>
      </c>
      <c r="AH313" s="583"/>
      <c r="AI313" s="598">
        <f>AI312+AI311</f>
        <v>0</v>
      </c>
      <c r="AJ313" s="275">
        <f t="shared" si="215"/>
        <v>0</v>
      </c>
      <c r="AK313" s="274"/>
      <c r="AL313" s="823"/>
      <c r="AM313" s="113"/>
      <c r="AN313" s="817"/>
      <c r="AO313" s="283">
        <v>134</v>
      </c>
    </row>
    <row r="314" spans="1:41">
      <c r="A314" s="895" t="s">
        <v>797</v>
      </c>
      <c r="B314" s="758" t="s">
        <v>754</v>
      </c>
      <c r="C314" s="706" t="s">
        <v>798</v>
      </c>
      <c r="D314" s="23"/>
      <c r="E314" s="24"/>
      <c r="F314" s="24"/>
      <c r="G314" s="24"/>
      <c r="H314" s="24"/>
      <c r="I314" s="24"/>
      <c r="J314" s="24"/>
      <c r="K314" s="24"/>
      <c r="L314" s="206"/>
      <c r="M314" s="90"/>
      <c r="N314" s="581"/>
      <c r="O314" s="30"/>
      <c r="P314" s="29"/>
      <c r="Q314" s="30"/>
      <c r="R314" s="29"/>
      <c r="S314" s="30"/>
      <c r="T314" s="29"/>
      <c r="U314" s="30"/>
      <c r="V314" s="29"/>
      <c r="W314" s="30"/>
      <c r="X314" s="583"/>
      <c r="Y314" s="30"/>
      <c r="Z314" s="596"/>
      <c r="AA314" s="396">
        <f t="shared" si="214"/>
        <v>0</v>
      </c>
      <c r="AB314" s="597"/>
      <c r="AC314" s="87"/>
      <c r="AD314" s="583"/>
      <c r="AE314" s="87"/>
      <c r="AF314" s="583"/>
      <c r="AG314" s="87"/>
      <c r="AH314" s="583"/>
      <c r="AI314" s="87"/>
      <c r="AJ314" s="275">
        <f t="shared" si="215"/>
        <v>0</v>
      </c>
      <c r="AK314" s="274"/>
      <c r="AL314" s="823"/>
      <c r="AM314" s="113"/>
      <c r="AN314" s="817"/>
      <c r="AO314" s="283">
        <v>135</v>
      </c>
    </row>
    <row r="315" spans="1:41">
      <c r="A315" s="895"/>
      <c r="B315" s="330" t="s">
        <v>756</v>
      </c>
      <c r="C315" s="27" t="s">
        <v>799</v>
      </c>
      <c r="D315" s="28"/>
      <c r="E315" s="29"/>
      <c r="F315" s="29"/>
      <c r="G315" s="29"/>
      <c r="H315" s="29"/>
      <c r="I315" s="29"/>
      <c r="J315" s="29"/>
      <c r="K315" s="29"/>
      <c r="L315" s="91"/>
      <c r="M315" s="90"/>
      <c r="N315" s="29"/>
      <c r="O315" s="30"/>
      <c r="P315" s="29"/>
      <c r="Q315" s="30"/>
      <c r="R315" s="29"/>
      <c r="S315" s="30"/>
      <c r="T315" s="29"/>
      <c r="U315" s="30"/>
      <c r="V315" s="29"/>
      <c r="W315" s="30"/>
      <c r="X315" s="583"/>
      <c r="Y315" s="30"/>
      <c r="Z315" s="596"/>
      <c r="AA315" s="396">
        <f t="shared" si="214"/>
        <v>0</v>
      </c>
      <c r="AB315" s="597"/>
      <c r="AC315" s="87"/>
      <c r="AD315" s="583"/>
      <c r="AE315" s="87"/>
      <c r="AF315" s="583"/>
      <c r="AG315" s="87"/>
      <c r="AH315" s="583"/>
      <c r="AI315" s="87"/>
      <c r="AJ315" s="275">
        <f t="shared" si="215"/>
        <v>0</v>
      </c>
      <c r="AK315" s="274"/>
      <c r="AL315" s="823"/>
      <c r="AM315" s="113"/>
      <c r="AN315" s="817"/>
      <c r="AO315" s="283">
        <v>136</v>
      </c>
    </row>
    <row r="316" spans="1:41">
      <c r="A316" s="895"/>
      <c r="B316" s="330" t="s">
        <v>760</v>
      </c>
      <c r="C316" s="27" t="s">
        <v>801</v>
      </c>
      <c r="D316" s="28"/>
      <c r="E316" s="29"/>
      <c r="F316" s="29"/>
      <c r="G316" s="29"/>
      <c r="H316" s="29"/>
      <c r="I316" s="29"/>
      <c r="J316" s="29"/>
      <c r="K316" s="29"/>
      <c r="L316" s="91"/>
      <c r="M316" s="90"/>
      <c r="N316" s="29"/>
      <c r="O316" s="30"/>
      <c r="P316" s="29"/>
      <c r="Q316" s="30"/>
      <c r="R316" s="29"/>
      <c r="S316" s="30"/>
      <c r="T316" s="29"/>
      <c r="U316" s="30"/>
      <c r="V316" s="29"/>
      <c r="W316" s="30"/>
      <c r="X316" s="583"/>
      <c r="Y316" s="30"/>
      <c r="Z316" s="596"/>
      <c r="AA316" s="396">
        <f t="shared" si="214"/>
        <v>0</v>
      </c>
      <c r="AB316" s="597"/>
      <c r="AC316" s="87"/>
      <c r="AD316" s="583"/>
      <c r="AE316" s="87"/>
      <c r="AF316" s="583"/>
      <c r="AG316" s="87"/>
      <c r="AH316" s="583"/>
      <c r="AI316" s="87"/>
      <c r="AJ316" s="275">
        <f t="shared" si="215"/>
        <v>0</v>
      </c>
      <c r="AK316" s="274"/>
      <c r="AL316" s="823"/>
      <c r="AM316" s="113"/>
      <c r="AN316" s="817"/>
      <c r="AO316" s="283">
        <v>137</v>
      </c>
    </row>
    <row r="317" spans="1:41" ht="31.5" thickBot="1">
      <c r="A317" s="895"/>
      <c r="B317" s="290" t="s">
        <v>764</v>
      </c>
      <c r="C317" s="708" t="s">
        <v>803</v>
      </c>
      <c r="D317" s="50"/>
      <c r="E317" s="51"/>
      <c r="F317" s="51"/>
      <c r="G317" s="51"/>
      <c r="H317" s="51"/>
      <c r="I317" s="51"/>
      <c r="J317" s="51"/>
      <c r="K317" s="51"/>
      <c r="L317" s="362"/>
      <c r="M317" s="563"/>
      <c r="N317" s="51"/>
      <c r="O317" s="336"/>
      <c r="P317" s="51"/>
      <c r="Q317" s="336"/>
      <c r="R317" s="51"/>
      <c r="S317" s="336"/>
      <c r="T317" s="51"/>
      <c r="U317" s="336"/>
      <c r="V317" s="51"/>
      <c r="W317" s="336"/>
      <c r="X317" s="584"/>
      <c r="Y317" s="336"/>
      <c r="Z317" s="599"/>
      <c r="AA317" s="396">
        <f t="shared" si="214"/>
        <v>0</v>
      </c>
      <c r="AB317" s="600"/>
      <c r="AC317" s="588"/>
      <c r="AD317" s="584"/>
      <c r="AE317" s="588"/>
      <c r="AF317" s="584"/>
      <c r="AG317" s="588"/>
      <c r="AH317" s="584"/>
      <c r="AI317" s="588"/>
      <c r="AJ317" s="279">
        <f t="shared" si="215"/>
        <v>0</v>
      </c>
      <c r="AK317" s="276"/>
      <c r="AL317" s="823"/>
      <c r="AM317" s="277"/>
      <c r="AN317" s="817"/>
      <c r="AO317" s="283">
        <v>138</v>
      </c>
    </row>
    <row r="318" spans="1:41" ht="59.45" customHeight="1" thickBot="1">
      <c r="A318" s="896"/>
      <c r="B318" s="702" t="s">
        <v>973</v>
      </c>
      <c r="C318" s="757" t="s">
        <v>805</v>
      </c>
      <c r="D318" s="578"/>
      <c r="E318" s="579"/>
      <c r="F318" s="579"/>
      <c r="G318" s="579"/>
      <c r="H318" s="579"/>
      <c r="I318" s="579"/>
      <c r="J318" s="579"/>
      <c r="K318" s="579"/>
      <c r="L318" s="579"/>
      <c r="M318" s="79"/>
      <c r="N318" s="579"/>
      <c r="O318" s="79"/>
      <c r="P318" s="579"/>
      <c r="Q318" s="79"/>
      <c r="R318" s="579"/>
      <c r="S318" s="79"/>
      <c r="T318" s="579"/>
      <c r="U318" s="79"/>
      <c r="V318" s="579"/>
      <c r="W318" s="79"/>
      <c r="X318" s="586"/>
      <c r="Y318" s="79"/>
      <c r="Z318" s="603"/>
      <c r="AA318" s="396"/>
      <c r="AB318" s="604"/>
      <c r="AC318" s="96"/>
      <c r="AD318" s="586"/>
      <c r="AE318" s="96"/>
      <c r="AF318" s="586"/>
      <c r="AG318" s="96"/>
      <c r="AH318" s="586"/>
      <c r="AI318" s="96"/>
      <c r="AJ318" s="279">
        <f t="shared" si="215"/>
        <v>0</v>
      </c>
      <c r="AK318" s="615"/>
      <c r="AL318" s="824"/>
      <c r="AM318" s="383"/>
      <c r="AN318" s="818"/>
      <c r="AO318" s="283"/>
    </row>
    <row r="319" spans="1:41" ht="31.5" thickBot="1">
      <c r="A319" s="976" t="s">
        <v>807</v>
      </c>
      <c r="B319" s="834"/>
      <c r="C319" s="834"/>
      <c r="D319" s="834"/>
      <c r="E319" s="834"/>
      <c r="F319" s="834"/>
      <c r="G319" s="834"/>
      <c r="H319" s="834"/>
      <c r="I319" s="834"/>
      <c r="J319" s="834"/>
      <c r="K319" s="834"/>
      <c r="L319" s="834"/>
      <c r="M319" s="834"/>
      <c r="N319" s="834"/>
      <c r="O319" s="834"/>
      <c r="P319" s="834"/>
      <c r="Q319" s="834"/>
      <c r="R319" s="834"/>
      <c r="S319" s="834"/>
      <c r="T319" s="834"/>
      <c r="U319" s="834"/>
      <c r="V319" s="834"/>
      <c r="W319" s="834"/>
      <c r="X319" s="834"/>
      <c r="Y319" s="834"/>
      <c r="Z319" s="834"/>
      <c r="AA319" s="837"/>
      <c r="AB319" s="843"/>
      <c r="AC319" s="843"/>
      <c r="AD319" s="843"/>
      <c r="AE319" s="843"/>
      <c r="AF319" s="843"/>
      <c r="AG319" s="843"/>
      <c r="AH319" s="843"/>
      <c r="AI319" s="843"/>
      <c r="AJ319" s="834"/>
      <c r="AK319" s="834"/>
      <c r="AL319" s="834"/>
      <c r="AM319" s="834"/>
      <c r="AN319" s="844"/>
      <c r="AO319" s="283">
        <v>139</v>
      </c>
    </row>
    <row r="320" spans="1:41" ht="26.25" customHeight="1">
      <c r="A320" s="979" t="s">
        <v>3</v>
      </c>
      <c r="B320" s="1014" t="s">
        <v>4</v>
      </c>
      <c r="C320" s="892" t="s">
        <v>5</v>
      </c>
      <c r="D320" s="909" t="s">
        <v>888</v>
      </c>
      <c r="E320" s="909"/>
      <c r="F320" s="909" t="s">
        <v>889</v>
      </c>
      <c r="G320" s="909"/>
      <c r="H320" s="909" t="s">
        <v>890</v>
      </c>
      <c r="I320" s="909"/>
      <c r="J320" s="909" t="s">
        <v>891</v>
      </c>
      <c r="K320" s="909"/>
      <c r="L320" s="909" t="s">
        <v>892</v>
      </c>
      <c r="M320" s="909"/>
      <c r="N320" s="909" t="s">
        <v>893</v>
      </c>
      <c r="O320" s="909"/>
      <c r="P320" s="909" t="s">
        <v>894</v>
      </c>
      <c r="Q320" s="909"/>
      <c r="R320" s="909" t="s">
        <v>895</v>
      </c>
      <c r="S320" s="909"/>
      <c r="T320" s="909" t="s">
        <v>896</v>
      </c>
      <c r="U320" s="909"/>
      <c r="V320" s="909" t="s">
        <v>897</v>
      </c>
      <c r="W320" s="909"/>
      <c r="X320" s="909" t="s">
        <v>898</v>
      </c>
      <c r="Y320" s="909"/>
      <c r="Z320" s="909" t="s">
        <v>899</v>
      </c>
      <c r="AA320" s="845"/>
      <c r="AB320" s="1006"/>
      <c r="AC320" s="906"/>
      <c r="AD320" s="906"/>
      <c r="AE320" s="906"/>
      <c r="AF320" s="906"/>
      <c r="AG320" s="906"/>
      <c r="AH320" s="906"/>
      <c r="AI320" s="907"/>
      <c r="AJ320" s="971" t="s">
        <v>904</v>
      </c>
      <c r="AK320" s="923" t="s">
        <v>905</v>
      </c>
      <c r="AL320" s="911" t="s">
        <v>906</v>
      </c>
      <c r="AM320" s="922" t="s">
        <v>907</v>
      </c>
      <c r="AN320" s="888" t="s">
        <v>907</v>
      </c>
      <c r="AO320" s="283">
        <v>140</v>
      </c>
    </row>
    <row r="321" spans="1:45" ht="31.5" thickBot="1">
      <c r="A321" s="945"/>
      <c r="B321" s="1015"/>
      <c r="C321" s="893"/>
      <c r="D321" s="82" t="s">
        <v>908</v>
      </c>
      <c r="E321" s="82" t="s">
        <v>909</v>
      </c>
      <c r="F321" s="82" t="s">
        <v>908</v>
      </c>
      <c r="G321" s="82" t="s">
        <v>909</v>
      </c>
      <c r="H321" s="82" t="s">
        <v>908</v>
      </c>
      <c r="I321" s="82" t="s">
        <v>909</v>
      </c>
      <c r="J321" s="82" t="s">
        <v>908</v>
      </c>
      <c r="K321" s="82" t="s">
        <v>909</v>
      </c>
      <c r="L321" s="82" t="s">
        <v>908</v>
      </c>
      <c r="M321" s="82" t="s">
        <v>909</v>
      </c>
      <c r="N321" s="82" t="s">
        <v>908</v>
      </c>
      <c r="O321" s="82" t="s">
        <v>909</v>
      </c>
      <c r="P321" s="82" t="s">
        <v>908</v>
      </c>
      <c r="Q321" s="82" t="s">
        <v>909</v>
      </c>
      <c r="R321" s="82" t="s">
        <v>908</v>
      </c>
      <c r="S321" s="82" t="s">
        <v>909</v>
      </c>
      <c r="T321" s="82" t="s">
        <v>908</v>
      </c>
      <c r="U321" s="82" t="s">
        <v>909</v>
      </c>
      <c r="V321" s="82" t="s">
        <v>908</v>
      </c>
      <c r="W321" s="82" t="s">
        <v>909</v>
      </c>
      <c r="X321" s="82" t="s">
        <v>908</v>
      </c>
      <c r="Y321" s="82" t="s">
        <v>909</v>
      </c>
      <c r="Z321" s="82" t="s">
        <v>908</v>
      </c>
      <c r="AA321" s="373" t="s">
        <v>909</v>
      </c>
      <c r="AB321" s="250"/>
      <c r="AC321" s="251"/>
      <c r="AD321" s="251"/>
      <c r="AE321" s="251"/>
      <c r="AF321" s="251"/>
      <c r="AG321" s="251"/>
      <c r="AH321" s="251"/>
      <c r="AI321" s="278"/>
      <c r="AJ321" s="973"/>
      <c r="AK321" s="924"/>
      <c r="AL321" s="912"/>
      <c r="AM321" s="922"/>
      <c r="AN321" s="889"/>
      <c r="AO321" s="283">
        <v>141</v>
      </c>
    </row>
    <row r="322" spans="1:45" ht="57" thickBot="1">
      <c r="A322" s="625" t="s">
        <v>954</v>
      </c>
      <c r="B322" s="626" t="s">
        <v>809</v>
      </c>
      <c r="C322" s="287" t="s">
        <v>810</v>
      </c>
      <c r="D322" s="627">
        <f>D323+D324</f>
        <v>0</v>
      </c>
      <c r="E322" s="627">
        <f t="shared" ref="E322:AA322" si="218">E323+E324</f>
        <v>0</v>
      </c>
      <c r="F322" s="627">
        <f t="shared" si="218"/>
        <v>0</v>
      </c>
      <c r="G322" s="627">
        <f t="shared" si="218"/>
        <v>0</v>
      </c>
      <c r="H322" s="627">
        <f t="shared" si="218"/>
        <v>0</v>
      </c>
      <c r="I322" s="627">
        <f t="shared" si="218"/>
        <v>0</v>
      </c>
      <c r="J322" s="627">
        <f t="shared" si="218"/>
        <v>0</v>
      </c>
      <c r="K322" s="627">
        <f t="shared" si="218"/>
        <v>0</v>
      </c>
      <c r="L322" s="627">
        <f t="shared" si="218"/>
        <v>0</v>
      </c>
      <c r="M322" s="627">
        <f t="shared" si="218"/>
        <v>0</v>
      </c>
      <c r="N322" s="627">
        <f t="shared" si="218"/>
        <v>0</v>
      </c>
      <c r="O322" s="627">
        <f t="shared" si="218"/>
        <v>0</v>
      </c>
      <c r="P322" s="627">
        <f t="shared" si="218"/>
        <v>0</v>
      </c>
      <c r="Q322" s="627">
        <f t="shared" si="218"/>
        <v>0</v>
      </c>
      <c r="R322" s="627">
        <f t="shared" si="218"/>
        <v>0</v>
      </c>
      <c r="S322" s="627">
        <f t="shared" si="218"/>
        <v>0</v>
      </c>
      <c r="T322" s="627">
        <f t="shared" si="218"/>
        <v>0</v>
      </c>
      <c r="U322" s="627">
        <f t="shared" si="218"/>
        <v>0</v>
      </c>
      <c r="V322" s="627">
        <f t="shared" si="218"/>
        <v>0</v>
      </c>
      <c r="W322" s="627">
        <f t="shared" si="218"/>
        <v>0</v>
      </c>
      <c r="X322" s="627">
        <f t="shared" si="218"/>
        <v>0</v>
      </c>
      <c r="Y322" s="627">
        <f t="shared" si="218"/>
        <v>0</v>
      </c>
      <c r="Z322" s="627">
        <f t="shared" si="218"/>
        <v>0</v>
      </c>
      <c r="AA322" s="627">
        <f t="shared" si="218"/>
        <v>0</v>
      </c>
      <c r="AB322" s="627">
        <f t="shared" ref="AB322" si="219">AB323+AB324</f>
        <v>0</v>
      </c>
      <c r="AC322" s="627">
        <f t="shared" ref="AC322" si="220">AC323+AC324</f>
        <v>0</v>
      </c>
      <c r="AD322" s="627">
        <f t="shared" ref="AD322" si="221">AD323+AD324</f>
        <v>0</v>
      </c>
      <c r="AE322" s="627">
        <f t="shared" ref="AE322" si="222">AE323+AE324</f>
        <v>0</v>
      </c>
      <c r="AF322" s="627">
        <f t="shared" ref="AF322" si="223">AF323+AF324</f>
        <v>0</v>
      </c>
      <c r="AG322" s="627">
        <f t="shared" ref="AG322" si="224">AG323+AG324</f>
        <v>0</v>
      </c>
      <c r="AH322" s="627">
        <f t="shared" ref="AH322" si="225">AH323+AH324</f>
        <v>0</v>
      </c>
      <c r="AI322" s="627">
        <f t="shared" ref="AI322" si="226">AI323+AI324</f>
        <v>0</v>
      </c>
      <c r="AJ322" s="255">
        <f>SUM(D322:AA322)</f>
        <v>0</v>
      </c>
      <c r="AK322" s="119"/>
      <c r="AL322" s="822" t="str">
        <f>CONCATENATE(AK322,AK323,AK328,AK333,AK334,AK331,AK329,AK336,AK325,AK332,AK326,AK330,AK327,AK335,AK324)</f>
        <v/>
      </c>
      <c r="AM322" s="110"/>
      <c r="AN322" s="819" t="str">
        <f>CONCATENATE(AM322,AM329,AM323,AM328,AM333,AM334,AM336,AM331,AM332,AM324,AM325,AM326,AM327,AM330,AM335)</f>
        <v/>
      </c>
      <c r="AO322" s="283">
        <v>142</v>
      </c>
    </row>
    <row r="323" spans="1:45" ht="57" thickBot="1">
      <c r="A323" s="21" t="s">
        <v>813</v>
      </c>
      <c r="B323" s="628" t="s">
        <v>814</v>
      </c>
      <c r="C323" s="191" t="s">
        <v>815</v>
      </c>
      <c r="D323" s="629"/>
      <c r="E323" s="630"/>
      <c r="F323" s="630"/>
      <c r="G323" s="630"/>
      <c r="H323" s="630"/>
      <c r="I323" s="630"/>
      <c r="J323" s="630"/>
      <c r="K323" s="630"/>
      <c r="L323" s="630"/>
      <c r="M323" s="630"/>
      <c r="N323" s="630"/>
      <c r="O323" s="630"/>
      <c r="P323" s="630"/>
      <c r="Q323" s="630"/>
      <c r="R323" s="630"/>
      <c r="S323" s="630"/>
      <c r="T323" s="630"/>
      <c r="U323" s="630"/>
      <c r="V323" s="630"/>
      <c r="W323" s="630"/>
      <c r="X323" s="630"/>
      <c r="Y323" s="630"/>
      <c r="Z323" s="630"/>
      <c r="AA323" s="657"/>
      <c r="AB323" s="241"/>
      <c r="AC323" s="241"/>
      <c r="AD323" s="241"/>
      <c r="AE323" s="241"/>
      <c r="AF323" s="241"/>
      <c r="AG323" s="241"/>
      <c r="AH323" s="241"/>
      <c r="AI323" s="241"/>
      <c r="AJ323" s="667">
        <f>SUM(D323:AA323)</f>
        <v>0</v>
      </c>
      <c r="AK323" s="276"/>
      <c r="AL323" s="823"/>
      <c r="AM323" s="277"/>
      <c r="AN323" s="820"/>
      <c r="AO323" s="283">
        <v>180</v>
      </c>
    </row>
    <row r="324" spans="1:45" ht="84">
      <c r="A324" s="894" t="s">
        <v>817</v>
      </c>
      <c r="B324" s="631" t="s">
        <v>955</v>
      </c>
      <c r="C324" s="18" t="s">
        <v>819</v>
      </c>
      <c r="D324" s="632"/>
      <c r="E324" s="633"/>
      <c r="F324" s="633"/>
      <c r="G324" s="633"/>
      <c r="H324" s="633"/>
      <c r="I324" s="633"/>
      <c r="J324" s="633"/>
      <c r="K324" s="633"/>
      <c r="L324" s="633"/>
      <c r="M324" s="633"/>
      <c r="N324" s="633"/>
      <c r="O324" s="633"/>
      <c r="P324" s="633"/>
      <c r="Q324" s="633"/>
      <c r="R324" s="633"/>
      <c r="S324" s="633"/>
      <c r="T324" s="633"/>
      <c r="U324" s="633"/>
      <c r="V324" s="633"/>
      <c r="W324" s="633"/>
      <c r="X324" s="633"/>
      <c r="Y324" s="633"/>
      <c r="Z324" s="633"/>
      <c r="AA324" s="658"/>
      <c r="AB324" s="241"/>
      <c r="AC324" s="241"/>
      <c r="AD324" s="241"/>
      <c r="AE324" s="241"/>
      <c r="AF324" s="241"/>
      <c r="AG324" s="241"/>
      <c r="AH324" s="241"/>
      <c r="AI324" s="241"/>
      <c r="AJ324" s="255">
        <f>SUM(D324:AA324)</f>
        <v>0</v>
      </c>
      <c r="AK324" s="668"/>
      <c r="AL324" s="823"/>
      <c r="AM324" s="669"/>
      <c r="AN324" s="820"/>
      <c r="AO324" s="283"/>
    </row>
    <row r="325" spans="1:45" ht="31.5" customHeight="1">
      <c r="A325" s="895"/>
      <c r="B325" s="759" t="s">
        <v>821</v>
      </c>
      <c r="C325" s="27" t="s">
        <v>822</v>
      </c>
      <c r="D325" s="634"/>
      <c r="E325" s="635"/>
      <c r="F325" s="635"/>
      <c r="G325" s="635"/>
      <c r="H325" s="635"/>
      <c r="I325" s="635"/>
      <c r="J325" s="635"/>
      <c r="K325" s="635"/>
      <c r="L325" s="635"/>
      <c r="M325" s="635"/>
      <c r="N325" s="635"/>
      <c r="O325" s="635"/>
      <c r="P325" s="635"/>
      <c r="Q325" s="635"/>
      <c r="R325" s="635"/>
      <c r="S325" s="635"/>
      <c r="T325" s="635"/>
      <c r="U325" s="635"/>
      <c r="V325" s="635"/>
      <c r="W325" s="635"/>
      <c r="X325" s="635"/>
      <c r="Y325" s="635"/>
      <c r="Z325" s="635"/>
      <c r="AA325" s="635"/>
      <c r="AB325" s="241"/>
      <c r="AC325" s="241"/>
      <c r="AD325" s="241"/>
      <c r="AE325" s="241"/>
      <c r="AF325" s="241"/>
      <c r="AG325" s="241"/>
      <c r="AH325" s="241"/>
      <c r="AI325" s="241"/>
      <c r="AJ325" s="256">
        <f>SUM(D325:AA325)</f>
        <v>0</v>
      </c>
      <c r="AK325" s="282" t="str">
        <f>CONCATENATE(IF(D329&gt;D325," * Initiated Pep for Age "&amp;D6&amp;" "&amp;D7&amp;" is more than Rape survivors"&amp;CHAR(10),""),IF(E329&gt;E325," * Initiated Pep for Age "&amp;D6&amp;" "&amp;E7&amp;" is more than Rape survivors"&amp;CHAR(10),""),IF(F329&gt;F325," * Initiated Pep for Age "&amp;F6&amp;" "&amp;F7&amp;" is more than Rape survivors"&amp;CHAR(10),""),IF(G329&gt;G325," * Initiated Pep for Age "&amp;F6&amp;" "&amp;G7&amp;" is more than Rape survivors"&amp;CHAR(10),""),IF(H329&gt;H325," * Initiated Pep for Age "&amp;H6&amp;" "&amp;H7&amp;" is more than Rape survivors"&amp;CHAR(10),""),IF(I329&gt;I325," * Initiated Pep for Age "&amp;H6&amp;" "&amp;I7&amp;" is more than Rape survivors"&amp;CHAR(10),""),IF(J329&gt;J325," * Initiated Pep for Age "&amp;J6&amp;" "&amp;J7&amp;" is more than Rape survivors"&amp;CHAR(10),""),IF(K329&gt;K325," * Initiated Pep for Age "&amp;J6&amp;" "&amp;K7&amp;" is more than Rape survivors"&amp;CHAR(10),""),IF(L329&gt;L325," * Initiated Pep for Age "&amp;L6&amp;" "&amp;L7&amp;" is more than Rape survivors"&amp;CHAR(10),""),IF(M329&gt;M325," * Initiated Pep for Age "&amp;L6&amp;" "&amp;M7&amp;" is more than Rape survivors"&amp;CHAR(10),""),IF(N329&gt;N325," * Initiated Pep for Age "&amp;N6&amp;" "&amp;N7&amp;" is more than Rape survivors"&amp;CHAR(10),""),IF(O329&gt;O325," * Initiated Pep for Age "&amp;N6&amp;" "&amp;O7&amp;" is more than Rape survivors"&amp;CHAR(10),""),IF(P329&gt;P325," * Initiated Pep for Age "&amp;P6&amp;" "&amp;P7&amp;" is more than Rape survivors"&amp;CHAR(10),""),IF(Q329&gt;Q325," * Initiated Pep for Age "&amp;P6&amp;" "&amp;Q7&amp;" is more than Rape survivors"&amp;CHAR(10),""),IF(R329&gt;R325," * Initiated Pep for Age "&amp;R6&amp;" "&amp;R7&amp;" is more than Rape survivors"&amp;CHAR(10),""),IF(S329&gt;S325," * Initiated Pep for Age "&amp;R6&amp;" "&amp;S7&amp;" is more than Rape survivors"&amp;CHAR(10),""),IF(T329&gt;T325," * Initiated Pep for Age "&amp;T6&amp;" "&amp;T7&amp;" is more than Rape survivors"&amp;CHAR(10),""),IF(U329&gt;U325," * Initiated Pep for Age "&amp;T6&amp;" "&amp;U7&amp;" is more than Rape survivors"&amp;CHAR(10),""),IF(V329&gt;V325," * Initiated Pep for Age "&amp;V6&amp;" "&amp;V7&amp;" is more than Rape survivors"&amp;CHAR(10),""),IF(W329&gt;W325," * Initiated Pep for Age "&amp;V6&amp;" "&amp;W7&amp;" is more than Rape survivors"&amp;CHAR(10),""),IF(X329&gt;X325," * Initiated Pep for Age "&amp;X6&amp;" "&amp;X7&amp;" is more than Rape survivors"&amp;CHAR(10),""),IF(Y329&gt;Y325," * Initiated Pep for Age "&amp;X6&amp;" "&amp;Y7&amp;" is more than Rape survivors"&amp;CHAR(10),""),IF(Z329&gt;Z325," * Initiated Pep for Age "&amp;Z6&amp;" "&amp;Z7&amp;" is more than Rape survivors"&amp;CHAR(10),""),IF(AA329&gt;AA325," * Initiated Pep for Age "&amp;Z6&amp;" "&amp;AA7&amp;" is more than Rape survivors"&amp;CHAR(10),""))</f>
        <v/>
      </c>
      <c r="AL325" s="823"/>
      <c r="AM325" s="113"/>
      <c r="AN325" s="820"/>
      <c r="AO325" s="283">
        <v>178</v>
      </c>
    </row>
    <row r="326" spans="1:45" s="5" customFormat="1">
      <c r="A326" s="895"/>
      <c r="B326" s="636" t="s">
        <v>824</v>
      </c>
      <c r="C326" s="27" t="s">
        <v>825</v>
      </c>
      <c r="D326" s="637"/>
      <c r="E326" s="638"/>
      <c r="F326" s="638"/>
      <c r="G326" s="638"/>
      <c r="H326" s="638"/>
      <c r="I326" s="638"/>
      <c r="J326" s="638"/>
      <c r="K326" s="638"/>
      <c r="L326" s="638"/>
      <c r="M326" s="638"/>
      <c r="N326" s="638"/>
      <c r="O326" s="638"/>
      <c r="P326" s="638"/>
      <c r="Q326" s="638"/>
      <c r="R326" s="638"/>
      <c r="S326" s="638"/>
      <c r="T326" s="638"/>
      <c r="U326" s="638"/>
      <c r="V326" s="638"/>
      <c r="W326" s="638"/>
      <c r="X326" s="638"/>
      <c r="Y326" s="638"/>
      <c r="Z326" s="638"/>
      <c r="AA326" s="638"/>
      <c r="AB326" s="241"/>
      <c r="AC326" s="241"/>
      <c r="AD326" s="241"/>
      <c r="AE326" s="241"/>
      <c r="AF326" s="241"/>
      <c r="AG326" s="241"/>
      <c r="AH326" s="241"/>
      <c r="AI326" s="241"/>
      <c r="AJ326" s="256">
        <f t="shared" ref="AJ326:AJ329" si="227">SUM(D326:AA326)</f>
        <v>0</v>
      </c>
      <c r="AK326" s="282" t="str">
        <f>CONCATENATE(IF(D325&lt;D326," *  Sexual Rape Survivors Tested for HIV"&amp;$D$6&amp;" "&amp;$D$7&amp;" should not be more than Sexual Rape Survivors"&amp;CHAR(10),""),IF(E325&lt;E326," *  Sexual Rape Survivors Tested for HIV"&amp;$D$6&amp;" "&amp;$E$7&amp;" should not be more than Sexual Rape Survivors"&amp;CHAR(10),""),IF(F325&lt;F326," *  Sexual Rape Survivors Tested for HIV"&amp;$F$6&amp;" "&amp;$F$7&amp;" should not be more than Sexual Rape Survivors"&amp;CHAR(10),""),IF(G325&lt;G326," *  Sexual Rape Survivors Tested for HIV"&amp;$F$6&amp;" "&amp;$G$7&amp;" should not be more than Sexual Rape Survivors"&amp;CHAR(10),""),IF(H325&lt;H326," *  Sexual Rape Survivors Tested for HIV"&amp;$H$6&amp;" "&amp;$H$7&amp;" should not be more than Sexual Rape Survivors"&amp;CHAR(10),""),IF(I325&lt;I326," *  Sexual Rape Survivors Tested for HIV"&amp;$H$6&amp;" "&amp;$I$7&amp;" should not be more than Sexual Rape Survivors"&amp;CHAR(10),""),IF(J325&lt;J326," *  Sexual Rape Survivors Tested for HIV"&amp;$J$6&amp;" "&amp;$J$7&amp;" should not be more than Sexual Rape Survivors"&amp;CHAR(10),""),IF(K325&lt;K326," *  Sexual Rape Survivors Tested for HIV"&amp;$J$6&amp;" "&amp;$K$7&amp;" should not be more than Sexual Rape Survivors"&amp;CHAR(10),""),IF(L325&lt;L326," *  Sexual Rape Survivors Tested for HIV"&amp;$L$6&amp;" "&amp;$L$7&amp;" should not be more than Sexual Rape Survivors"&amp;CHAR(10),""),IF(M325&lt;M326," *  Sexual Rape Survivors Tested for HIV"&amp;$L$6&amp;" "&amp;$M$7&amp;" should not be more than Sexual Rape Survivors"&amp;CHAR(10),""),IF(N325&lt;N326," *  Sexual Rape Survivors Tested for HIV"&amp;$N$6&amp;" "&amp;$N$7&amp;" should not be more than Sexual Rape Survivors"&amp;CHAR(10),""),IF(O325&lt;O326," *  Sexual Rape Survivors Tested for HIV"&amp;$N$6&amp;" "&amp;$O$7&amp;" should not be more than Sexual Rape Survivors"&amp;CHAR(10),""),IF(P325&lt;P326," *  Sexual Rape Survivors Tested for HIV"&amp;$P$6&amp;" "&amp;$P$7&amp;" should not be more than Sexual Rape Survivors"&amp;CHAR(10),""),IF(Q325&lt;Q326," *  Sexual Rape Survivors Tested for HIV"&amp;$P$6&amp;" "&amp;$Q$7&amp;" should not be more than Sexual Rape Survivors"&amp;CHAR(10),""),IF(R325&lt;R326," *  Sexual Rape Survivors Tested for HIV"&amp;$R$6&amp;" "&amp;$R$7&amp;" should not be more than Sexual Rape Survivors"&amp;CHAR(10),""),IF(S325&lt;S326," *  Sexual Rape Survivors Tested for HIV"&amp;$R$6&amp;" "&amp;$S$7&amp;" should not be more than Sexual Rape Survivors"&amp;CHAR(10),""),IF(T325&lt;T326," *  Sexual Rape Survivors Tested for HIV"&amp;$T$6&amp;" "&amp;$T$7&amp;" should not be more than Sexual Rape Survivors"&amp;CHAR(10),""),IF(U325&lt;U326," *  Sexual Rape Survivors Tested for HIV"&amp;$T$6&amp;" "&amp;$U$7&amp;" should not be more than Sexual Rape Survivors"&amp;CHAR(10),""),IF(V325&lt;V326," *  Sexual Rape Survivors Tested for HIV"&amp;$V$6&amp;" "&amp;$V$7&amp;" should not be more than Sexual Rape Survivors"&amp;CHAR(10),""),IF(W325&lt;W326," *  Sexual Rape Survivors Tested for HIV"&amp;$V$6&amp;" "&amp;$W$7&amp;" should not be more than Sexual Rape Survivors"&amp;CHAR(10),""),IF(X325&lt;X326," *  Sexual Rape Survivors Tested for HIV"&amp;$X$6&amp;" "&amp;$X$7&amp;" should not be more than Sexual Rape Survivors"&amp;CHAR(10),""),IF(Y325&lt;Y326," *  Sexual Rape Survivors Tested for HIV"&amp;$X$6&amp;" "&amp;$Y$7&amp;" should not be more than Sexual Rape Survivors"&amp;CHAR(10),""),IF(Z325&lt;Z326," *  Sexual Rape Survivors Tested for HIV"&amp;$Z$6&amp;" "&amp;$Z$7&amp;" should not be more than Sexual Rape Survivors"&amp;CHAR(10),""),IF(AA325&lt;AA326," *  Sexual Rape Survivors Tested for HIV"&amp;$Z$6&amp;" "&amp;$AA$7&amp;" should not be more than Sexual Rape Survivors"&amp;CHAR(10),""))</f>
        <v/>
      </c>
      <c r="AL326" s="823"/>
      <c r="AM326" s="113"/>
      <c r="AN326" s="820"/>
      <c r="AO326" s="283">
        <v>187</v>
      </c>
      <c r="AQ326" s="132"/>
      <c r="AR326" s="132"/>
      <c r="AS326" s="132"/>
    </row>
    <row r="327" spans="1:45" s="5" customFormat="1" ht="57" thickBot="1">
      <c r="A327" s="895"/>
      <c r="B327" s="639" t="s">
        <v>827</v>
      </c>
      <c r="C327" s="27" t="s">
        <v>828</v>
      </c>
      <c r="D327" s="640"/>
      <c r="E327" s="641"/>
      <c r="F327" s="641"/>
      <c r="G327" s="641"/>
      <c r="H327" s="641"/>
      <c r="I327" s="641"/>
      <c r="J327" s="641"/>
      <c r="K327" s="641"/>
      <c r="L327" s="641"/>
      <c r="M327" s="641"/>
      <c r="N327" s="641"/>
      <c r="O327" s="641"/>
      <c r="P327" s="641"/>
      <c r="Q327" s="641"/>
      <c r="R327" s="641"/>
      <c r="S327" s="641"/>
      <c r="T327" s="641"/>
      <c r="U327" s="641"/>
      <c r="V327" s="641"/>
      <c r="W327" s="641"/>
      <c r="X327" s="641"/>
      <c r="Y327" s="641"/>
      <c r="Z327" s="641"/>
      <c r="AA327" s="661"/>
      <c r="AB327" s="241"/>
      <c r="AC327" s="241"/>
      <c r="AD327" s="241"/>
      <c r="AE327" s="241"/>
      <c r="AF327" s="241"/>
      <c r="AG327" s="241"/>
      <c r="AH327" s="241"/>
      <c r="AI327" s="241"/>
      <c r="AJ327" s="256">
        <f t="shared" si="227"/>
        <v>0</v>
      </c>
      <c r="AK327" s="282" t="str">
        <f>CONCATENATE(IF(D325&lt;D328," *  Sexual Rape Survivors Presenting within 72 hours"&amp;$D$6&amp;" "&amp;$D$7&amp;" should not be more than Sexual Rape Survivors"&amp;CHAR(10),""),IF(E325&lt;E328," *  Sexual Rape Survivors Presenting within 72 hours"&amp;$D$6&amp;" "&amp;$E$7&amp;" should not be more than Sexual Rape Survivors"&amp;CHAR(10),""),IF(F325&lt;F328," *  Sexual Rape Survivors Presenting within 72 hours"&amp;$F$6&amp;" "&amp;$F$7&amp;" should not be more than Sexual Rape Survivors"&amp;CHAR(10),""),IF(G325&lt;G328," *  Sexual Rape Survivors Presenting within 72 hours"&amp;$F$6&amp;" "&amp;$G$7&amp;" should not be more than Sexual Rape Survivors"&amp;CHAR(10),""),IF(H325&lt;H328," *  Sexual Rape Survivors Presenting within 72 hours"&amp;$H$6&amp;" "&amp;$H$7&amp;" should not be more than Sexual Rape Survivors"&amp;CHAR(10),""),IF(I325&lt;I328," *  Sexual Rape Survivors Presenting within 72 hours"&amp;$H$6&amp;" "&amp;$I$7&amp;" should not be more than Sexual Rape Survivors"&amp;CHAR(10),""),IF(J325&lt;J328," *  Sexual Rape Survivors Presenting within 72 hours"&amp;$J$6&amp;" "&amp;$J$7&amp;" should not be more than Sexual Rape Survivors"&amp;CHAR(10),""),IF(K325&lt;K328," *  Sexual Rape Survivors Presenting within 72 hours"&amp;$J$6&amp;" "&amp;$K$7&amp;" should not be more than Sexual Rape Survivors"&amp;CHAR(10),""),IF(L325&lt;L328," *  Sexual Rape Survivors Presenting within 72 hours"&amp;$L$6&amp;" "&amp;$L$7&amp;" should not be more than Sexual Rape Survivors"&amp;CHAR(10),""),IF(M325&lt;M328," *  Sexual Rape Survivors Presenting within 72 hours"&amp;$L$6&amp;" "&amp;$M$7&amp;" should not be more than Sexual Rape Survivors"&amp;CHAR(10),""),IF(N325&lt;N328," *  Sexual Rape Survivors Presenting within 72 hours"&amp;$N$6&amp;" "&amp;$N$7&amp;" should not be more than Sexual Rape Survivors"&amp;CHAR(10),""),IF(O325&lt;O328," *  Sexual Rape Survivors Presenting within 72 hours"&amp;$N$6&amp;" "&amp;$O$7&amp;" should not be more than Sexual Rape Survivors"&amp;CHAR(10),""),IF(P325&lt;P328," *  Sexual Rape Survivors Presenting within 72 hours"&amp;$P$6&amp;" "&amp;$P$7&amp;" should not be more than Sexual Rape Survivors"&amp;CHAR(10),""),IF(Q325&lt;Q328," *  Sexual Rape Survivors Presenting within 72 hours"&amp;$P$6&amp;" "&amp;$Q$7&amp;" should not be more than Sexual Rape Survivors"&amp;CHAR(10),""),IF(R325&lt;R328," *  Sexual Rape Survivors Presenting within 72 hours"&amp;$R$6&amp;" "&amp;$R$7&amp;" should not be more than Sexual Rape Survivors"&amp;CHAR(10),""),IF(S325&lt;S328," *  Sexual Rape Survivors Presenting within 72 hours"&amp;$R$6&amp;" "&amp;$S$7&amp;" should not be more than Sexual Rape Survivors"&amp;CHAR(10),""),IF(T325&lt;T328," *  Sexual Rape Survivors Presenting within 72 hours"&amp;$T$6&amp;" "&amp;$T$7&amp;" should not be more than Sexual Rape Survivors"&amp;CHAR(10),""),IF(U325&lt;U328," *  Sexual Rape Survivors Presenting within 72 hours"&amp;$T$6&amp;" "&amp;$U$7&amp;" should not be more than Sexual Rape Survivors"&amp;CHAR(10),""),IF(V325&lt;V328," *  Sexual Rape Survivors Presenting within 72 hours"&amp;$V$6&amp;" "&amp;$V$7&amp;" should not be more than Sexual Rape Survivors"&amp;CHAR(10),""),IF(W325&lt;W328," *  Sexual Rape Survivors Presenting within 72 hours"&amp;$V$6&amp;" "&amp;$W$7&amp;" should not be more than Sexual Rape Survivors"&amp;CHAR(10),""),IF(X325&lt;X328," *  Sexual Rape Survivors Presenting within 72 hours"&amp;$X$6&amp;" "&amp;$X$7&amp;" should not be more than Sexual Rape Survivors"&amp;CHAR(10),""),IF(Y325&lt;Y328," *  Sexual Rape Survivors Presenting within 72 hours"&amp;$X$6&amp;" "&amp;$Y$7&amp;" should not be more than Sexual Rape Survivors"&amp;CHAR(10),""),IF(Z325&lt;Z328," *  Sexual Rape Survivors Presenting within 72 hours"&amp;$Z$6&amp;" "&amp;$Z$7&amp;" should not be more than Sexual Rape Survivors"&amp;CHAR(10),""),IF(AA325&lt;AA328," *  Sexual Rape Survivors Presenting within 72 hours"&amp;$Z$6&amp;" "&amp;$AA$7&amp;" should not be more than Sexual Rape Survivors"&amp;CHAR(10),""))</f>
        <v/>
      </c>
      <c r="AL327" s="823"/>
      <c r="AM327" s="113"/>
      <c r="AN327" s="820"/>
      <c r="AO327" s="283">
        <v>188</v>
      </c>
      <c r="AQ327" s="132"/>
      <c r="AR327" s="132"/>
      <c r="AS327" s="132"/>
    </row>
    <row r="328" spans="1:45">
      <c r="A328" s="895"/>
      <c r="B328" s="642" t="s">
        <v>956</v>
      </c>
      <c r="C328" s="27" t="s">
        <v>831</v>
      </c>
      <c r="D328" s="634"/>
      <c r="E328" s="635"/>
      <c r="F328" s="635"/>
      <c r="G328" s="635"/>
      <c r="H328" s="635"/>
      <c r="I328" s="635"/>
      <c r="J328" s="635"/>
      <c r="K328" s="635"/>
      <c r="L328" s="635"/>
      <c r="M328" s="635"/>
      <c r="N328" s="635"/>
      <c r="O328" s="635"/>
      <c r="P328" s="635"/>
      <c r="Q328" s="635"/>
      <c r="R328" s="635"/>
      <c r="S328" s="635"/>
      <c r="T328" s="635"/>
      <c r="U328" s="635"/>
      <c r="V328" s="635"/>
      <c r="W328" s="635"/>
      <c r="X328" s="635"/>
      <c r="Y328" s="635"/>
      <c r="Z328" s="635"/>
      <c r="AA328" s="659"/>
      <c r="AB328" s="241"/>
      <c r="AC328" s="241"/>
      <c r="AD328" s="241"/>
      <c r="AE328" s="241"/>
      <c r="AF328" s="241"/>
      <c r="AG328" s="241"/>
      <c r="AH328" s="241"/>
      <c r="AI328" s="241"/>
      <c r="AJ328" s="256">
        <f t="shared" si="227"/>
        <v>0</v>
      </c>
      <c r="AK328" s="274"/>
      <c r="AL328" s="823"/>
      <c r="AM328" s="113"/>
      <c r="AN328" s="820"/>
      <c r="AO328" s="283">
        <v>181</v>
      </c>
    </row>
    <row r="329" spans="1:45">
      <c r="A329" s="895"/>
      <c r="B329" s="642" t="s">
        <v>833</v>
      </c>
      <c r="C329" s="27" t="s">
        <v>834</v>
      </c>
      <c r="D329" s="643"/>
      <c r="E329" s="644"/>
      <c r="F329" s="644"/>
      <c r="G329" s="644"/>
      <c r="H329" s="644"/>
      <c r="I329" s="644"/>
      <c r="J329" s="644"/>
      <c r="K329" s="644"/>
      <c r="L329" s="644"/>
      <c r="M329" s="644"/>
      <c r="N329" s="644"/>
      <c r="O329" s="644"/>
      <c r="P329" s="644"/>
      <c r="Q329" s="644"/>
      <c r="R329" s="644"/>
      <c r="S329" s="644"/>
      <c r="T329" s="644"/>
      <c r="U329" s="644"/>
      <c r="V329" s="644"/>
      <c r="W329" s="644"/>
      <c r="X329" s="644"/>
      <c r="Y329" s="644"/>
      <c r="Z329" s="644"/>
      <c r="AA329" s="662"/>
      <c r="AB329" s="241"/>
      <c r="AC329" s="241"/>
      <c r="AD329" s="241"/>
      <c r="AE329" s="241"/>
      <c r="AF329" s="241"/>
      <c r="AG329" s="241"/>
      <c r="AH329" s="241"/>
      <c r="AI329" s="241"/>
      <c r="AJ329" s="256">
        <f t="shared" si="227"/>
        <v>0</v>
      </c>
      <c r="AK329" s="282" t="str">
        <f>CONCATENATE(IF(D328&lt;D329," * SGBV Survivors Presenting within 72 hours  for Age "&amp;D5&amp;" "&amp;D6&amp;" should not be more than Sexual Rape Survivors"&amp;CHAR(10),""),IF(E328&lt;E329," * SGBV Survivors Presenting within 72 hours  for Age "&amp;D5&amp;" "&amp;E6&amp;" should not be more than Sexual Rape Survivors"&amp;CHAR(10),""),IF(F328&lt;F329," * SGBV Survivors Presenting within 72 hours  for Age "&amp;F5&amp;" "&amp;F6&amp;" should not be more than Sexual Rape Survivors"&amp;CHAR(10),""),IF(G328&lt;G329," * SGBV Survivors Presenting within 72 hours  for Age "&amp;F5&amp;" "&amp;G6&amp;" should not be more than Sexual Rape Survivors"&amp;CHAR(10),""),IF(H328&lt;H329," * SGBV Survivors Presenting within 72 hours  for Age "&amp;H5&amp;" "&amp;H6&amp;" should not be more than Sexual Rape Survivors"&amp;CHAR(10),""),IF(I328&lt;I329," * SGBV Survivors Presenting within 72 hours  for Age "&amp;H5&amp;" "&amp;I6&amp;" should not be more than Sexual Rape Survivors"&amp;CHAR(10),""),IF(J328&lt;J329," * SGBV Survivors Presenting within 72 hours  for Age "&amp;J5&amp;" "&amp;J6&amp;" should not be more than Sexual Rape Survivors"&amp;CHAR(10),""),IF(K328&lt;K329," * SGBV Survivors Presenting within 72 hours  for Age "&amp;J5&amp;" "&amp;K6&amp;" should not be more than Sexual Rape Survivors"&amp;CHAR(10),""),IF(L328&lt;L329," * SGBV Survivors Presenting within 72 hours  for Age "&amp;L5&amp;" "&amp;L6&amp;" should not be more than Sexual Rape Survivors"&amp;CHAR(10),""),IF(M328&lt;M329," * SGBV Survivors Presenting within 72 hours  for Age "&amp;L5&amp;" "&amp;M6&amp;" should not be more than Sexual Rape Survivors"&amp;CHAR(10),""),IF(N328&lt;N329," * SGBV Survivors Presenting within 72 hours  for Age "&amp;N5&amp;" "&amp;N6&amp;" should not be more than Sexual Rape Survivors"&amp;CHAR(10),""),IF(O328&lt;O329," * SGBV Survivors Presenting within 72 hours  for Age "&amp;N5&amp;" "&amp;O6&amp;" should not be more than Sexual Rape Survivors"&amp;CHAR(10),""),IF(P328&lt;P329," * SGBV Survivors Presenting within 72 hours  for Age "&amp;P5&amp;" "&amp;P6&amp;" should not be more than Sexual Rape Survivors"&amp;CHAR(10),""),IF(Q328&lt;Q329," * SGBV Survivors Presenting within 72 hours  for Age "&amp;P5&amp;" "&amp;Q6&amp;" should not be more than Sexual Rape Survivors"&amp;CHAR(10),""),IF(R328&lt;R329," * SGBV Survivors Presenting within 72 hours  for Age "&amp;R5&amp;" "&amp;R6&amp;" should not be more than Sexual Rape Survivors"&amp;CHAR(10),""),IF(S328&lt;S329," * SGBV Survivors Presenting within 72 hours  for Age "&amp;R5&amp;" "&amp;S6&amp;" should not be more than Sexual Rape Survivors"&amp;CHAR(10),""),IF(T328&lt;T329," * SGBV Survivors Presenting within 72 hours  for Age "&amp;T5&amp;" "&amp;T6&amp;" should not be more than Sexual Rape Survivors"&amp;CHAR(10),""),IF(U328&lt;U329," * SGBV Survivors Presenting within 72 hours  for Age "&amp;T5&amp;" "&amp;U6&amp;" should not be more than Sexual Rape Survivors"&amp;CHAR(10),""),IF(V328&lt;V329," * SGBV Survivors Presenting within 72 hours  for Age "&amp;V5&amp;" "&amp;V6&amp;" should not be more than Sexual Rape Survivors"&amp;CHAR(10),""),IF(W328&lt;W329," * SGBV Survivors Presenting within 72 hours  for Age "&amp;V5&amp;" "&amp;W6&amp;" should not be more than Sexual Rape Survivors"&amp;CHAR(10),""),IF(X328&lt;X329," * SGBV Survivors Presenting within 72 hours  for Age "&amp;X5&amp;" "&amp;X6&amp;" should not be more than Sexual Rape Survivors"&amp;CHAR(10),""),IF(Y328&lt;Y329," * SGBV Survivors Presenting within 72 hours  for Age "&amp;X5&amp;" "&amp;Y6&amp;" should not be more than Sexual Rape Survivors"&amp;CHAR(10),""),IF(Z328&lt;Z329," * SGBV Survivors Presenting within 72 hours  for Age "&amp;Z5&amp;" "&amp;Z6&amp;" should not be more than Sexual Rape Survivors"&amp;CHAR(10),""),IF(AA328&lt;AA329," * SGBV Survivors Presenting within 72 hours  for Age "&amp;Z5&amp;" "&amp;AA6&amp;" should not be more than Sexual Rape Survivors"&amp;CHAR(10),""))</f>
        <v/>
      </c>
      <c r="AL329" s="823"/>
      <c r="AM329" s="113"/>
      <c r="AN329" s="820"/>
      <c r="AO329" s="283">
        <v>179</v>
      </c>
    </row>
    <row r="330" spans="1:45">
      <c r="A330" s="895"/>
      <c r="B330" s="642" t="s">
        <v>836</v>
      </c>
      <c r="C330" s="27" t="s">
        <v>837</v>
      </c>
      <c r="D330" s="60"/>
      <c r="E330" s="635"/>
      <c r="F330" s="61"/>
      <c r="G330" s="635"/>
      <c r="H330" s="61"/>
      <c r="I330" s="635"/>
      <c r="J330" s="61"/>
      <c r="K330" s="635"/>
      <c r="L330" s="61"/>
      <c r="M330" s="635"/>
      <c r="N330" s="61"/>
      <c r="O330" s="635"/>
      <c r="P330" s="61"/>
      <c r="Q330" s="635"/>
      <c r="R330" s="61"/>
      <c r="S330" s="635"/>
      <c r="T330" s="61"/>
      <c r="U330" s="635"/>
      <c r="V330" s="61"/>
      <c r="W330" s="635"/>
      <c r="X330" s="61"/>
      <c r="Y330" s="635"/>
      <c r="Z330" s="61"/>
      <c r="AA330" s="659"/>
      <c r="AB330" s="241"/>
      <c r="AC330" s="241"/>
      <c r="AD330" s="241"/>
      <c r="AE330" s="241"/>
      <c r="AF330" s="241"/>
      <c r="AG330" s="241"/>
      <c r="AH330" s="241"/>
      <c r="AI330" s="241"/>
      <c r="AJ330" s="256">
        <f t="shared" ref="AJ330:AJ332" si="228">SUM(D330:AA330)</f>
        <v>0</v>
      </c>
      <c r="AK330" s="274" t="str">
        <f>CONCATENATE(IF(D325&lt;D330," *  Sexual Rape Survivors Presenting within 120 hours"&amp;$D$6&amp;" "&amp;$D$7&amp;" should not be more than Sexual Rape Survivors"&amp;CHAR(10),""),IF(E325&lt;E330," *  Sexual Rape Survivors Presenting within 120 hours"&amp;$D$6&amp;" "&amp;$E$7&amp;" should not be more than Sexual Rape Survivors"&amp;CHAR(10),""),IF(F325&lt;F330," *  Sexual Rape Survivors Presenting within 120 hours"&amp;$F$6&amp;" "&amp;$F$7&amp;" should not be more than Sexual Rape Survivors"&amp;CHAR(10),""),IF(G325&lt;G330," *  Sexual Rape Survivors Presenting within 120 hours"&amp;$F$6&amp;" "&amp;$G$7&amp;" should not be more than Sexual Rape Survivors"&amp;CHAR(10),""),IF(H325&lt;H330," *  Sexual Rape Survivors Presenting within 120 hours"&amp;$H$6&amp;" "&amp;$H$7&amp;" should not be more than Sexual Rape Survivors"&amp;CHAR(10),""),IF(I325&lt;I330," *  Sexual Rape Survivors Presenting within 120 hours"&amp;$H$6&amp;" "&amp;$I$7&amp;" should not be more than Sexual Rape Survivors"&amp;CHAR(10),""),IF(J325&lt;J330," *  Sexual Rape Survivors Presenting within 120 hours"&amp;$J$6&amp;" "&amp;$J$7&amp;" should not be more than Sexual Rape Survivors"&amp;CHAR(10),""),IF(K325&lt;K330," *  Sexual Rape Survivors Presenting within 120 hours"&amp;$J$6&amp;" "&amp;$K$7&amp;" should not be more than Sexual Rape Survivors"&amp;CHAR(10),""),IF(L325&lt;L330," *  Sexual Rape Survivors Presenting within 120 hours"&amp;$L$6&amp;" "&amp;$L$7&amp;" should not be more than Sexual Rape Survivors"&amp;CHAR(10),""),IF(M325&lt;M330," *  Sexual Rape Survivors Presenting within 120 hours"&amp;$L$6&amp;" "&amp;$M$7&amp;" should not be more than Sexual Rape Survivors"&amp;CHAR(10),""),IF(N325&lt;N330," *  Sexual Rape Survivors Presenting within 120 hours"&amp;$N$6&amp;" "&amp;$N$7&amp;" should not be more than Sexual Rape Survivors"&amp;CHAR(10),""),IF(O325&lt;O330," *  Sexual Rape Survivors Presenting within 120 hours"&amp;$N$6&amp;" "&amp;$O$7&amp;" should not be more than Sexual Rape Survivors"&amp;CHAR(10),""),IF(P325&lt;P330," *  Sexual Rape Survivors Presenting within 120 hours"&amp;$P$6&amp;" "&amp;$P$7&amp;" should not be more than Sexual Rape Survivors"&amp;CHAR(10),""),IF(Q325&lt;Q330," *  Sexual Rape Survivors Presenting within 120 hours"&amp;$P$6&amp;" "&amp;$Q$7&amp;" should not be more than Sexual Rape Survivors"&amp;CHAR(10),""),IF(R325&lt;R330," *  Sexual Rape Survivors Presenting within 120 hours"&amp;$R$6&amp;" "&amp;$R$7&amp;" should not be more than Sexual Rape Survivors"&amp;CHAR(10),""),IF(S325&lt;S330," *  Sexual Rape Survivors Presenting within 120 hours"&amp;$R$6&amp;" "&amp;$S$7&amp;" should not be more than Sexual Rape Survivors"&amp;CHAR(10),""),IF(T325&lt;T330," *  Sexual Rape Survivors Presenting within 120 hours"&amp;$T$6&amp;" "&amp;$T$7&amp;" should not be more than Sexual Rape Survivors"&amp;CHAR(10),""),IF(U325&lt;U330," *  Sexual Rape Survivors Presenting within 120 hours"&amp;$T$6&amp;" "&amp;$U$7&amp;" should not be more than Sexual Rape Survivors"&amp;CHAR(10),""),IF(V325&lt;V330," *  Sexual Rape Survivors Presenting within 120 hours"&amp;$V$6&amp;" "&amp;$V$7&amp;" should not be more than Sexual Rape Survivors"&amp;CHAR(10),""),IF(W325&lt;W330," *  Sexual Rape Survivors Presenting within 120 hours"&amp;$V$6&amp;" "&amp;$W$7&amp;" should not be more than Sexual Rape Survivors"&amp;CHAR(10),""),IF(X325&lt;X330," *  Sexual Rape Survivors Presenting within 120 hours"&amp;$X$6&amp;" "&amp;$X$7&amp;" should not be more than Sexual Rape Survivors"&amp;CHAR(10),""),IF(Y325&lt;Y330," *  Sexual Rape Survivors Presenting within 120 hours"&amp;$X$6&amp;" "&amp;$Y$7&amp;" should not be more than Sexual Rape Survivors"&amp;CHAR(10),""),IF(Z325&lt;Z330," *  Sexual Rape Survivors Presenting within 120 hours"&amp;$Z$6&amp;" "&amp;$Z$7&amp;" should not be more than Sexual Rape Survivors"&amp;CHAR(10),""),IF(AA325&lt;AA330," *  Sexual Rape Survivors Presenting within 120 hours"&amp;$Z$6&amp;" "&amp;$AA$7&amp;" should not be more than Sexual Rape Survivors"&amp;CHAR(10),""))</f>
        <v/>
      </c>
      <c r="AL330" s="823"/>
      <c r="AM330" s="113"/>
      <c r="AN330" s="820"/>
      <c r="AO330" s="283">
        <v>181</v>
      </c>
    </row>
    <row r="331" spans="1:45" s="5" customFormat="1" ht="56.25">
      <c r="A331" s="895"/>
      <c r="B331" s="642" t="s">
        <v>839</v>
      </c>
      <c r="C331" s="27" t="s">
        <v>840</v>
      </c>
      <c r="D331" s="60"/>
      <c r="E331" s="61"/>
      <c r="F331" s="61"/>
      <c r="G331" s="61"/>
      <c r="H331" s="61"/>
      <c r="I331" s="61"/>
      <c r="J331" s="61"/>
      <c r="K331" s="638"/>
      <c r="L331" s="61"/>
      <c r="M331" s="638"/>
      <c r="N331" s="61"/>
      <c r="O331" s="638"/>
      <c r="P331" s="61"/>
      <c r="Q331" s="638"/>
      <c r="R331" s="61"/>
      <c r="S331" s="638"/>
      <c r="T331" s="61"/>
      <c r="U331" s="638"/>
      <c r="V331" s="61"/>
      <c r="W331" s="638"/>
      <c r="X331" s="61"/>
      <c r="Y331" s="638"/>
      <c r="Z331" s="61"/>
      <c r="AA331" s="660"/>
      <c r="AB331" s="241"/>
      <c r="AC331" s="241"/>
      <c r="AD331" s="241"/>
      <c r="AE331" s="241"/>
      <c r="AF331" s="241"/>
      <c r="AG331" s="241"/>
      <c r="AH331" s="241"/>
      <c r="AI331" s="241"/>
      <c r="AJ331" s="256">
        <f t="shared" si="228"/>
        <v>0</v>
      </c>
      <c r="AK331" s="282" t="str">
        <f>CONCATENATE(IF(D331&gt;D325," * Given Emergency Contraceptive Pill for Age "&amp;D6&amp;" "&amp;D7&amp;" is more than Sexual Violence Rape Survivors"&amp;CHAR(10),""),IF(E331&gt;E325," * Given Emergency Contraceptive Pill for Age "&amp;D6&amp;" "&amp;E7&amp;" is more than Sexual Violence Rape Survivors"&amp;CHAR(10),""),IF(F331&gt;F325," * Given Emergency Contraceptive Pill for Age "&amp;F6&amp;" "&amp;F7&amp;" is more than Sexual Violence Rape Survivors"&amp;CHAR(10),""),IF(G331&gt;G325," * Given Emergency Contraceptive Pill for Age "&amp;F6&amp;" "&amp;G7&amp;" is more than Sexual Violence Rape Survivors"&amp;CHAR(10),""),IF(H331&gt;H325," * Given Emergency Contraceptive Pill for Age "&amp;H6&amp;" "&amp;H7&amp;" is more than Sexual Violence Rape Survivors"&amp;CHAR(10),""),IF(I331&gt;I325," * Given Emergency Contraceptive Pill for Age "&amp;H6&amp;" "&amp;I7&amp;" is more than Sexual Violence Rape Survivors"&amp;CHAR(10),""),IF(J331&gt;J325," * Given Emergency Contraceptive Pill for Age "&amp;J6&amp;" "&amp;J7&amp;" is more than Sexual Violence Rape Survivors"&amp;CHAR(10),""),IF(K331&gt;K325," * Given Emergency Contraceptive Pill for Age "&amp;J6&amp;" "&amp;K7&amp;" is more than Sexual Violence Rape Survivors"&amp;CHAR(10),""),IF(L331&gt;L325," * Given Emergency Contraceptive Pill for Age "&amp;L6&amp;" "&amp;L7&amp;" is more than Sexual Violence Rape Survivors"&amp;CHAR(10),""),IF(M331&gt;M325," * Given Emergency Contraceptive Pill for Age "&amp;L6&amp;" "&amp;M7&amp;" is more than Sexual Violence Rape Survivors"&amp;CHAR(10),""),IF(N331&gt;N325," * Given Emergency Contraceptive Pill for Age "&amp;N6&amp;" "&amp;N7&amp;" is more than Sexual Violence Rape Survivors"&amp;CHAR(10),""),IF(O331&gt;O325," * Given Emergency Contraceptive Pill for Age "&amp;N6&amp;" "&amp;O7&amp;" is more than Sexual Violence Rape Survivors"&amp;CHAR(10),""),IF(P331&gt;P325," * Given Emergency Contraceptive Pill for Age "&amp;P6&amp;" "&amp;P7&amp;" is more than Sexual Violence Rape Survivors"&amp;CHAR(10),""),IF(Q331&gt;Q325," * Given Emergency Contraceptive Pill for Age "&amp;P6&amp;" "&amp;Q7&amp;" is more than Sexual Violence Rape Survivors"&amp;CHAR(10),""),IF(R331&gt;R325," * Given Emergency Contraceptive Pill for Age "&amp;R6&amp;" "&amp;R7&amp;" is more than Sexual Violence Rape Survivors"&amp;CHAR(10),""),IF(S331&gt;S325," * Given Emergency Contraceptive Pill for Age "&amp;R6&amp;" "&amp;S7&amp;" is more than Sexual Violence Rape Survivors"&amp;CHAR(10),""),IF(T331&gt;T325," * Given Emergency Contraceptive Pill for Age "&amp;T6&amp;" "&amp;T7&amp;" is more than Sexual Violence Rape Survivors"&amp;CHAR(10),""),IF(U331&gt;U325," * Given Emergency Contraceptive Pill for Age "&amp;T6&amp;" "&amp;U7&amp;" is more than Sexual Violence Rape Survivors"&amp;CHAR(10),""),IF(V331&gt;V325," * Given Emergency Contraceptive Pill for Age "&amp;V6&amp;" "&amp;V7&amp;" is more than Sexual Violence Rape Survivors"&amp;CHAR(10),""),IF(W331&gt;W325," * Given Emergency Contraceptive Pill for Age "&amp;V6&amp;" "&amp;W7&amp;" is more than Sexual Violence Rape Survivors"&amp;CHAR(10),""),IF(X331&gt;X325," * Given Emergency Contraceptive Pill for Age "&amp;X6&amp;" "&amp;X7&amp;" is more than Sexual Violence Rape Survivors"&amp;CHAR(10),""),IF(Y331&gt;Y325," * Given Emergency Contraceptive Pill for Age "&amp;X6&amp;" "&amp;Y7&amp;" is more than Sexual Violence Rape Survivors"&amp;CHAR(10),""),IF(Z331&gt;Z325," * Given Emergency Contraceptive Pill for Age "&amp;Z6&amp;" "&amp;Z7&amp;" is more than Sexual Violence Rape Survivors"&amp;CHAR(10),""),IF(AA331&gt;AA325," * Given Emergency Contraceptive Pill for Age "&amp;Z6&amp;" "&amp;AA7&amp;" is more than Sexual Violence Rape Survivors"&amp;CHAR(10),""))</f>
        <v/>
      </c>
      <c r="AL331" s="823"/>
      <c r="AM331" s="113"/>
      <c r="AN331" s="820"/>
      <c r="AO331" s="283">
        <v>185</v>
      </c>
      <c r="AQ331" s="132"/>
      <c r="AR331" s="132"/>
      <c r="AS331" s="132"/>
    </row>
    <row r="332" spans="1:45" s="5" customFormat="1" ht="56.25">
      <c r="A332" s="895"/>
      <c r="B332" s="642" t="s">
        <v>842</v>
      </c>
      <c r="C332" s="27" t="s">
        <v>843</v>
      </c>
      <c r="D332" s="60"/>
      <c r="E332" s="61"/>
      <c r="F332" s="61"/>
      <c r="G332" s="61"/>
      <c r="H332" s="61"/>
      <c r="I332" s="61"/>
      <c r="J332" s="61"/>
      <c r="K332" s="656"/>
      <c r="L332" s="61"/>
      <c r="M332" s="656"/>
      <c r="N332" s="61"/>
      <c r="O332" s="656"/>
      <c r="P332" s="61"/>
      <c r="Q332" s="656"/>
      <c r="R332" s="61"/>
      <c r="S332" s="656"/>
      <c r="T332" s="61"/>
      <c r="U332" s="656"/>
      <c r="V332" s="61"/>
      <c r="W332" s="656"/>
      <c r="X332" s="61"/>
      <c r="Y332" s="656"/>
      <c r="Z332" s="61"/>
      <c r="AA332" s="663"/>
      <c r="AB332" s="241"/>
      <c r="AC332" s="241"/>
      <c r="AD332" s="241"/>
      <c r="AE332" s="241"/>
      <c r="AF332" s="241"/>
      <c r="AG332" s="241"/>
      <c r="AH332" s="241"/>
      <c r="AI332" s="241"/>
      <c r="AJ332" s="256">
        <f t="shared" si="228"/>
        <v>0</v>
      </c>
      <c r="AK332" s="282" t="str">
        <f>CONCATENATE(IF(D332&gt;D331," * Given Emergency Contraceptive Pill for Age "&amp;D6&amp;" "&amp;D7&amp;" is more than Eligible for Emergency Contraceptive Pill"&amp;CHAR(10),""),IF(E332&gt;E331," * Given Emergency Contraceptive Pill for Age "&amp;D6&amp;" "&amp;E7&amp;" is more than Eligible for Emergency Contraceptive Pill"&amp;CHAR(10),""),IF(F332&gt;F331," * Given Emergency Contraceptive Pill for Age "&amp;F6&amp;" "&amp;F7&amp;" is more than Eligible for Emergency Contraceptive Pill"&amp;CHAR(10),""),IF(G332&gt;G331," * Given Emergency Contraceptive Pill for Age "&amp;F6&amp;" "&amp;G7&amp;" is more than Eligible for Emergency Contraceptive Pill"&amp;CHAR(10),""),IF(H332&gt;H331," * Given Emergency Contraceptive Pill for Age "&amp;H6&amp;" "&amp;H7&amp;" is more than Eligible for Emergency Contraceptive Pill"&amp;CHAR(10),""),IF(I332&gt;I331," * Given Emergency Contraceptive Pill for Age "&amp;H6&amp;" "&amp;I7&amp;" is more than Eligible for Emergency Contraceptive Pill"&amp;CHAR(10),""),IF(J332&gt;J331," * Given Emergency Contraceptive Pill for Age "&amp;J6&amp;" "&amp;J7&amp;" is more than Eligible for Emergency Contraceptive Pill"&amp;CHAR(10),""),IF(K332&gt;K331," * Given Emergency Contraceptive Pill for Age "&amp;J6&amp;" "&amp;K7&amp;" is more than Eligible for Emergency Contraceptive Pill"&amp;CHAR(10),""),IF(L332&gt;L331," * Given Emergency Contraceptive Pill for Age "&amp;L6&amp;" "&amp;L7&amp;" is more than Eligible for Emergency Contraceptive Pill"&amp;CHAR(10),""),IF(M332&gt;M331," * Given Emergency Contraceptive Pill for Age "&amp;L6&amp;" "&amp;M7&amp;" is more than Eligible for Emergency Contraceptive Pill"&amp;CHAR(10),""),IF(N332&gt;N331," * Given Emergency Contraceptive Pill for Age "&amp;N6&amp;" "&amp;N7&amp;" is more than Eligible for Emergency Contraceptive Pill"&amp;CHAR(10),""),IF(O332&gt;O331," * Given Emergency Contraceptive Pill for Age "&amp;N6&amp;" "&amp;O7&amp;" is more than Eligible for Emergency Contraceptive Pill"&amp;CHAR(10),""),IF(P332&gt;P331," * Given Emergency Contraceptive Pill for Age "&amp;P6&amp;" "&amp;P7&amp;" is more than Eligible for Emergency Contraceptive Pill"&amp;CHAR(10),""),IF(Q332&gt;Q331," * Given Emergency Contraceptive Pill for Age "&amp;P6&amp;" "&amp;Q7&amp;" is more than Eligible for Emergency Contraceptive Pill"&amp;CHAR(10),""),IF(R332&gt;R331," * Given Emergency Contraceptive Pill for Age "&amp;R6&amp;" "&amp;R7&amp;" is more than Eligible for Emergency Contraceptive Pill"&amp;CHAR(10),""),IF(S332&gt;S331," * Given Emergency Contraceptive Pill for Age "&amp;R6&amp;" "&amp;S7&amp;" is more than Eligible for Emergency Contraceptive Pill"&amp;CHAR(10),""),IF(T332&gt;T331," * Given Emergency Contraceptive Pill for Age "&amp;T6&amp;" "&amp;T7&amp;" is more than Eligible for Emergency Contraceptive Pill"&amp;CHAR(10),""),IF(U332&gt;U331," * Given Emergency Contraceptive Pill for Age "&amp;T6&amp;" "&amp;U7&amp;" is more than Eligible for Emergency Contraceptive Pill"&amp;CHAR(10),""),IF(V332&gt;V331," * Given Emergency Contraceptive Pill for Age "&amp;V6&amp;" "&amp;V7&amp;" is more than Eligible for Emergency Contraceptive Pill"&amp;CHAR(10),""),IF(W332&gt;W331," * Given Emergency Contraceptive Pill for Age "&amp;V6&amp;" "&amp;W7&amp;" is more than Eligible for Emergency Contraceptive Pill"&amp;CHAR(10),""),IF(X332&gt;X331," * Given Emergency Contraceptive Pill for Age "&amp;X6&amp;" "&amp;X7&amp;" is more than Eligible for Emergency Contraceptive Pill"&amp;CHAR(10),""),IF(Y332&gt;Y331," * Given Emergency Contraceptive Pill for Age "&amp;X6&amp;" "&amp;Y7&amp;" is more than Eligible for Emergency Contraceptive Pill"&amp;CHAR(10),""),IF(Z332&gt;Z331," * Given Emergency Contraceptive Pill for Age "&amp;Z6&amp;" "&amp;Z7&amp;" is more than Eligible for Emergency Contraceptive Pill"&amp;CHAR(10),""),IF(AA332&gt;AA331," * Given Emergency Contraceptive Pill for Age "&amp;Z6&amp;" "&amp;AA7&amp;" is more than Eligible for Emergency Contraceptive Pill"&amp;CHAR(10),""))</f>
        <v/>
      </c>
      <c r="AL332" s="823"/>
      <c r="AM332" s="113"/>
      <c r="AN332" s="820"/>
      <c r="AO332" s="283">
        <v>186</v>
      </c>
      <c r="AQ332" s="132"/>
      <c r="AR332" s="132"/>
      <c r="AS332" s="132"/>
    </row>
    <row r="333" spans="1:45" s="5" customFormat="1">
      <c r="A333" s="895"/>
      <c r="B333" s="642" t="s">
        <v>845</v>
      </c>
      <c r="C333" s="27" t="s">
        <v>846</v>
      </c>
      <c r="D333" s="645"/>
      <c r="E333" s="565"/>
      <c r="F333" s="565"/>
      <c r="G333" s="565"/>
      <c r="H333" s="565"/>
      <c r="I333" s="565"/>
      <c r="J333" s="565"/>
      <c r="K333" s="565"/>
      <c r="L333" s="565"/>
      <c r="M333" s="565"/>
      <c r="N333" s="565"/>
      <c r="O333" s="565"/>
      <c r="P333" s="565"/>
      <c r="Q333" s="565"/>
      <c r="R333" s="565"/>
      <c r="S333" s="565"/>
      <c r="T333" s="565"/>
      <c r="U333" s="565"/>
      <c r="V333" s="565"/>
      <c r="W333" s="565"/>
      <c r="X333" s="565"/>
      <c r="Y333" s="565"/>
      <c r="Z333" s="565"/>
      <c r="AA333" s="664"/>
      <c r="AB333" s="241"/>
      <c r="AC333" s="241"/>
      <c r="AD333" s="241"/>
      <c r="AE333" s="241"/>
      <c r="AF333" s="241"/>
      <c r="AG333" s="241"/>
      <c r="AH333" s="241"/>
      <c r="AI333" s="241"/>
      <c r="AJ333" s="256">
        <f t="shared" ref="AJ333:AJ336" si="229">SUM(D333:AA333)</f>
        <v>0</v>
      </c>
      <c r="AK333" s="274" t="str">
        <f>CONCATENATE(IF(D333&gt;D325," * Total Rape Survivors for Age "&amp;D6&amp;" "&amp;D7&amp;" is less than Screened For STI"&amp;CHAR(10),""),IF(E333&gt;E325," * Total Rape Survivors for Age "&amp;D6&amp;" "&amp;E7&amp;" is less than Screened For STI"&amp;CHAR(10),""),IF(F333&gt;F325," * Total Rape Survivors for Age "&amp;F6&amp;" "&amp;F7&amp;" is less than Screened For STI"&amp;CHAR(10),""),IF(G333&gt;G325," * Total Rape Survivors for Age "&amp;F6&amp;" "&amp;G7&amp;" is less than Screened For STI"&amp;CHAR(10),""),IF(H333&gt;H325," * Total Rape Survivors for Age "&amp;H6&amp;" "&amp;H7&amp;" is less than Screened For STI"&amp;CHAR(10),""),IF(I333&gt;I325," * Total Rape Survivors for Age "&amp;H6&amp;" "&amp;I7&amp;" is less than Screened For STI"&amp;CHAR(10),""),IF(J333&gt;J325," * Total Rape Survivors for Age "&amp;J6&amp;" "&amp;J7&amp;" is less than Screened For STI"&amp;CHAR(10),""),IF(K333&gt;K325," * Total Rape Survivors for Age "&amp;J6&amp;" "&amp;K7&amp;" is less than Screened For STI"&amp;CHAR(10),""),IF(L333&gt;L325," * Total Rape Survivors for Age "&amp;L6&amp;" "&amp;L7&amp;" is less than Screened For STI"&amp;CHAR(10),""),IF(M333&gt;M325," * Total Rape Survivors for Age "&amp;L6&amp;" "&amp;M7&amp;" is less than Screened For STI"&amp;CHAR(10),""),IF(N333&gt;N325," * Total Rape Survivors for Age "&amp;N6&amp;" "&amp;N7&amp;" is less than Screened For STI"&amp;CHAR(10),""),IF(O333&gt;O325," * Total Rape Survivors for Age "&amp;N6&amp;" "&amp;O7&amp;" is less than Screened For STI"&amp;CHAR(10),""),IF(P333&gt;P325," * Total Rape Survivors for Age "&amp;P6&amp;" "&amp;P7&amp;" is less than Screened For STI"&amp;CHAR(10),""),IF(Q333&gt;Q325," * Total Rape Survivors for Age "&amp;P6&amp;" "&amp;Q7&amp;" is less than Screened For STI"&amp;CHAR(10),""),IF(R333&gt;R325," * Total Rape Survivors for Age "&amp;R6&amp;" "&amp;R7&amp;" is less than Screened For STI"&amp;CHAR(10),""),IF(S333&gt;S325," * Total Rape Survivors for Age "&amp;R6&amp;" "&amp;S7&amp;" is less than Screened For STI"&amp;CHAR(10),""),IF(T333&gt;T325," * Total Rape Survivors for Age "&amp;T6&amp;" "&amp;T7&amp;" is less than Screened For STI"&amp;CHAR(10),""),IF(U333&gt;U325," * Total Rape Survivors for Age "&amp;T6&amp;" "&amp;U7&amp;" is less than Screened For STI"&amp;CHAR(10),""),IF(V333&gt;V325," * Total Rape Survivors for Age "&amp;V6&amp;" "&amp;V7&amp;" is less than Screened For STI"&amp;CHAR(10),""),IF(W333&gt;W325," * Total Rape Survivors for Age "&amp;V6&amp;" "&amp;W7&amp;" is less than Screened For STI"&amp;CHAR(10),""),IF(X333&gt;X325," * Total Rape Survivors for Age "&amp;X6&amp;" "&amp;X7&amp;" is less than Screened For STI"&amp;CHAR(10),""),IF(Y333&gt;Y325," * Total Rape Survivors for Age "&amp;X6&amp;" "&amp;Y7&amp;" is less than Screened For STI"&amp;CHAR(10),""),IF(Z333&gt;Z325," * Total Rape Survivors for Age "&amp;Z6&amp;" "&amp;Z7&amp;" is less than Screened For STI"&amp;CHAR(10),""),IF(AA333&gt;AA325," * Total Rape Survivors for Age "&amp;Z6&amp;" "&amp;AA7&amp;" is less than Screened For STI"&amp;CHAR(10),""),IF(AJ333&gt;AJ325," * Total Total Rape Survivors is less than Total Screened For STI"&amp;CHAR(10),""))</f>
        <v/>
      </c>
      <c r="AL333" s="823"/>
      <c r="AM333" s="113"/>
      <c r="AN333" s="820"/>
      <c r="AO333" s="283">
        <v>182</v>
      </c>
      <c r="AQ333" s="132"/>
      <c r="AR333" s="132"/>
      <c r="AS333" s="132"/>
    </row>
    <row r="334" spans="1:45" s="5" customFormat="1">
      <c r="A334" s="895"/>
      <c r="B334" s="646" t="s">
        <v>848</v>
      </c>
      <c r="C334" s="27" t="s">
        <v>849</v>
      </c>
      <c r="D334" s="637"/>
      <c r="E334" s="647"/>
      <c r="F334" s="647"/>
      <c r="G334" s="647"/>
      <c r="H334" s="647"/>
      <c r="I334" s="647"/>
      <c r="J334" s="647"/>
      <c r="K334" s="647"/>
      <c r="L334" s="647"/>
      <c r="M334" s="647"/>
      <c r="N334" s="647"/>
      <c r="O334" s="647"/>
      <c r="P334" s="647"/>
      <c r="Q334" s="647"/>
      <c r="R334" s="647"/>
      <c r="S334" s="647"/>
      <c r="T334" s="647"/>
      <c r="U334" s="647"/>
      <c r="V334" s="647"/>
      <c r="W334" s="647"/>
      <c r="X334" s="647"/>
      <c r="Y334" s="647"/>
      <c r="Z334" s="647"/>
      <c r="AA334" s="665"/>
      <c r="AB334" s="241"/>
      <c r="AC334" s="241"/>
      <c r="AD334" s="241"/>
      <c r="AE334" s="241"/>
      <c r="AF334" s="241"/>
      <c r="AG334" s="241"/>
      <c r="AH334" s="241"/>
      <c r="AI334" s="241"/>
      <c r="AJ334" s="256">
        <f t="shared" si="229"/>
        <v>0</v>
      </c>
      <c r="AK334" s="282" t="str">
        <f>CONCATENATE(IF(D334&gt;D333," * Screened For STI for Age "&amp;D6&amp;" "&amp;D7&amp;" is more than Tested For STI"&amp;CHAR(10),""),IF(E334&gt;E333," * Screened For STI for Age "&amp;D6&amp;" "&amp;E7&amp;" is more than Tested For STI"&amp;CHAR(10),""),IF(F334&gt;F333," * Screened For STI for Age "&amp;F6&amp;" "&amp;F7&amp;" is more than Tested For STI"&amp;CHAR(10),""),IF(G334&gt;G333," * Screened For STI for Age "&amp;F6&amp;" "&amp;G7&amp;" is more than Tested For STI"&amp;CHAR(10),""),IF(H334&gt;H333," * Screened For STI for Age "&amp;H6&amp;" "&amp;H7&amp;" is more than Tested For STI"&amp;CHAR(10),""),IF(I334&gt;I333," * Screened For STI for Age "&amp;H6&amp;" "&amp;I7&amp;" is more than Tested For STI"&amp;CHAR(10),""),IF(J334&gt;J333," * Screened For STI for Age "&amp;J6&amp;" "&amp;J7&amp;" is more than Tested For STI"&amp;CHAR(10),""),IF(K334&gt;K333," * Screened For STI for Age "&amp;J6&amp;" "&amp;K7&amp;" is more than Tested For STI"&amp;CHAR(10),""),IF(L334&gt;L333," * Screened For STI for Age "&amp;L6&amp;" "&amp;L7&amp;" is more than Tested For STI"&amp;CHAR(10),""),IF(M334&gt;M333," * Screened For STI for Age "&amp;L6&amp;" "&amp;M7&amp;" is more than Tested For STI"&amp;CHAR(10),""),IF(N334&gt;N333," * Screened For STI for Age "&amp;N6&amp;" "&amp;N7&amp;" is more than Tested For STI"&amp;CHAR(10),""),IF(O334&gt;O333," * Screened For STI for Age "&amp;N6&amp;" "&amp;O7&amp;" is more than Tested For STI"&amp;CHAR(10),""),IF(P334&gt;P333," * Screened For STI for Age "&amp;P6&amp;" "&amp;P7&amp;" is more than Tested For STI"&amp;CHAR(10),""),IF(Q334&gt;Q333," * Screened For STI for Age "&amp;P6&amp;" "&amp;Q7&amp;" is more than Tested For STI"&amp;CHAR(10),""),IF(R334&gt;R333," * Screened For STI for Age "&amp;R6&amp;" "&amp;R7&amp;" is more than Tested For STI"&amp;CHAR(10),""),IF(S334&gt;S333," * Screened For STI for Age "&amp;R6&amp;" "&amp;S7&amp;" is more than Tested For STI"&amp;CHAR(10),""),IF(T334&gt;T333," * Screened For STI for Age "&amp;T6&amp;" "&amp;T7&amp;" is more than Tested For STI"&amp;CHAR(10),""),IF(U334&gt;U333," * Screened For STI for Age "&amp;T6&amp;" "&amp;U7&amp;" is more than Tested For STI"&amp;CHAR(10),""),IF(V334&gt;V333," * Screened For STI for Age "&amp;V6&amp;" "&amp;V7&amp;" is more than Tested For STI"&amp;CHAR(10),""),IF(W334&gt;W333," * Screened For STI for Age "&amp;V6&amp;" "&amp;W7&amp;" is more than Tested For STI"&amp;CHAR(10),""),IF(X334&gt;X333," * Screened For STI for Age "&amp;X6&amp;" "&amp;X7&amp;" is more than Tested For STI"&amp;CHAR(10),""),IF(Y334&gt;Y333," * Screened For STI for Age "&amp;X6&amp;" "&amp;Y7&amp;" is more than Tested For STI"&amp;CHAR(10),""),IF(Z334&gt;Z333," * Screened For STI for Age "&amp;Z6&amp;" "&amp;Z7&amp;" is more than Tested For STI"&amp;CHAR(10),""),IF(AA334&gt;AA333," * Screened For STI for Age "&amp;AA6&amp;" "&amp;AA7&amp;" is more than Tested For STI"&amp;CHAR(10),""))</f>
        <v/>
      </c>
      <c r="AL334" s="823"/>
      <c r="AM334" s="113"/>
      <c r="AN334" s="820"/>
      <c r="AO334" s="283">
        <v>183</v>
      </c>
      <c r="AQ334" s="132"/>
      <c r="AR334" s="132"/>
      <c r="AS334" s="132"/>
    </row>
    <row r="335" spans="1:45" s="5" customFormat="1">
      <c r="A335" s="895"/>
      <c r="B335" s="646" t="s">
        <v>851</v>
      </c>
      <c r="C335" s="27" t="s">
        <v>852</v>
      </c>
      <c r="D335" s="637"/>
      <c r="E335" s="647"/>
      <c r="F335" s="647"/>
      <c r="G335" s="647"/>
      <c r="H335" s="647"/>
      <c r="I335" s="647"/>
      <c r="J335" s="647"/>
      <c r="K335" s="647"/>
      <c r="L335" s="647"/>
      <c r="M335" s="647"/>
      <c r="N335" s="647"/>
      <c r="O335" s="647"/>
      <c r="P335" s="647"/>
      <c r="Q335" s="647"/>
      <c r="R335" s="647"/>
      <c r="S335" s="647"/>
      <c r="T335" s="647"/>
      <c r="U335" s="647"/>
      <c r="V335" s="647"/>
      <c r="W335" s="647"/>
      <c r="X335" s="647"/>
      <c r="Y335" s="647"/>
      <c r="Z335" s="647"/>
      <c r="AA335" s="665"/>
      <c r="AB335" s="241"/>
      <c r="AC335" s="241"/>
      <c r="AD335" s="241"/>
      <c r="AE335" s="241"/>
      <c r="AF335" s="241"/>
      <c r="AG335" s="241"/>
      <c r="AH335" s="241"/>
      <c r="AI335" s="241"/>
      <c r="AJ335" s="256">
        <f>SUM(D335:AA335)</f>
        <v>0</v>
      </c>
      <c r="AK335" s="282" t="str">
        <f>CONCATENATE(IF(D335&gt;D334," * Tested Positive for STI for Age "&amp;D7&amp;" "&amp;D8&amp;" is more than Tested For STI"&amp;CHAR(10),""),IF(E335&gt;E334," * Screened For STI for Age "&amp;D7&amp;" "&amp;E8&amp;" is more than Tested For STI"&amp;CHAR(10),""),IF(F335&gt;F334," * Screened For STI for Age "&amp;F7&amp;" "&amp;F8&amp;" is more than Tested For STI"&amp;CHAR(10),""),IF(G335&gt;G334," * Screened For STI for Age "&amp;F7&amp;" "&amp;G8&amp;" is more than Tested For STI"&amp;CHAR(10),""),IF(H335&gt;H334," * Screened For STI for Age "&amp;H7&amp;" "&amp;H8&amp;" is more than Tested For STI"&amp;CHAR(10),""),IF(I335&gt;I334," * Screened For STI for Age "&amp;H7&amp;" "&amp;I8&amp;" is more than Tested For STI"&amp;CHAR(10),""),IF(J335&gt;J334," * Screened For STI for Age "&amp;J7&amp;" "&amp;J8&amp;" is more than Tested For STI"&amp;CHAR(10),""),IF(K335&gt;K334," * Screened For STI for Age "&amp;J7&amp;" "&amp;K8&amp;" is more than Tested For STI"&amp;CHAR(10),""),IF(L335&gt;L334," * Screened For STI for Age "&amp;L7&amp;" "&amp;L8&amp;" is more than Tested For STI"&amp;CHAR(10),""),IF(M335&gt;M334," * Screened For STI for Age "&amp;L7&amp;" "&amp;M8&amp;" is more than Tested For STI"&amp;CHAR(10),""),IF(N335&gt;N334," * Screened For STI for Age "&amp;N7&amp;" "&amp;N8&amp;" is more than Tested For STI"&amp;CHAR(10),""),IF(O335&gt;O334," * Screened For STI for Age "&amp;N7&amp;" "&amp;O8&amp;" is more than Tested For STI"&amp;CHAR(10),""),IF(P335&gt;P334," * Screened For STI for Age "&amp;P7&amp;" "&amp;P8&amp;" is more than Tested For STI"&amp;CHAR(10),""),IF(Q335&gt;Q334," * Screened For STI for Age "&amp;P7&amp;" "&amp;Q8&amp;" is more than Tested For STI"&amp;CHAR(10),""),IF(R335&gt;R334," * Screened For STI for Age "&amp;R7&amp;" "&amp;R8&amp;" is more than Tested For STI"&amp;CHAR(10),""),IF(S335&gt;S334," * Screened For STI for Age "&amp;R7&amp;" "&amp;S8&amp;" is more than Tested For STI"&amp;CHAR(10),""),IF(T335&gt;T334," * Screened For STI for Age "&amp;T7&amp;" "&amp;T8&amp;" is more than Tested For STI"&amp;CHAR(10),""),IF(U335&gt;U334," * Screened For STI for Age "&amp;T7&amp;" "&amp;U8&amp;" is more than Tested For STI"&amp;CHAR(10),""),IF(V335&gt;V334," * Screened For STI for Age "&amp;V7&amp;" "&amp;V8&amp;" is more than Tested For STI"&amp;CHAR(10),""),IF(W335&gt;W334," * Screened For STI for Age "&amp;V7&amp;" "&amp;W8&amp;" is more than Tested For STI"&amp;CHAR(10),""),IF(X335&gt;X334," * Screened For STI for Age "&amp;X7&amp;" "&amp;X8&amp;" is more than Tested For STI"&amp;CHAR(10),""),IF(Y335&gt;Y334," * Screened For STI for Age "&amp;X7&amp;" "&amp;Y8&amp;" is more than Tested For STI"&amp;CHAR(10),""),IF(Z335&gt;Z334," * Screened For STI for Age "&amp;Z7&amp;" "&amp;Z8&amp;" is more than Tested For STI"&amp;CHAR(10),""),IF(AA335&gt;AA334," * Screened For STI for Age "&amp;AA7&amp;" "&amp;AA8&amp;" is more than Tested For STI"&amp;CHAR(10),""))</f>
        <v/>
      </c>
      <c r="AL335" s="823"/>
      <c r="AM335" s="113"/>
      <c r="AN335" s="820"/>
      <c r="AO335" s="283">
        <v>183</v>
      </c>
      <c r="AQ335" s="132"/>
      <c r="AR335" s="132"/>
      <c r="AS335" s="132"/>
    </row>
    <row r="336" spans="1:45" s="5" customFormat="1" ht="31.5" thickBot="1">
      <c r="A336" s="896"/>
      <c r="B336" s="648" t="s">
        <v>854</v>
      </c>
      <c r="C336" s="19" t="s">
        <v>855</v>
      </c>
      <c r="D336" s="640"/>
      <c r="E336" s="649"/>
      <c r="F336" s="649"/>
      <c r="G336" s="649"/>
      <c r="H336" s="649"/>
      <c r="I336" s="649"/>
      <c r="J336" s="649"/>
      <c r="K336" s="649"/>
      <c r="L336" s="649"/>
      <c r="M336" s="649"/>
      <c r="N336" s="649"/>
      <c r="O336" s="649"/>
      <c r="P336" s="649"/>
      <c r="Q336" s="649"/>
      <c r="R336" s="649"/>
      <c r="S336" s="649"/>
      <c r="T336" s="649"/>
      <c r="U336" s="649"/>
      <c r="V336" s="649"/>
      <c r="W336" s="649"/>
      <c r="X336" s="649"/>
      <c r="Y336" s="649"/>
      <c r="Z336" s="649"/>
      <c r="AA336" s="666"/>
      <c r="AB336" s="590"/>
      <c r="AC336" s="590"/>
      <c r="AD336" s="590"/>
      <c r="AE336" s="590"/>
      <c r="AF336" s="590"/>
      <c r="AG336" s="590"/>
      <c r="AH336" s="590"/>
      <c r="AI336" s="590"/>
      <c r="AJ336" s="670">
        <f t="shared" si="229"/>
        <v>0</v>
      </c>
      <c r="AK336" s="671" t="str">
        <f>CONCATENATE(IF(D336&gt;D334," * F05-07 for Age "&amp;D6&amp;" "&amp;D7&amp;" is more than F05-06"&amp;CHAR(10),""),IF(E336&gt;E334," * F05-07 for Age "&amp;D6&amp;" "&amp;E7&amp;" is more than F05-06"&amp;CHAR(10),""),IF(F336&gt;F334," * F05-07 for Age "&amp;F6&amp;" "&amp;F7&amp;" is more than F05-06"&amp;CHAR(10),""),IF(G336&gt;G334," * F05-07 for Age "&amp;F6&amp;" "&amp;G7&amp;" is more than F05-06"&amp;CHAR(10),""),IF(H336&gt;H334," * F05-07 for Age "&amp;H6&amp;" "&amp;H7&amp;" is more than F05-06"&amp;CHAR(10),""),IF(I336&gt;I334," * F05-07 for Age "&amp;H6&amp;" "&amp;I7&amp;" is more than F05-06"&amp;CHAR(10),""),IF(J336&gt;J334," * F05-07 for Age "&amp;J6&amp;" "&amp;J7&amp;" is more than F05-06"&amp;CHAR(10),""),IF(K336&gt;K334," * F05-07 for Age "&amp;J6&amp;" "&amp;K7&amp;" is more than F05-06"&amp;CHAR(10),""),IF(L336&gt;L334," * F05-07 for Age "&amp;L6&amp;" "&amp;L7&amp;" is more than F05-06"&amp;CHAR(10),""),IF(M336&gt;M334," * F05-07 for Age "&amp;L6&amp;" "&amp;M7&amp;" is more than F05-06"&amp;CHAR(10),""),IF(N336&gt;N334," * F05-07 for Age "&amp;N6&amp;" "&amp;N7&amp;" is more than F05-06"&amp;CHAR(10),""),IF(O336&gt;O334," * F05-07 for Age "&amp;N6&amp;" "&amp;O7&amp;" is more than F05-06"&amp;CHAR(10),""),IF(P336&gt;P334," * F05-07 for Age "&amp;P6&amp;" "&amp;P7&amp;" is more than F05-06"&amp;CHAR(10),""),IF(Q336&gt;Q334," * F05-07 for Age "&amp;P6&amp;" "&amp;Q7&amp;" is more than F05-06"&amp;CHAR(10),""),IF(R336&gt;R334," * F05-07 for Age "&amp;R6&amp;" "&amp;R7&amp;" is more than F05-06"&amp;CHAR(10),""),IF(S336&gt;S334," * F05-07 for Age "&amp;R6&amp;" "&amp;S7&amp;" is more than F05-06"&amp;CHAR(10),""),IF(T336&gt;T334," * F05-07 for Age "&amp;T6&amp;" "&amp;T7&amp;" is more than F05-06"&amp;CHAR(10),""),IF(U336&gt;U334," * F05-07 for Age "&amp;T6&amp;" "&amp;U7&amp;" is more than F05-06"&amp;CHAR(10),""),IF(V336&gt;V334," * F05-07 for Age "&amp;V6&amp;" "&amp;V7&amp;" is more than F05-06"&amp;CHAR(10),""),IF(W336&gt;W334," * F05-07 for Age "&amp;V6&amp;" "&amp;W7&amp;" is more than F05-06"&amp;CHAR(10),""),IF(X336&gt;X334," * F05-07 for Age "&amp;X6&amp;" "&amp;X7&amp;" is more than F05-06"&amp;CHAR(10),""),IF(Y336&gt;Y334," * F05-07 for Age "&amp;X6&amp;" "&amp;Y7&amp;" is more than F05-06"&amp;CHAR(10),""),IF(Z336&gt;Z334," * F05-07 for Age "&amp;Z6&amp;" "&amp;Z7&amp;" is more than F05-06"&amp;CHAR(10),""),IF(AA336&gt;AA334," * F05-07 for Age "&amp;Z6&amp;" "&amp;AA7&amp;" is more than F05-06"&amp;CHAR(10),""),IF(AJ336&gt;AJ334," * Total F05-07 is more than Total F05-06"&amp;CHAR(10),""))</f>
        <v/>
      </c>
      <c r="AL336" s="824"/>
      <c r="AM336" s="672"/>
      <c r="AN336" s="821"/>
      <c r="AO336" s="283">
        <v>184</v>
      </c>
      <c r="AQ336" s="132"/>
      <c r="AR336" s="132"/>
      <c r="AS336" s="132"/>
    </row>
    <row r="337" spans="1:45" ht="63" customHeight="1" thickBot="1">
      <c r="A337" s="650" t="s">
        <v>957</v>
      </c>
      <c r="B337" s="651"/>
      <c r="C337" s="652"/>
      <c r="D337" s="652"/>
      <c r="E337" s="652"/>
      <c r="F337" s="653"/>
      <c r="G337" s="653"/>
      <c r="H337" s="652"/>
      <c r="I337" s="653"/>
      <c r="J337" s="653"/>
      <c r="K337" s="652"/>
      <c r="L337" s="652"/>
      <c r="M337" s="653"/>
      <c r="N337" s="653"/>
      <c r="O337" s="653"/>
      <c r="P337" s="652"/>
      <c r="Q337" s="653"/>
      <c r="R337" s="652"/>
      <c r="S337" s="652"/>
      <c r="T337" s="652"/>
      <c r="U337" s="652"/>
      <c r="V337" s="652"/>
      <c r="W337" s="652"/>
      <c r="X337" s="653"/>
      <c r="Y337" s="652"/>
      <c r="Z337" s="652"/>
      <c r="AA337" s="652"/>
      <c r="AB337" s="652"/>
      <c r="AC337" s="652"/>
      <c r="AD337" s="652"/>
      <c r="AE337" s="652"/>
      <c r="AF337" s="652"/>
      <c r="AG337" s="652"/>
      <c r="AH337" s="652"/>
      <c r="AI337" s="652"/>
      <c r="AJ337" s="652"/>
      <c r="AK337" s="652"/>
      <c r="AL337" s="39"/>
      <c r="AM337" s="652"/>
      <c r="AN337" s="652"/>
      <c r="AO337" s="673"/>
    </row>
    <row r="339" spans="1:45">
      <c r="A339" s="654"/>
      <c r="B339" s="655"/>
      <c r="E339" s="2"/>
      <c r="F339" s="2"/>
      <c r="G339" s="2"/>
      <c r="H339" s="2"/>
      <c r="I339" s="2"/>
      <c r="J339" s="2"/>
      <c r="K339" s="2"/>
      <c r="L339" s="2"/>
      <c r="M339" s="2"/>
    </row>
    <row r="340" spans="1:45" s="9" customFormat="1" ht="41.25" customHeight="1">
      <c r="A340" s="897" t="s">
        <v>958</v>
      </c>
      <c r="B340" s="898"/>
      <c r="C340" s="898"/>
      <c r="D340" s="898"/>
      <c r="E340" s="898"/>
      <c r="F340" s="898"/>
      <c r="G340" s="898"/>
      <c r="H340" s="898"/>
      <c r="I340" s="898"/>
      <c r="J340" s="898"/>
      <c r="K340" s="898"/>
      <c r="L340" s="898"/>
      <c r="M340" s="899" t="s">
        <v>959</v>
      </c>
      <c r="N340" s="898"/>
      <c r="O340" s="898"/>
      <c r="P340" s="898"/>
      <c r="Q340" s="898"/>
      <c r="R340" s="898"/>
      <c r="S340" s="898"/>
      <c r="T340" s="898"/>
      <c r="U340" s="898"/>
      <c r="V340" s="898"/>
      <c r="W340" s="898"/>
      <c r="X340" s="898"/>
      <c r="Y340" s="898"/>
      <c r="Z340" s="898"/>
      <c r="AA340" s="898"/>
      <c r="AB340" s="898"/>
      <c r="AC340" s="898"/>
      <c r="AD340" s="898"/>
      <c r="AE340" s="898"/>
      <c r="AF340" s="898"/>
      <c r="AG340" s="898"/>
      <c r="AH340" s="898"/>
      <c r="AI340" s="898"/>
      <c r="AJ340" s="898"/>
      <c r="AK340" s="898"/>
      <c r="AL340" s="898"/>
      <c r="AM340" s="898"/>
      <c r="AN340" s="900"/>
      <c r="AO340" s="674"/>
      <c r="AQ340" s="134"/>
      <c r="AR340" s="134"/>
      <c r="AS340" s="134"/>
    </row>
    <row r="341" spans="1:45" ht="30.75" customHeight="1">
      <c r="A341" s="870" t="str">
        <f>CONCATENATE(AL204,AL250,AL224,AL185,AL150,AL322,AL292,AL271,AL107,AL8,AL285,AL280,AL217,AL197,AL116,AL100,AL274)</f>
        <v/>
      </c>
      <c r="B341" s="871"/>
      <c r="C341" s="871"/>
      <c r="D341" s="871"/>
      <c r="E341" s="871"/>
      <c r="F341" s="871"/>
      <c r="G341" s="871"/>
      <c r="H341" s="871"/>
      <c r="I341" s="871"/>
      <c r="J341" s="871"/>
      <c r="K341" s="871"/>
      <c r="L341" s="872"/>
      <c r="M341" s="879" t="str">
        <f>IF(LEN(A341)&lt;=0,"","Please ensure you solve the errors appearing on the left . However, In the cases where the errors are valid and can be explained ( We expect this to be very rare cases), Please delete this message and type the  justification for the error here)")</f>
        <v/>
      </c>
      <c r="N341" s="880"/>
      <c r="O341" s="880"/>
      <c r="P341" s="880"/>
      <c r="Q341" s="880"/>
      <c r="R341" s="880"/>
      <c r="S341" s="880"/>
      <c r="T341" s="880"/>
      <c r="U341" s="880"/>
      <c r="V341" s="880"/>
      <c r="W341" s="880"/>
      <c r="X341" s="880"/>
      <c r="Y341" s="880"/>
      <c r="Z341" s="880"/>
      <c r="AA341" s="880"/>
      <c r="AB341" s="880"/>
      <c r="AC341" s="880"/>
      <c r="AD341" s="880"/>
      <c r="AE341" s="880"/>
      <c r="AF341" s="880"/>
      <c r="AG341" s="880"/>
      <c r="AH341" s="880"/>
      <c r="AI341" s="880"/>
      <c r="AJ341" s="880"/>
      <c r="AK341" s="880"/>
      <c r="AL341" s="880"/>
      <c r="AM341" s="880"/>
      <c r="AN341" s="881"/>
    </row>
    <row r="342" spans="1:45" ht="25.5" customHeight="1">
      <c r="A342" s="873"/>
      <c r="B342" s="874"/>
      <c r="C342" s="874"/>
      <c r="D342" s="874"/>
      <c r="E342" s="874"/>
      <c r="F342" s="874"/>
      <c r="G342" s="874"/>
      <c r="H342" s="874"/>
      <c r="I342" s="874"/>
      <c r="J342" s="874"/>
      <c r="K342" s="874"/>
      <c r="L342" s="875"/>
      <c r="M342" s="882"/>
      <c r="N342" s="883"/>
      <c r="O342" s="883"/>
      <c r="P342" s="883"/>
      <c r="Q342" s="883"/>
      <c r="R342" s="883"/>
      <c r="S342" s="883"/>
      <c r="T342" s="883"/>
      <c r="U342" s="883"/>
      <c r="V342" s="883"/>
      <c r="W342" s="883"/>
      <c r="X342" s="883"/>
      <c r="Y342" s="883"/>
      <c r="Z342" s="883"/>
      <c r="AA342" s="883"/>
      <c r="AB342" s="883"/>
      <c r="AC342" s="883"/>
      <c r="AD342" s="883"/>
      <c r="AE342" s="883"/>
      <c r="AF342" s="883"/>
      <c r="AG342" s="883"/>
      <c r="AH342" s="883"/>
      <c r="AI342" s="883"/>
      <c r="AJ342" s="883"/>
      <c r="AK342" s="883"/>
      <c r="AL342" s="883"/>
      <c r="AM342" s="883"/>
      <c r="AN342" s="884"/>
    </row>
    <row r="343" spans="1:45" ht="30.75" customHeight="1">
      <c r="A343" s="873"/>
      <c r="B343" s="874"/>
      <c r="C343" s="874"/>
      <c r="D343" s="874"/>
      <c r="E343" s="874"/>
      <c r="F343" s="874"/>
      <c r="G343" s="874"/>
      <c r="H343" s="874"/>
      <c r="I343" s="874"/>
      <c r="J343" s="874"/>
      <c r="K343" s="874"/>
      <c r="L343" s="875"/>
      <c r="M343" s="882"/>
      <c r="N343" s="883"/>
      <c r="O343" s="883"/>
      <c r="P343" s="883"/>
      <c r="Q343" s="883"/>
      <c r="R343" s="883"/>
      <c r="S343" s="883"/>
      <c r="T343" s="883"/>
      <c r="U343" s="883"/>
      <c r="V343" s="883"/>
      <c r="W343" s="883"/>
      <c r="X343" s="883"/>
      <c r="Y343" s="883"/>
      <c r="Z343" s="883"/>
      <c r="AA343" s="883"/>
      <c r="AB343" s="883"/>
      <c r="AC343" s="883"/>
      <c r="AD343" s="883"/>
      <c r="AE343" s="883"/>
      <c r="AF343" s="883"/>
      <c r="AG343" s="883"/>
      <c r="AH343" s="883"/>
      <c r="AI343" s="883"/>
      <c r="AJ343" s="883"/>
      <c r="AK343" s="883"/>
      <c r="AL343" s="883"/>
      <c r="AM343" s="883"/>
      <c r="AN343" s="884"/>
    </row>
    <row r="344" spans="1:45" ht="25.5" customHeight="1">
      <c r="A344" s="873"/>
      <c r="B344" s="874"/>
      <c r="C344" s="874"/>
      <c r="D344" s="874"/>
      <c r="E344" s="874"/>
      <c r="F344" s="874"/>
      <c r="G344" s="874"/>
      <c r="H344" s="874"/>
      <c r="I344" s="874"/>
      <c r="J344" s="874"/>
      <c r="K344" s="874"/>
      <c r="L344" s="875"/>
      <c r="M344" s="882"/>
      <c r="N344" s="883"/>
      <c r="O344" s="883"/>
      <c r="P344" s="883"/>
      <c r="Q344" s="883"/>
      <c r="R344" s="883"/>
      <c r="S344" s="883"/>
      <c r="T344" s="883"/>
      <c r="U344" s="883"/>
      <c r="V344" s="883"/>
      <c r="W344" s="883"/>
      <c r="X344" s="883"/>
      <c r="Y344" s="883"/>
      <c r="Z344" s="883"/>
      <c r="AA344" s="883"/>
      <c r="AB344" s="883"/>
      <c r="AC344" s="883"/>
      <c r="AD344" s="883"/>
      <c r="AE344" s="883"/>
      <c r="AF344" s="883"/>
      <c r="AG344" s="883"/>
      <c r="AH344" s="883"/>
      <c r="AI344" s="883"/>
      <c r="AJ344" s="883"/>
      <c r="AK344" s="883"/>
      <c r="AL344" s="883"/>
      <c r="AM344" s="883"/>
      <c r="AN344" s="884"/>
    </row>
    <row r="345" spans="1:45" ht="25.5" customHeight="1">
      <c r="A345" s="873"/>
      <c r="B345" s="874"/>
      <c r="C345" s="874"/>
      <c r="D345" s="874"/>
      <c r="E345" s="874"/>
      <c r="F345" s="874"/>
      <c r="G345" s="874"/>
      <c r="H345" s="874"/>
      <c r="I345" s="874"/>
      <c r="J345" s="874"/>
      <c r="K345" s="874"/>
      <c r="L345" s="875"/>
      <c r="M345" s="882"/>
      <c r="N345" s="883"/>
      <c r="O345" s="883"/>
      <c r="P345" s="883"/>
      <c r="Q345" s="883"/>
      <c r="R345" s="883"/>
      <c r="S345" s="883"/>
      <c r="T345" s="883"/>
      <c r="U345" s="883"/>
      <c r="V345" s="883"/>
      <c r="W345" s="883"/>
      <c r="X345" s="883"/>
      <c r="Y345" s="883"/>
      <c r="Z345" s="883"/>
      <c r="AA345" s="883"/>
      <c r="AB345" s="883"/>
      <c r="AC345" s="883"/>
      <c r="AD345" s="883"/>
      <c r="AE345" s="883"/>
      <c r="AF345" s="883"/>
      <c r="AG345" s="883"/>
      <c r="AH345" s="883"/>
      <c r="AI345" s="883"/>
      <c r="AJ345" s="883"/>
      <c r="AK345" s="883"/>
      <c r="AL345" s="883"/>
      <c r="AM345" s="883"/>
      <c r="AN345" s="884"/>
    </row>
    <row r="346" spans="1:45" ht="25.5" customHeight="1">
      <c r="A346" s="873"/>
      <c r="B346" s="874"/>
      <c r="C346" s="874"/>
      <c r="D346" s="874"/>
      <c r="E346" s="874"/>
      <c r="F346" s="874"/>
      <c r="G346" s="874"/>
      <c r="H346" s="874"/>
      <c r="I346" s="874"/>
      <c r="J346" s="874"/>
      <c r="K346" s="874"/>
      <c r="L346" s="875"/>
      <c r="M346" s="882"/>
      <c r="N346" s="883"/>
      <c r="O346" s="883"/>
      <c r="P346" s="883"/>
      <c r="Q346" s="883"/>
      <c r="R346" s="883"/>
      <c r="S346" s="883"/>
      <c r="T346" s="883"/>
      <c r="U346" s="883"/>
      <c r="V346" s="883"/>
      <c r="W346" s="883"/>
      <c r="X346" s="883"/>
      <c r="Y346" s="883"/>
      <c r="Z346" s="883"/>
      <c r="AA346" s="883"/>
      <c r="AB346" s="883"/>
      <c r="AC346" s="883"/>
      <c r="AD346" s="883"/>
      <c r="AE346" s="883"/>
      <c r="AF346" s="883"/>
      <c r="AG346" s="883"/>
      <c r="AH346" s="883"/>
      <c r="AI346" s="883"/>
      <c r="AJ346" s="883"/>
      <c r="AK346" s="883"/>
      <c r="AL346" s="883"/>
      <c r="AM346" s="883"/>
      <c r="AN346" s="884"/>
    </row>
    <row r="347" spans="1:45" ht="25.5" customHeight="1">
      <c r="A347" s="873"/>
      <c r="B347" s="874"/>
      <c r="C347" s="874"/>
      <c r="D347" s="874"/>
      <c r="E347" s="874"/>
      <c r="F347" s="874"/>
      <c r="G347" s="874"/>
      <c r="H347" s="874"/>
      <c r="I347" s="874"/>
      <c r="J347" s="874"/>
      <c r="K347" s="874"/>
      <c r="L347" s="875"/>
      <c r="M347" s="882"/>
      <c r="N347" s="883"/>
      <c r="O347" s="883"/>
      <c r="P347" s="883"/>
      <c r="Q347" s="883"/>
      <c r="R347" s="883"/>
      <c r="S347" s="883"/>
      <c r="T347" s="883"/>
      <c r="U347" s="883"/>
      <c r="V347" s="883"/>
      <c r="W347" s="883"/>
      <c r="X347" s="883"/>
      <c r="Y347" s="883"/>
      <c r="Z347" s="883"/>
      <c r="AA347" s="883"/>
      <c r="AB347" s="883"/>
      <c r="AC347" s="883"/>
      <c r="AD347" s="883"/>
      <c r="AE347" s="883"/>
      <c r="AF347" s="883"/>
      <c r="AG347" s="883"/>
      <c r="AH347" s="883"/>
      <c r="AI347" s="883"/>
      <c r="AJ347" s="883"/>
      <c r="AK347" s="883"/>
      <c r="AL347" s="883"/>
      <c r="AM347" s="883"/>
      <c r="AN347" s="884"/>
    </row>
    <row r="348" spans="1:45" ht="25.5" customHeight="1">
      <c r="A348" s="873"/>
      <c r="B348" s="874"/>
      <c r="C348" s="874"/>
      <c r="D348" s="874"/>
      <c r="E348" s="874"/>
      <c r="F348" s="874"/>
      <c r="G348" s="874"/>
      <c r="H348" s="874"/>
      <c r="I348" s="874"/>
      <c r="J348" s="874"/>
      <c r="K348" s="874"/>
      <c r="L348" s="875"/>
      <c r="M348" s="882"/>
      <c r="N348" s="883"/>
      <c r="O348" s="883"/>
      <c r="P348" s="883"/>
      <c r="Q348" s="883"/>
      <c r="R348" s="883"/>
      <c r="S348" s="883"/>
      <c r="T348" s="883"/>
      <c r="U348" s="883"/>
      <c r="V348" s="883"/>
      <c r="W348" s="883"/>
      <c r="X348" s="883"/>
      <c r="Y348" s="883"/>
      <c r="Z348" s="883"/>
      <c r="AA348" s="883"/>
      <c r="AB348" s="883"/>
      <c r="AC348" s="883"/>
      <c r="AD348" s="883"/>
      <c r="AE348" s="883"/>
      <c r="AF348" s="883"/>
      <c r="AG348" s="883"/>
      <c r="AH348" s="883"/>
      <c r="AI348" s="883"/>
      <c r="AJ348" s="883"/>
      <c r="AK348" s="883"/>
      <c r="AL348" s="883"/>
      <c r="AM348" s="883"/>
      <c r="AN348" s="884"/>
    </row>
    <row r="349" spans="1:45" ht="25.5" customHeight="1">
      <c r="A349" s="873"/>
      <c r="B349" s="874"/>
      <c r="C349" s="874"/>
      <c r="D349" s="874"/>
      <c r="E349" s="874"/>
      <c r="F349" s="874"/>
      <c r="G349" s="874"/>
      <c r="H349" s="874"/>
      <c r="I349" s="874"/>
      <c r="J349" s="874"/>
      <c r="K349" s="874"/>
      <c r="L349" s="875"/>
      <c r="M349" s="882"/>
      <c r="N349" s="883"/>
      <c r="O349" s="883"/>
      <c r="P349" s="883"/>
      <c r="Q349" s="883"/>
      <c r="R349" s="883"/>
      <c r="S349" s="883"/>
      <c r="T349" s="883"/>
      <c r="U349" s="883"/>
      <c r="V349" s="883"/>
      <c r="W349" s="883"/>
      <c r="X349" s="883"/>
      <c r="Y349" s="883"/>
      <c r="Z349" s="883"/>
      <c r="AA349" s="883"/>
      <c r="AB349" s="883"/>
      <c r="AC349" s="883"/>
      <c r="AD349" s="883"/>
      <c r="AE349" s="883"/>
      <c r="AF349" s="883"/>
      <c r="AG349" s="883"/>
      <c r="AH349" s="883"/>
      <c r="AI349" s="883"/>
      <c r="AJ349" s="883"/>
      <c r="AK349" s="883"/>
      <c r="AL349" s="883"/>
      <c r="AM349" s="883"/>
      <c r="AN349" s="884"/>
    </row>
    <row r="350" spans="1:45" ht="25.5" customHeight="1">
      <c r="A350" s="873"/>
      <c r="B350" s="874"/>
      <c r="C350" s="874"/>
      <c r="D350" s="874"/>
      <c r="E350" s="874"/>
      <c r="F350" s="874"/>
      <c r="G350" s="874"/>
      <c r="H350" s="874"/>
      <c r="I350" s="874"/>
      <c r="J350" s="874"/>
      <c r="K350" s="874"/>
      <c r="L350" s="875"/>
      <c r="M350" s="882"/>
      <c r="N350" s="883"/>
      <c r="O350" s="883"/>
      <c r="P350" s="883"/>
      <c r="Q350" s="883"/>
      <c r="R350" s="883"/>
      <c r="S350" s="883"/>
      <c r="T350" s="883"/>
      <c r="U350" s="883"/>
      <c r="V350" s="883"/>
      <c r="W350" s="883"/>
      <c r="X350" s="883"/>
      <c r="Y350" s="883"/>
      <c r="Z350" s="883"/>
      <c r="AA350" s="883"/>
      <c r="AB350" s="883"/>
      <c r="AC350" s="883"/>
      <c r="AD350" s="883"/>
      <c r="AE350" s="883"/>
      <c r="AF350" s="883"/>
      <c r="AG350" s="883"/>
      <c r="AH350" s="883"/>
      <c r="AI350" s="883"/>
      <c r="AJ350" s="883"/>
      <c r="AK350" s="883"/>
      <c r="AL350" s="883"/>
      <c r="AM350" s="883"/>
      <c r="AN350" s="884"/>
    </row>
    <row r="351" spans="1:45" ht="25.5" customHeight="1">
      <c r="A351" s="873"/>
      <c r="B351" s="874"/>
      <c r="C351" s="874"/>
      <c r="D351" s="874"/>
      <c r="E351" s="874"/>
      <c r="F351" s="874"/>
      <c r="G351" s="874"/>
      <c r="H351" s="874"/>
      <c r="I351" s="874"/>
      <c r="J351" s="874"/>
      <c r="K351" s="874"/>
      <c r="L351" s="875"/>
      <c r="M351" s="882"/>
      <c r="N351" s="883"/>
      <c r="O351" s="883"/>
      <c r="P351" s="883"/>
      <c r="Q351" s="883"/>
      <c r="R351" s="883"/>
      <c r="S351" s="883"/>
      <c r="T351" s="883"/>
      <c r="U351" s="883"/>
      <c r="V351" s="883"/>
      <c r="W351" s="883"/>
      <c r="X351" s="883"/>
      <c r="Y351" s="883"/>
      <c r="Z351" s="883"/>
      <c r="AA351" s="883"/>
      <c r="AB351" s="883"/>
      <c r="AC351" s="883"/>
      <c r="AD351" s="883"/>
      <c r="AE351" s="883"/>
      <c r="AF351" s="883"/>
      <c r="AG351" s="883"/>
      <c r="AH351" s="883"/>
      <c r="AI351" s="883"/>
      <c r="AJ351" s="883"/>
      <c r="AK351" s="883"/>
      <c r="AL351" s="883"/>
      <c r="AM351" s="883"/>
      <c r="AN351" s="884"/>
    </row>
    <row r="352" spans="1:45" ht="25.5" customHeight="1">
      <c r="A352" s="873"/>
      <c r="B352" s="874"/>
      <c r="C352" s="874"/>
      <c r="D352" s="874"/>
      <c r="E352" s="874"/>
      <c r="F352" s="874"/>
      <c r="G352" s="874"/>
      <c r="H352" s="874"/>
      <c r="I352" s="874"/>
      <c r="J352" s="874"/>
      <c r="K352" s="874"/>
      <c r="L352" s="875"/>
      <c r="M352" s="882"/>
      <c r="N352" s="883"/>
      <c r="O352" s="883"/>
      <c r="P352" s="883"/>
      <c r="Q352" s="883"/>
      <c r="R352" s="883"/>
      <c r="S352" s="883"/>
      <c r="T352" s="883"/>
      <c r="U352" s="883"/>
      <c r="V352" s="883"/>
      <c r="W352" s="883"/>
      <c r="X352" s="883"/>
      <c r="Y352" s="883"/>
      <c r="Z352" s="883"/>
      <c r="AA352" s="883"/>
      <c r="AB352" s="883"/>
      <c r="AC352" s="883"/>
      <c r="AD352" s="883"/>
      <c r="AE352" s="883"/>
      <c r="AF352" s="883"/>
      <c r="AG352" s="883"/>
      <c r="AH352" s="883"/>
      <c r="AI352" s="883"/>
      <c r="AJ352" s="883"/>
      <c r="AK352" s="883"/>
      <c r="AL352" s="883"/>
      <c r="AM352" s="883"/>
      <c r="AN352" s="884"/>
    </row>
    <row r="353" spans="1:45" ht="25.5" customHeight="1">
      <c r="A353" s="873"/>
      <c r="B353" s="874"/>
      <c r="C353" s="874"/>
      <c r="D353" s="874"/>
      <c r="E353" s="874"/>
      <c r="F353" s="874"/>
      <c r="G353" s="874"/>
      <c r="H353" s="874"/>
      <c r="I353" s="874"/>
      <c r="J353" s="874"/>
      <c r="K353" s="874"/>
      <c r="L353" s="875"/>
      <c r="M353" s="882"/>
      <c r="N353" s="883"/>
      <c r="O353" s="883"/>
      <c r="P353" s="883"/>
      <c r="Q353" s="883"/>
      <c r="R353" s="883"/>
      <c r="S353" s="883"/>
      <c r="T353" s="883"/>
      <c r="U353" s="883"/>
      <c r="V353" s="883"/>
      <c r="W353" s="883"/>
      <c r="X353" s="883"/>
      <c r="Y353" s="883"/>
      <c r="Z353" s="883"/>
      <c r="AA353" s="883"/>
      <c r="AB353" s="883"/>
      <c r="AC353" s="883"/>
      <c r="AD353" s="883"/>
      <c r="AE353" s="883"/>
      <c r="AF353" s="883"/>
      <c r="AG353" s="883"/>
      <c r="AH353" s="883"/>
      <c r="AI353" s="883"/>
      <c r="AJ353" s="883"/>
      <c r="AK353" s="883"/>
      <c r="AL353" s="883"/>
      <c r="AM353" s="883"/>
      <c r="AN353" s="884"/>
    </row>
    <row r="354" spans="1:45" ht="25.5" customHeight="1">
      <c r="A354" s="873"/>
      <c r="B354" s="874"/>
      <c r="C354" s="874"/>
      <c r="D354" s="874"/>
      <c r="E354" s="874"/>
      <c r="F354" s="874"/>
      <c r="G354" s="874"/>
      <c r="H354" s="874"/>
      <c r="I354" s="874"/>
      <c r="J354" s="874"/>
      <c r="K354" s="874"/>
      <c r="L354" s="875"/>
      <c r="M354" s="882"/>
      <c r="N354" s="883"/>
      <c r="O354" s="883"/>
      <c r="P354" s="883"/>
      <c r="Q354" s="883"/>
      <c r="R354" s="883"/>
      <c r="S354" s="883"/>
      <c r="T354" s="883"/>
      <c r="U354" s="883"/>
      <c r="V354" s="883"/>
      <c r="W354" s="883"/>
      <c r="X354" s="883"/>
      <c r="Y354" s="883"/>
      <c r="Z354" s="883"/>
      <c r="AA354" s="883"/>
      <c r="AB354" s="883"/>
      <c r="AC354" s="883"/>
      <c r="AD354" s="883"/>
      <c r="AE354" s="883"/>
      <c r="AF354" s="883"/>
      <c r="AG354" s="883"/>
      <c r="AH354" s="883"/>
      <c r="AI354" s="883"/>
      <c r="AJ354" s="883"/>
      <c r="AK354" s="883"/>
      <c r="AL354" s="883"/>
      <c r="AM354" s="883"/>
      <c r="AN354" s="884"/>
    </row>
    <row r="355" spans="1:45" ht="25.5" customHeight="1">
      <c r="A355" s="873"/>
      <c r="B355" s="874"/>
      <c r="C355" s="874"/>
      <c r="D355" s="874"/>
      <c r="E355" s="874"/>
      <c r="F355" s="874"/>
      <c r="G355" s="874"/>
      <c r="H355" s="874"/>
      <c r="I355" s="874"/>
      <c r="J355" s="874"/>
      <c r="K355" s="874"/>
      <c r="L355" s="875"/>
      <c r="M355" s="882"/>
      <c r="N355" s="883"/>
      <c r="O355" s="883"/>
      <c r="P355" s="883"/>
      <c r="Q355" s="883"/>
      <c r="R355" s="883"/>
      <c r="S355" s="883"/>
      <c r="T355" s="883"/>
      <c r="U355" s="883"/>
      <c r="V355" s="883"/>
      <c r="W355" s="883"/>
      <c r="X355" s="883"/>
      <c r="Y355" s="883"/>
      <c r="Z355" s="883"/>
      <c r="AA355" s="883"/>
      <c r="AB355" s="883"/>
      <c r="AC355" s="883"/>
      <c r="AD355" s="883"/>
      <c r="AE355" s="883"/>
      <c r="AF355" s="883"/>
      <c r="AG355" s="883"/>
      <c r="AH355" s="883"/>
      <c r="AI355" s="883"/>
      <c r="AJ355" s="883"/>
      <c r="AK355" s="883"/>
      <c r="AL355" s="883"/>
      <c r="AM355" s="883"/>
      <c r="AN355" s="884"/>
    </row>
    <row r="356" spans="1:45" ht="25.5" customHeight="1">
      <c r="A356" s="873"/>
      <c r="B356" s="874"/>
      <c r="C356" s="874"/>
      <c r="D356" s="874"/>
      <c r="E356" s="874"/>
      <c r="F356" s="874"/>
      <c r="G356" s="874"/>
      <c r="H356" s="874"/>
      <c r="I356" s="874"/>
      <c r="J356" s="874"/>
      <c r="K356" s="874"/>
      <c r="L356" s="875"/>
      <c r="M356" s="882"/>
      <c r="N356" s="883"/>
      <c r="O356" s="883"/>
      <c r="P356" s="883"/>
      <c r="Q356" s="883"/>
      <c r="R356" s="883"/>
      <c r="S356" s="883"/>
      <c r="T356" s="883"/>
      <c r="U356" s="883"/>
      <c r="V356" s="883"/>
      <c r="W356" s="883"/>
      <c r="X356" s="883"/>
      <c r="Y356" s="883"/>
      <c r="Z356" s="883"/>
      <c r="AA356" s="883"/>
      <c r="AB356" s="883"/>
      <c r="AC356" s="883"/>
      <c r="AD356" s="883"/>
      <c r="AE356" s="883"/>
      <c r="AF356" s="883"/>
      <c r="AG356" s="883"/>
      <c r="AH356" s="883"/>
      <c r="AI356" s="883"/>
      <c r="AJ356" s="883"/>
      <c r="AK356" s="883"/>
      <c r="AL356" s="883"/>
      <c r="AM356" s="883"/>
      <c r="AN356" s="884"/>
    </row>
    <row r="357" spans="1:45" ht="25.5" customHeight="1">
      <c r="A357" s="873"/>
      <c r="B357" s="874"/>
      <c r="C357" s="874"/>
      <c r="D357" s="874"/>
      <c r="E357" s="874"/>
      <c r="F357" s="874"/>
      <c r="G357" s="874"/>
      <c r="H357" s="874"/>
      <c r="I357" s="874"/>
      <c r="J357" s="874"/>
      <c r="K357" s="874"/>
      <c r="L357" s="875"/>
      <c r="M357" s="882"/>
      <c r="N357" s="883"/>
      <c r="O357" s="883"/>
      <c r="P357" s="883"/>
      <c r="Q357" s="883"/>
      <c r="R357" s="883"/>
      <c r="S357" s="883"/>
      <c r="T357" s="883"/>
      <c r="U357" s="883"/>
      <c r="V357" s="883"/>
      <c r="W357" s="883"/>
      <c r="X357" s="883"/>
      <c r="Y357" s="883"/>
      <c r="Z357" s="883"/>
      <c r="AA357" s="883"/>
      <c r="AB357" s="883"/>
      <c r="AC357" s="883"/>
      <c r="AD357" s="883"/>
      <c r="AE357" s="883"/>
      <c r="AF357" s="883"/>
      <c r="AG357" s="883"/>
      <c r="AH357" s="883"/>
      <c r="AI357" s="883"/>
      <c r="AJ357" s="883"/>
      <c r="AK357" s="883"/>
      <c r="AL357" s="883"/>
      <c r="AM357" s="883"/>
      <c r="AN357" s="884"/>
    </row>
    <row r="358" spans="1:45" ht="25.5" customHeight="1">
      <c r="A358" s="873"/>
      <c r="B358" s="874"/>
      <c r="C358" s="874"/>
      <c r="D358" s="874"/>
      <c r="E358" s="874"/>
      <c r="F358" s="874"/>
      <c r="G358" s="874"/>
      <c r="H358" s="874"/>
      <c r="I358" s="874"/>
      <c r="J358" s="874"/>
      <c r="K358" s="874"/>
      <c r="L358" s="875"/>
      <c r="M358" s="882"/>
      <c r="N358" s="883"/>
      <c r="O358" s="883"/>
      <c r="P358" s="883"/>
      <c r="Q358" s="883"/>
      <c r="R358" s="883"/>
      <c r="S358" s="883"/>
      <c r="T358" s="883"/>
      <c r="U358" s="883"/>
      <c r="V358" s="883"/>
      <c r="W358" s="883"/>
      <c r="X358" s="883"/>
      <c r="Y358" s="883"/>
      <c r="Z358" s="883"/>
      <c r="AA358" s="883"/>
      <c r="AB358" s="883"/>
      <c r="AC358" s="883"/>
      <c r="AD358" s="883"/>
      <c r="AE358" s="883"/>
      <c r="AF358" s="883"/>
      <c r="AG358" s="883"/>
      <c r="AH358" s="883"/>
      <c r="AI358" s="883"/>
      <c r="AJ358" s="883"/>
      <c r="AK358" s="883"/>
      <c r="AL358" s="883"/>
      <c r="AM358" s="883"/>
      <c r="AN358" s="884"/>
    </row>
    <row r="359" spans="1:45" ht="25.5" customHeight="1">
      <c r="A359" s="873"/>
      <c r="B359" s="874"/>
      <c r="C359" s="874"/>
      <c r="D359" s="874"/>
      <c r="E359" s="874"/>
      <c r="F359" s="874"/>
      <c r="G359" s="874"/>
      <c r="H359" s="874"/>
      <c r="I359" s="874"/>
      <c r="J359" s="874"/>
      <c r="K359" s="874"/>
      <c r="L359" s="875"/>
      <c r="M359" s="882"/>
      <c r="N359" s="883"/>
      <c r="O359" s="883"/>
      <c r="P359" s="883"/>
      <c r="Q359" s="883"/>
      <c r="R359" s="883"/>
      <c r="S359" s="883"/>
      <c r="T359" s="883"/>
      <c r="U359" s="883"/>
      <c r="V359" s="883"/>
      <c r="W359" s="883"/>
      <c r="X359" s="883"/>
      <c r="Y359" s="883"/>
      <c r="Z359" s="883"/>
      <c r="AA359" s="883"/>
      <c r="AB359" s="883"/>
      <c r="AC359" s="883"/>
      <c r="AD359" s="883"/>
      <c r="AE359" s="883"/>
      <c r="AF359" s="883"/>
      <c r="AG359" s="883"/>
      <c r="AH359" s="883"/>
      <c r="AI359" s="883"/>
      <c r="AJ359" s="883"/>
      <c r="AK359" s="883"/>
      <c r="AL359" s="883"/>
      <c r="AM359" s="883"/>
      <c r="AN359" s="884"/>
    </row>
    <row r="360" spans="1:45" ht="25.5" customHeight="1">
      <c r="A360" s="873"/>
      <c r="B360" s="874"/>
      <c r="C360" s="874"/>
      <c r="D360" s="874"/>
      <c r="E360" s="874"/>
      <c r="F360" s="874"/>
      <c r="G360" s="874"/>
      <c r="H360" s="874"/>
      <c r="I360" s="874"/>
      <c r="J360" s="874"/>
      <c r="K360" s="874"/>
      <c r="L360" s="875"/>
      <c r="M360" s="882"/>
      <c r="N360" s="883"/>
      <c r="O360" s="883"/>
      <c r="P360" s="883"/>
      <c r="Q360" s="883"/>
      <c r="R360" s="883"/>
      <c r="S360" s="883"/>
      <c r="T360" s="883"/>
      <c r="U360" s="883"/>
      <c r="V360" s="883"/>
      <c r="W360" s="883"/>
      <c r="X360" s="883"/>
      <c r="Y360" s="883"/>
      <c r="Z360" s="883"/>
      <c r="AA360" s="883"/>
      <c r="AB360" s="883"/>
      <c r="AC360" s="883"/>
      <c r="AD360" s="883"/>
      <c r="AE360" s="883"/>
      <c r="AF360" s="883"/>
      <c r="AG360" s="883"/>
      <c r="AH360" s="883"/>
      <c r="AI360" s="883"/>
      <c r="AJ360" s="883"/>
      <c r="AK360" s="883"/>
      <c r="AL360" s="883"/>
      <c r="AM360" s="883"/>
      <c r="AN360" s="884"/>
    </row>
    <row r="361" spans="1:45" ht="26.25" customHeight="1">
      <c r="A361" s="876"/>
      <c r="B361" s="877"/>
      <c r="C361" s="877"/>
      <c r="D361" s="877"/>
      <c r="E361" s="877"/>
      <c r="F361" s="877"/>
      <c r="G361" s="877"/>
      <c r="H361" s="877"/>
      <c r="I361" s="877"/>
      <c r="J361" s="877"/>
      <c r="K361" s="877"/>
      <c r="L361" s="878"/>
      <c r="M361" s="885"/>
      <c r="N361" s="886"/>
      <c r="O361" s="886"/>
      <c r="P361" s="886"/>
      <c r="Q361" s="886"/>
      <c r="R361" s="886"/>
      <c r="S361" s="886"/>
      <c r="T361" s="886"/>
      <c r="U361" s="886"/>
      <c r="V361" s="886"/>
      <c r="W361" s="886"/>
      <c r="X361" s="886"/>
      <c r="Y361" s="886"/>
      <c r="Z361" s="886"/>
      <c r="AA361" s="886"/>
      <c r="AB361" s="886"/>
      <c r="AC361" s="886"/>
      <c r="AD361" s="886"/>
      <c r="AE361" s="886"/>
      <c r="AF361" s="886"/>
      <c r="AG361" s="886"/>
      <c r="AH361" s="886"/>
      <c r="AI361" s="886"/>
      <c r="AJ361" s="886"/>
      <c r="AK361" s="886"/>
      <c r="AL361" s="886"/>
      <c r="AM361" s="886"/>
      <c r="AN361" s="887"/>
    </row>
    <row r="362" spans="1:45" s="10" customFormat="1" ht="41.25" customHeight="1">
      <c r="A362" s="901" t="s">
        <v>960</v>
      </c>
      <c r="B362" s="902"/>
      <c r="C362" s="902"/>
      <c r="D362" s="902"/>
      <c r="E362" s="902"/>
      <c r="F362" s="902"/>
      <c r="G362" s="902"/>
      <c r="H362" s="902"/>
      <c r="I362" s="902"/>
      <c r="J362" s="902"/>
      <c r="K362" s="902"/>
      <c r="L362" s="903"/>
      <c r="M362" s="904" t="s">
        <v>961</v>
      </c>
      <c r="N362" s="904"/>
      <c r="O362" s="904"/>
      <c r="P362" s="904"/>
      <c r="Q362" s="904"/>
      <c r="R362" s="904"/>
      <c r="S362" s="904"/>
      <c r="T362" s="904"/>
      <c r="U362" s="904"/>
      <c r="V362" s="904"/>
      <c r="W362" s="904"/>
      <c r="X362" s="904"/>
      <c r="Y362" s="904"/>
      <c r="Z362" s="904"/>
      <c r="AA362" s="904"/>
      <c r="AB362" s="904"/>
      <c r="AC362" s="904"/>
      <c r="AD362" s="904"/>
      <c r="AE362" s="904"/>
      <c r="AF362" s="904"/>
      <c r="AG362" s="904"/>
      <c r="AH362" s="904"/>
      <c r="AI362" s="904"/>
      <c r="AJ362" s="904"/>
      <c r="AK362" s="904"/>
      <c r="AL362" s="904"/>
      <c r="AM362" s="904"/>
      <c r="AN362" s="905"/>
      <c r="AO362" s="675"/>
      <c r="AQ362" s="14"/>
      <c r="AR362" s="14"/>
      <c r="AS362" s="14"/>
    </row>
    <row r="363" spans="1:45" ht="30.75" customHeight="1">
      <c r="A363" s="852" t="str">
        <f>CONCATENATE(AN204,AN250,AN224,AN185,AN150,AN176,AN292,AN282,AN107,AN8,AN323,AN271,AN322)</f>
        <v/>
      </c>
      <c r="B363" s="853"/>
      <c r="C363" s="853"/>
      <c r="D363" s="853"/>
      <c r="E363" s="853"/>
      <c r="F363" s="853"/>
      <c r="G363" s="853"/>
      <c r="H363" s="853"/>
      <c r="I363" s="853"/>
      <c r="J363" s="853"/>
      <c r="K363" s="853"/>
      <c r="L363" s="854"/>
      <c r="M363" s="861"/>
      <c r="N363" s="862"/>
      <c r="O363" s="862"/>
      <c r="P363" s="862"/>
      <c r="Q363" s="862"/>
      <c r="R363" s="862"/>
      <c r="S363" s="862"/>
      <c r="T363" s="862"/>
      <c r="U363" s="862"/>
      <c r="V363" s="862"/>
      <c r="W363" s="862"/>
      <c r="X363" s="862"/>
      <c r="Y363" s="862"/>
      <c r="Z363" s="862"/>
      <c r="AA363" s="862"/>
      <c r="AB363" s="862"/>
      <c r="AC363" s="862"/>
      <c r="AD363" s="862"/>
      <c r="AE363" s="862"/>
      <c r="AF363" s="862"/>
      <c r="AG363" s="862"/>
      <c r="AH363" s="862"/>
      <c r="AI363" s="862"/>
      <c r="AJ363" s="862"/>
      <c r="AK363" s="862"/>
      <c r="AL363" s="862"/>
      <c r="AM363" s="862"/>
      <c r="AN363" s="863"/>
    </row>
    <row r="364" spans="1:45" ht="30.75" customHeight="1">
      <c r="A364" s="855"/>
      <c r="B364" s="856"/>
      <c r="C364" s="856"/>
      <c r="D364" s="856"/>
      <c r="E364" s="856"/>
      <c r="F364" s="856"/>
      <c r="G364" s="856"/>
      <c r="H364" s="856"/>
      <c r="I364" s="856"/>
      <c r="J364" s="856"/>
      <c r="K364" s="856"/>
      <c r="L364" s="857"/>
      <c r="M364" s="864"/>
      <c r="N364" s="865"/>
      <c r="O364" s="865"/>
      <c r="P364" s="865"/>
      <c r="Q364" s="865"/>
      <c r="R364" s="865"/>
      <c r="S364" s="865"/>
      <c r="T364" s="865"/>
      <c r="U364" s="865"/>
      <c r="V364" s="865"/>
      <c r="W364" s="865"/>
      <c r="X364" s="865"/>
      <c r="Y364" s="865"/>
      <c r="Z364" s="865"/>
      <c r="AA364" s="865"/>
      <c r="AB364" s="865"/>
      <c r="AC364" s="865"/>
      <c r="AD364" s="865"/>
      <c r="AE364" s="865"/>
      <c r="AF364" s="865"/>
      <c r="AG364" s="865"/>
      <c r="AH364" s="865"/>
      <c r="AI364" s="865"/>
      <c r="AJ364" s="865"/>
      <c r="AK364" s="865"/>
      <c r="AL364" s="865"/>
      <c r="AM364" s="865"/>
      <c r="AN364" s="866"/>
    </row>
    <row r="365" spans="1:45" ht="30.75" customHeight="1">
      <c r="A365" s="855"/>
      <c r="B365" s="856"/>
      <c r="C365" s="856"/>
      <c r="D365" s="856"/>
      <c r="E365" s="856"/>
      <c r="F365" s="856"/>
      <c r="G365" s="856"/>
      <c r="H365" s="856"/>
      <c r="I365" s="856"/>
      <c r="J365" s="856"/>
      <c r="K365" s="856"/>
      <c r="L365" s="857"/>
      <c r="M365" s="864"/>
      <c r="N365" s="865"/>
      <c r="O365" s="865"/>
      <c r="P365" s="865"/>
      <c r="Q365" s="865"/>
      <c r="R365" s="865"/>
      <c r="S365" s="865"/>
      <c r="T365" s="865"/>
      <c r="U365" s="865"/>
      <c r="V365" s="865"/>
      <c r="W365" s="865"/>
      <c r="X365" s="865"/>
      <c r="Y365" s="865"/>
      <c r="Z365" s="865"/>
      <c r="AA365" s="865"/>
      <c r="AB365" s="865"/>
      <c r="AC365" s="865"/>
      <c r="AD365" s="865"/>
      <c r="AE365" s="865"/>
      <c r="AF365" s="865"/>
      <c r="AG365" s="865"/>
      <c r="AH365" s="865"/>
      <c r="AI365" s="865"/>
      <c r="AJ365" s="865"/>
      <c r="AK365" s="865"/>
      <c r="AL365" s="865"/>
      <c r="AM365" s="865"/>
      <c r="AN365" s="866"/>
    </row>
    <row r="366" spans="1:45" ht="30.75" customHeight="1">
      <c r="A366" s="855"/>
      <c r="B366" s="856"/>
      <c r="C366" s="856"/>
      <c r="D366" s="856"/>
      <c r="E366" s="856"/>
      <c r="F366" s="856"/>
      <c r="G366" s="856"/>
      <c r="H366" s="856"/>
      <c r="I366" s="856"/>
      <c r="J366" s="856"/>
      <c r="K366" s="856"/>
      <c r="L366" s="857"/>
      <c r="M366" s="864"/>
      <c r="N366" s="865"/>
      <c r="O366" s="865"/>
      <c r="P366" s="865"/>
      <c r="Q366" s="865"/>
      <c r="R366" s="865"/>
      <c r="S366" s="865"/>
      <c r="T366" s="865"/>
      <c r="U366" s="865"/>
      <c r="V366" s="865"/>
      <c r="W366" s="865"/>
      <c r="X366" s="865"/>
      <c r="Y366" s="865"/>
      <c r="Z366" s="865"/>
      <c r="AA366" s="865"/>
      <c r="AB366" s="865"/>
      <c r="AC366" s="865"/>
      <c r="AD366" s="865"/>
      <c r="AE366" s="865"/>
      <c r="AF366" s="865"/>
      <c r="AG366" s="865"/>
      <c r="AH366" s="865"/>
      <c r="AI366" s="865"/>
      <c r="AJ366" s="865"/>
      <c r="AK366" s="865"/>
      <c r="AL366" s="865"/>
      <c r="AM366" s="865"/>
      <c r="AN366" s="866"/>
    </row>
    <row r="367" spans="1:45" ht="30.75" customHeight="1">
      <c r="A367" s="855"/>
      <c r="B367" s="856"/>
      <c r="C367" s="856"/>
      <c r="D367" s="856"/>
      <c r="E367" s="856"/>
      <c r="F367" s="856"/>
      <c r="G367" s="856"/>
      <c r="H367" s="856"/>
      <c r="I367" s="856"/>
      <c r="J367" s="856"/>
      <c r="K367" s="856"/>
      <c r="L367" s="857"/>
      <c r="M367" s="864"/>
      <c r="N367" s="865"/>
      <c r="O367" s="865"/>
      <c r="P367" s="865"/>
      <c r="Q367" s="865"/>
      <c r="R367" s="865"/>
      <c r="S367" s="865"/>
      <c r="T367" s="865"/>
      <c r="U367" s="865"/>
      <c r="V367" s="865"/>
      <c r="W367" s="865"/>
      <c r="X367" s="865"/>
      <c r="Y367" s="865"/>
      <c r="Z367" s="865"/>
      <c r="AA367" s="865"/>
      <c r="AB367" s="865"/>
      <c r="AC367" s="865"/>
      <c r="AD367" s="865"/>
      <c r="AE367" s="865"/>
      <c r="AF367" s="865"/>
      <c r="AG367" s="865"/>
      <c r="AH367" s="865"/>
      <c r="AI367" s="865"/>
      <c r="AJ367" s="865"/>
      <c r="AK367" s="865"/>
      <c r="AL367" s="865"/>
      <c r="AM367" s="865"/>
      <c r="AN367" s="866"/>
    </row>
    <row r="368" spans="1:45" ht="30.75" customHeight="1">
      <c r="A368" s="855"/>
      <c r="B368" s="856"/>
      <c r="C368" s="856"/>
      <c r="D368" s="856"/>
      <c r="E368" s="856"/>
      <c r="F368" s="856"/>
      <c r="G368" s="856"/>
      <c r="H368" s="856"/>
      <c r="I368" s="856"/>
      <c r="J368" s="856"/>
      <c r="K368" s="856"/>
      <c r="L368" s="857"/>
      <c r="M368" s="864"/>
      <c r="N368" s="865"/>
      <c r="O368" s="865"/>
      <c r="P368" s="865"/>
      <c r="Q368" s="865"/>
      <c r="R368" s="865"/>
      <c r="S368" s="865"/>
      <c r="T368" s="865"/>
      <c r="U368" s="865"/>
      <c r="V368" s="865"/>
      <c r="W368" s="865"/>
      <c r="X368" s="865"/>
      <c r="Y368" s="865"/>
      <c r="Z368" s="865"/>
      <c r="AA368" s="865"/>
      <c r="AB368" s="865"/>
      <c r="AC368" s="865"/>
      <c r="AD368" s="865"/>
      <c r="AE368" s="865"/>
      <c r="AF368" s="865"/>
      <c r="AG368" s="865"/>
      <c r="AH368" s="865"/>
      <c r="AI368" s="865"/>
      <c r="AJ368" s="865"/>
      <c r="AK368" s="865"/>
      <c r="AL368" s="865"/>
      <c r="AM368" s="865"/>
      <c r="AN368" s="866"/>
    </row>
    <row r="369" spans="1:40" ht="30.75" customHeight="1">
      <c r="A369" s="855"/>
      <c r="B369" s="856"/>
      <c r="C369" s="856"/>
      <c r="D369" s="856"/>
      <c r="E369" s="856"/>
      <c r="F369" s="856"/>
      <c r="G369" s="856"/>
      <c r="H369" s="856"/>
      <c r="I369" s="856"/>
      <c r="J369" s="856"/>
      <c r="K369" s="856"/>
      <c r="L369" s="857"/>
      <c r="M369" s="864"/>
      <c r="N369" s="865"/>
      <c r="O369" s="865"/>
      <c r="P369" s="865"/>
      <c r="Q369" s="865"/>
      <c r="R369" s="865"/>
      <c r="S369" s="865"/>
      <c r="T369" s="865"/>
      <c r="U369" s="865"/>
      <c r="V369" s="865"/>
      <c r="W369" s="865"/>
      <c r="X369" s="865"/>
      <c r="Y369" s="865"/>
      <c r="Z369" s="865"/>
      <c r="AA369" s="865"/>
      <c r="AB369" s="865"/>
      <c r="AC369" s="865"/>
      <c r="AD369" s="865"/>
      <c r="AE369" s="865"/>
      <c r="AF369" s="865"/>
      <c r="AG369" s="865"/>
      <c r="AH369" s="865"/>
      <c r="AI369" s="865"/>
      <c r="AJ369" s="865"/>
      <c r="AK369" s="865"/>
      <c r="AL369" s="865"/>
      <c r="AM369" s="865"/>
      <c r="AN369" s="866"/>
    </row>
    <row r="370" spans="1:40" ht="30.75" customHeight="1">
      <c r="A370" s="855"/>
      <c r="B370" s="856"/>
      <c r="C370" s="856"/>
      <c r="D370" s="856"/>
      <c r="E370" s="856"/>
      <c r="F370" s="856"/>
      <c r="G370" s="856"/>
      <c r="H370" s="856"/>
      <c r="I370" s="856"/>
      <c r="J370" s="856"/>
      <c r="K370" s="856"/>
      <c r="L370" s="857"/>
      <c r="M370" s="864"/>
      <c r="N370" s="865"/>
      <c r="O370" s="865"/>
      <c r="P370" s="865"/>
      <c r="Q370" s="865"/>
      <c r="R370" s="865"/>
      <c r="S370" s="865"/>
      <c r="T370" s="865"/>
      <c r="U370" s="865"/>
      <c r="V370" s="865"/>
      <c r="W370" s="865"/>
      <c r="X370" s="865"/>
      <c r="Y370" s="865"/>
      <c r="Z370" s="865"/>
      <c r="AA370" s="865"/>
      <c r="AB370" s="865"/>
      <c r="AC370" s="865"/>
      <c r="AD370" s="865"/>
      <c r="AE370" s="865"/>
      <c r="AF370" s="865"/>
      <c r="AG370" s="865"/>
      <c r="AH370" s="865"/>
      <c r="AI370" s="865"/>
      <c r="AJ370" s="865"/>
      <c r="AK370" s="865"/>
      <c r="AL370" s="865"/>
      <c r="AM370" s="865"/>
      <c r="AN370" s="866"/>
    </row>
    <row r="371" spans="1:40" ht="30.75" customHeight="1">
      <c r="A371" s="855"/>
      <c r="B371" s="856"/>
      <c r="C371" s="856"/>
      <c r="D371" s="856"/>
      <c r="E371" s="856"/>
      <c r="F371" s="856"/>
      <c r="G371" s="856"/>
      <c r="H371" s="856"/>
      <c r="I371" s="856"/>
      <c r="J371" s="856"/>
      <c r="K371" s="856"/>
      <c r="L371" s="857"/>
      <c r="M371" s="864"/>
      <c r="N371" s="865"/>
      <c r="O371" s="865"/>
      <c r="P371" s="865"/>
      <c r="Q371" s="865"/>
      <c r="R371" s="865"/>
      <c r="S371" s="865"/>
      <c r="T371" s="865"/>
      <c r="U371" s="865"/>
      <c r="V371" s="865"/>
      <c r="W371" s="865"/>
      <c r="X371" s="865"/>
      <c r="Y371" s="865"/>
      <c r="Z371" s="865"/>
      <c r="AA371" s="865"/>
      <c r="AB371" s="865"/>
      <c r="AC371" s="865"/>
      <c r="AD371" s="865"/>
      <c r="AE371" s="865"/>
      <c r="AF371" s="865"/>
      <c r="AG371" s="865"/>
      <c r="AH371" s="865"/>
      <c r="AI371" s="865"/>
      <c r="AJ371" s="865"/>
      <c r="AK371" s="865"/>
      <c r="AL371" s="865"/>
      <c r="AM371" s="865"/>
      <c r="AN371" s="866"/>
    </row>
    <row r="372" spans="1:40" ht="30.75" customHeight="1">
      <c r="A372" s="855"/>
      <c r="B372" s="856"/>
      <c r="C372" s="856"/>
      <c r="D372" s="856"/>
      <c r="E372" s="856"/>
      <c r="F372" s="856"/>
      <c r="G372" s="856"/>
      <c r="H372" s="856"/>
      <c r="I372" s="856"/>
      <c r="J372" s="856"/>
      <c r="K372" s="856"/>
      <c r="L372" s="857"/>
      <c r="M372" s="864"/>
      <c r="N372" s="865"/>
      <c r="O372" s="865"/>
      <c r="P372" s="865"/>
      <c r="Q372" s="865"/>
      <c r="R372" s="865"/>
      <c r="S372" s="865"/>
      <c r="T372" s="865"/>
      <c r="U372" s="865"/>
      <c r="V372" s="865"/>
      <c r="W372" s="865"/>
      <c r="X372" s="865"/>
      <c r="Y372" s="865"/>
      <c r="Z372" s="865"/>
      <c r="AA372" s="865"/>
      <c r="AB372" s="865"/>
      <c r="AC372" s="865"/>
      <c r="AD372" s="865"/>
      <c r="AE372" s="865"/>
      <c r="AF372" s="865"/>
      <c r="AG372" s="865"/>
      <c r="AH372" s="865"/>
      <c r="AI372" s="865"/>
      <c r="AJ372" s="865"/>
      <c r="AK372" s="865"/>
      <c r="AL372" s="865"/>
      <c r="AM372" s="865"/>
      <c r="AN372" s="866"/>
    </row>
    <row r="373" spans="1:40" ht="30.75" customHeight="1">
      <c r="A373" s="855"/>
      <c r="B373" s="856"/>
      <c r="C373" s="856"/>
      <c r="D373" s="856"/>
      <c r="E373" s="856"/>
      <c r="F373" s="856"/>
      <c r="G373" s="856"/>
      <c r="H373" s="856"/>
      <c r="I373" s="856"/>
      <c r="J373" s="856"/>
      <c r="K373" s="856"/>
      <c r="L373" s="857"/>
      <c r="M373" s="864"/>
      <c r="N373" s="865"/>
      <c r="O373" s="865"/>
      <c r="P373" s="865"/>
      <c r="Q373" s="865"/>
      <c r="R373" s="865"/>
      <c r="S373" s="865"/>
      <c r="T373" s="865"/>
      <c r="U373" s="865"/>
      <c r="V373" s="865"/>
      <c r="W373" s="865"/>
      <c r="X373" s="865"/>
      <c r="Y373" s="865"/>
      <c r="Z373" s="865"/>
      <c r="AA373" s="865"/>
      <c r="AB373" s="865"/>
      <c r="AC373" s="865"/>
      <c r="AD373" s="865"/>
      <c r="AE373" s="865"/>
      <c r="AF373" s="865"/>
      <c r="AG373" s="865"/>
      <c r="AH373" s="865"/>
      <c r="AI373" s="865"/>
      <c r="AJ373" s="865"/>
      <c r="AK373" s="865"/>
      <c r="AL373" s="865"/>
      <c r="AM373" s="865"/>
      <c r="AN373" s="866"/>
    </row>
    <row r="374" spans="1:40" ht="30.75" customHeight="1">
      <c r="A374" s="855"/>
      <c r="B374" s="856"/>
      <c r="C374" s="856"/>
      <c r="D374" s="856"/>
      <c r="E374" s="856"/>
      <c r="F374" s="856"/>
      <c r="G374" s="856"/>
      <c r="H374" s="856"/>
      <c r="I374" s="856"/>
      <c r="J374" s="856"/>
      <c r="K374" s="856"/>
      <c r="L374" s="857"/>
      <c r="M374" s="864"/>
      <c r="N374" s="865"/>
      <c r="O374" s="865"/>
      <c r="P374" s="865"/>
      <c r="Q374" s="865"/>
      <c r="R374" s="865"/>
      <c r="S374" s="865"/>
      <c r="T374" s="865"/>
      <c r="U374" s="865"/>
      <c r="V374" s="865"/>
      <c r="W374" s="865"/>
      <c r="X374" s="865"/>
      <c r="Y374" s="865"/>
      <c r="Z374" s="865"/>
      <c r="AA374" s="865"/>
      <c r="AB374" s="865"/>
      <c r="AC374" s="865"/>
      <c r="AD374" s="865"/>
      <c r="AE374" s="865"/>
      <c r="AF374" s="865"/>
      <c r="AG374" s="865"/>
      <c r="AH374" s="865"/>
      <c r="AI374" s="865"/>
      <c r="AJ374" s="865"/>
      <c r="AK374" s="865"/>
      <c r="AL374" s="865"/>
      <c r="AM374" s="865"/>
      <c r="AN374" s="866"/>
    </row>
    <row r="375" spans="1:40" ht="30.75" customHeight="1">
      <c r="A375" s="855"/>
      <c r="B375" s="856"/>
      <c r="C375" s="856"/>
      <c r="D375" s="856"/>
      <c r="E375" s="856"/>
      <c r="F375" s="856"/>
      <c r="G375" s="856"/>
      <c r="H375" s="856"/>
      <c r="I375" s="856"/>
      <c r="J375" s="856"/>
      <c r="K375" s="856"/>
      <c r="L375" s="857"/>
      <c r="M375" s="864"/>
      <c r="N375" s="865"/>
      <c r="O375" s="865"/>
      <c r="P375" s="865"/>
      <c r="Q375" s="865"/>
      <c r="R375" s="865"/>
      <c r="S375" s="865"/>
      <c r="T375" s="865"/>
      <c r="U375" s="865"/>
      <c r="V375" s="865"/>
      <c r="W375" s="865"/>
      <c r="X375" s="865"/>
      <c r="Y375" s="865"/>
      <c r="Z375" s="865"/>
      <c r="AA375" s="865"/>
      <c r="AB375" s="865"/>
      <c r="AC375" s="865"/>
      <c r="AD375" s="865"/>
      <c r="AE375" s="865"/>
      <c r="AF375" s="865"/>
      <c r="AG375" s="865"/>
      <c r="AH375" s="865"/>
      <c r="AI375" s="865"/>
      <c r="AJ375" s="865"/>
      <c r="AK375" s="865"/>
      <c r="AL375" s="865"/>
      <c r="AM375" s="865"/>
      <c r="AN375" s="866"/>
    </row>
    <row r="376" spans="1:40" ht="30.75" customHeight="1">
      <c r="A376" s="855"/>
      <c r="B376" s="856"/>
      <c r="C376" s="856"/>
      <c r="D376" s="856"/>
      <c r="E376" s="856"/>
      <c r="F376" s="856"/>
      <c r="G376" s="856"/>
      <c r="H376" s="856"/>
      <c r="I376" s="856"/>
      <c r="J376" s="856"/>
      <c r="K376" s="856"/>
      <c r="L376" s="857"/>
      <c r="M376" s="864"/>
      <c r="N376" s="865"/>
      <c r="O376" s="865"/>
      <c r="P376" s="865"/>
      <c r="Q376" s="865"/>
      <c r="R376" s="865"/>
      <c r="S376" s="865"/>
      <c r="T376" s="865"/>
      <c r="U376" s="865"/>
      <c r="V376" s="865"/>
      <c r="W376" s="865"/>
      <c r="X376" s="865"/>
      <c r="Y376" s="865"/>
      <c r="Z376" s="865"/>
      <c r="AA376" s="865"/>
      <c r="AB376" s="865"/>
      <c r="AC376" s="865"/>
      <c r="AD376" s="865"/>
      <c r="AE376" s="865"/>
      <c r="AF376" s="865"/>
      <c r="AG376" s="865"/>
      <c r="AH376" s="865"/>
      <c r="AI376" s="865"/>
      <c r="AJ376" s="865"/>
      <c r="AK376" s="865"/>
      <c r="AL376" s="865"/>
      <c r="AM376" s="865"/>
      <c r="AN376" s="866"/>
    </row>
    <row r="377" spans="1:40" ht="30.75" customHeight="1">
      <c r="A377" s="855"/>
      <c r="B377" s="856"/>
      <c r="C377" s="856"/>
      <c r="D377" s="856"/>
      <c r="E377" s="856"/>
      <c r="F377" s="856"/>
      <c r="G377" s="856"/>
      <c r="H377" s="856"/>
      <c r="I377" s="856"/>
      <c r="J377" s="856"/>
      <c r="K377" s="856"/>
      <c r="L377" s="857"/>
      <c r="M377" s="864"/>
      <c r="N377" s="865"/>
      <c r="O377" s="865"/>
      <c r="P377" s="865"/>
      <c r="Q377" s="865"/>
      <c r="R377" s="865"/>
      <c r="S377" s="865"/>
      <c r="T377" s="865"/>
      <c r="U377" s="865"/>
      <c r="V377" s="865"/>
      <c r="W377" s="865"/>
      <c r="X377" s="865"/>
      <c r="Y377" s="865"/>
      <c r="Z377" s="865"/>
      <c r="AA377" s="865"/>
      <c r="AB377" s="865"/>
      <c r="AC377" s="865"/>
      <c r="AD377" s="865"/>
      <c r="AE377" s="865"/>
      <c r="AF377" s="865"/>
      <c r="AG377" s="865"/>
      <c r="AH377" s="865"/>
      <c r="AI377" s="865"/>
      <c r="AJ377" s="865"/>
      <c r="AK377" s="865"/>
      <c r="AL377" s="865"/>
      <c r="AM377" s="865"/>
      <c r="AN377" s="866"/>
    </row>
    <row r="378" spans="1:40" ht="30.75" customHeight="1">
      <c r="A378" s="855"/>
      <c r="B378" s="856"/>
      <c r="C378" s="856"/>
      <c r="D378" s="856"/>
      <c r="E378" s="856"/>
      <c r="F378" s="856"/>
      <c r="G378" s="856"/>
      <c r="H378" s="856"/>
      <c r="I378" s="856"/>
      <c r="J378" s="856"/>
      <c r="K378" s="856"/>
      <c r="L378" s="857"/>
      <c r="M378" s="864"/>
      <c r="N378" s="865"/>
      <c r="O378" s="865"/>
      <c r="P378" s="865"/>
      <c r="Q378" s="865"/>
      <c r="R378" s="865"/>
      <c r="S378" s="865"/>
      <c r="T378" s="865"/>
      <c r="U378" s="865"/>
      <c r="V378" s="865"/>
      <c r="W378" s="865"/>
      <c r="X378" s="865"/>
      <c r="Y378" s="865"/>
      <c r="Z378" s="865"/>
      <c r="AA378" s="865"/>
      <c r="AB378" s="865"/>
      <c r="AC378" s="865"/>
      <c r="AD378" s="865"/>
      <c r="AE378" s="865"/>
      <c r="AF378" s="865"/>
      <c r="AG378" s="865"/>
      <c r="AH378" s="865"/>
      <c r="AI378" s="865"/>
      <c r="AJ378" s="865"/>
      <c r="AK378" s="865"/>
      <c r="AL378" s="865"/>
      <c r="AM378" s="865"/>
      <c r="AN378" s="866"/>
    </row>
    <row r="379" spans="1:40" ht="30.75" customHeight="1">
      <c r="A379" s="855"/>
      <c r="B379" s="856"/>
      <c r="C379" s="856"/>
      <c r="D379" s="856"/>
      <c r="E379" s="856"/>
      <c r="F379" s="856"/>
      <c r="G379" s="856"/>
      <c r="H379" s="856"/>
      <c r="I379" s="856"/>
      <c r="J379" s="856"/>
      <c r="K379" s="856"/>
      <c r="L379" s="857"/>
      <c r="M379" s="864"/>
      <c r="N379" s="865"/>
      <c r="O379" s="865"/>
      <c r="P379" s="865"/>
      <c r="Q379" s="865"/>
      <c r="R379" s="865"/>
      <c r="S379" s="865"/>
      <c r="T379" s="865"/>
      <c r="U379" s="865"/>
      <c r="V379" s="865"/>
      <c r="W379" s="865"/>
      <c r="X379" s="865"/>
      <c r="Y379" s="865"/>
      <c r="Z379" s="865"/>
      <c r="AA379" s="865"/>
      <c r="AB379" s="865"/>
      <c r="AC379" s="865"/>
      <c r="AD379" s="865"/>
      <c r="AE379" s="865"/>
      <c r="AF379" s="865"/>
      <c r="AG379" s="865"/>
      <c r="AH379" s="865"/>
      <c r="AI379" s="865"/>
      <c r="AJ379" s="865"/>
      <c r="AK379" s="865"/>
      <c r="AL379" s="865"/>
      <c r="AM379" s="865"/>
      <c r="AN379" s="866"/>
    </row>
    <row r="380" spans="1:40" ht="30.75" customHeight="1">
      <c r="A380" s="855"/>
      <c r="B380" s="856"/>
      <c r="C380" s="856"/>
      <c r="D380" s="856"/>
      <c r="E380" s="856"/>
      <c r="F380" s="856"/>
      <c r="G380" s="856"/>
      <c r="H380" s="856"/>
      <c r="I380" s="856"/>
      <c r="J380" s="856"/>
      <c r="K380" s="856"/>
      <c r="L380" s="857"/>
      <c r="M380" s="864"/>
      <c r="N380" s="865"/>
      <c r="O380" s="865"/>
      <c r="P380" s="865"/>
      <c r="Q380" s="865"/>
      <c r="R380" s="865"/>
      <c r="S380" s="865"/>
      <c r="T380" s="865"/>
      <c r="U380" s="865"/>
      <c r="V380" s="865"/>
      <c r="W380" s="865"/>
      <c r="X380" s="865"/>
      <c r="Y380" s="865"/>
      <c r="Z380" s="865"/>
      <c r="AA380" s="865"/>
      <c r="AB380" s="865"/>
      <c r="AC380" s="865"/>
      <c r="AD380" s="865"/>
      <c r="AE380" s="865"/>
      <c r="AF380" s="865"/>
      <c r="AG380" s="865"/>
      <c r="AH380" s="865"/>
      <c r="AI380" s="865"/>
      <c r="AJ380" s="865"/>
      <c r="AK380" s="865"/>
      <c r="AL380" s="865"/>
      <c r="AM380" s="865"/>
      <c r="AN380" s="866"/>
    </row>
    <row r="381" spans="1:40" ht="30.75" customHeight="1">
      <c r="A381" s="855"/>
      <c r="B381" s="856"/>
      <c r="C381" s="856"/>
      <c r="D381" s="856"/>
      <c r="E381" s="856"/>
      <c r="F381" s="856"/>
      <c r="G381" s="856"/>
      <c r="H381" s="856"/>
      <c r="I381" s="856"/>
      <c r="J381" s="856"/>
      <c r="K381" s="856"/>
      <c r="L381" s="857"/>
      <c r="M381" s="864"/>
      <c r="N381" s="865"/>
      <c r="O381" s="865"/>
      <c r="P381" s="865"/>
      <c r="Q381" s="865"/>
      <c r="R381" s="865"/>
      <c r="S381" s="865"/>
      <c r="T381" s="865"/>
      <c r="U381" s="865"/>
      <c r="V381" s="865"/>
      <c r="W381" s="865"/>
      <c r="X381" s="865"/>
      <c r="Y381" s="865"/>
      <c r="Z381" s="865"/>
      <c r="AA381" s="865"/>
      <c r="AB381" s="865"/>
      <c r="AC381" s="865"/>
      <c r="AD381" s="865"/>
      <c r="AE381" s="865"/>
      <c r="AF381" s="865"/>
      <c r="AG381" s="865"/>
      <c r="AH381" s="865"/>
      <c r="AI381" s="865"/>
      <c r="AJ381" s="865"/>
      <c r="AK381" s="865"/>
      <c r="AL381" s="865"/>
      <c r="AM381" s="865"/>
      <c r="AN381" s="866"/>
    </row>
    <row r="382" spans="1:40" ht="30.75" customHeight="1">
      <c r="A382" s="855"/>
      <c r="B382" s="856"/>
      <c r="C382" s="856"/>
      <c r="D382" s="856"/>
      <c r="E382" s="856"/>
      <c r="F382" s="856"/>
      <c r="G382" s="856"/>
      <c r="H382" s="856"/>
      <c r="I382" s="856"/>
      <c r="J382" s="856"/>
      <c r="K382" s="856"/>
      <c r="L382" s="857"/>
      <c r="M382" s="864"/>
      <c r="N382" s="865"/>
      <c r="O382" s="865"/>
      <c r="P382" s="865"/>
      <c r="Q382" s="865"/>
      <c r="R382" s="865"/>
      <c r="S382" s="865"/>
      <c r="T382" s="865"/>
      <c r="U382" s="865"/>
      <c r="V382" s="865"/>
      <c r="W382" s="865"/>
      <c r="X382" s="865"/>
      <c r="Y382" s="865"/>
      <c r="Z382" s="865"/>
      <c r="AA382" s="865"/>
      <c r="AB382" s="865"/>
      <c r="AC382" s="865"/>
      <c r="AD382" s="865"/>
      <c r="AE382" s="865"/>
      <c r="AF382" s="865"/>
      <c r="AG382" s="865"/>
      <c r="AH382" s="865"/>
      <c r="AI382" s="865"/>
      <c r="AJ382" s="865"/>
      <c r="AK382" s="865"/>
      <c r="AL382" s="865"/>
      <c r="AM382" s="865"/>
      <c r="AN382" s="866"/>
    </row>
    <row r="383" spans="1:40" ht="30.75" customHeight="1">
      <c r="A383" s="855"/>
      <c r="B383" s="856"/>
      <c r="C383" s="856"/>
      <c r="D383" s="856"/>
      <c r="E383" s="856"/>
      <c r="F383" s="856"/>
      <c r="G383" s="856"/>
      <c r="H383" s="856"/>
      <c r="I383" s="856"/>
      <c r="J383" s="856"/>
      <c r="K383" s="856"/>
      <c r="L383" s="857"/>
      <c r="M383" s="864"/>
      <c r="N383" s="865"/>
      <c r="O383" s="865"/>
      <c r="P383" s="865"/>
      <c r="Q383" s="865"/>
      <c r="R383" s="865"/>
      <c r="S383" s="865"/>
      <c r="T383" s="865"/>
      <c r="U383" s="865"/>
      <c r="V383" s="865"/>
      <c r="W383" s="865"/>
      <c r="X383" s="865"/>
      <c r="Y383" s="865"/>
      <c r="Z383" s="865"/>
      <c r="AA383" s="865"/>
      <c r="AB383" s="865"/>
      <c r="AC383" s="865"/>
      <c r="AD383" s="865"/>
      <c r="AE383" s="865"/>
      <c r="AF383" s="865"/>
      <c r="AG383" s="865"/>
      <c r="AH383" s="865"/>
      <c r="AI383" s="865"/>
      <c r="AJ383" s="865"/>
      <c r="AK383" s="865"/>
      <c r="AL383" s="865"/>
      <c r="AM383" s="865"/>
      <c r="AN383" s="866"/>
    </row>
    <row r="384" spans="1:40" ht="30.75" customHeight="1">
      <c r="A384" s="855"/>
      <c r="B384" s="856"/>
      <c r="C384" s="856"/>
      <c r="D384" s="856"/>
      <c r="E384" s="856"/>
      <c r="F384" s="856"/>
      <c r="G384" s="856"/>
      <c r="H384" s="856"/>
      <c r="I384" s="856"/>
      <c r="J384" s="856"/>
      <c r="K384" s="856"/>
      <c r="L384" s="857"/>
      <c r="M384" s="864"/>
      <c r="N384" s="865"/>
      <c r="O384" s="865"/>
      <c r="P384" s="865"/>
      <c r="Q384" s="865"/>
      <c r="R384" s="865"/>
      <c r="S384" s="865"/>
      <c r="T384" s="865"/>
      <c r="U384" s="865"/>
      <c r="V384" s="865"/>
      <c r="W384" s="865"/>
      <c r="X384" s="865"/>
      <c r="Y384" s="865"/>
      <c r="Z384" s="865"/>
      <c r="AA384" s="865"/>
      <c r="AB384" s="865"/>
      <c r="AC384" s="865"/>
      <c r="AD384" s="865"/>
      <c r="AE384" s="865"/>
      <c r="AF384" s="865"/>
      <c r="AG384" s="865"/>
      <c r="AH384" s="865"/>
      <c r="AI384" s="865"/>
      <c r="AJ384" s="865"/>
      <c r="AK384" s="865"/>
      <c r="AL384" s="865"/>
      <c r="AM384" s="865"/>
      <c r="AN384" s="866"/>
    </row>
    <row r="385" spans="1:40" ht="30.75" customHeight="1">
      <c r="A385" s="855"/>
      <c r="B385" s="856"/>
      <c r="C385" s="856"/>
      <c r="D385" s="856"/>
      <c r="E385" s="856"/>
      <c r="F385" s="856"/>
      <c r="G385" s="856"/>
      <c r="H385" s="856"/>
      <c r="I385" s="856"/>
      <c r="J385" s="856"/>
      <c r="K385" s="856"/>
      <c r="L385" s="857"/>
      <c r="M385" s="864"/>
      <c r="N385" s="865"/>
      <c r="O385" s="865"/>
      <c r="P385" s="865"/>
      <c r="Q385" s="865"/>
      <c r="R385" s="865"/>
      <c r="S385" s="865"/>
      <c r="T385" s="865"/>
      <c r="U385" s="865"/>
      <c r="V385" s="865"/>
      <c r="W385" s="865"/>
      <c r="X385" s="865"/>
      <c r="Y385" s="865"/>
      <c r="Z385" s="865"/>
      <c r="AA385" s="865"/>
      <c r="AB385" s="865"/>
      <c r="AC385" s="865"/>
      <c r="AD385" s="865"/>
      <c r="AE385" s="865"/>
      <c r="AF385" s="865"/>
      <c r="AG385" s="865"/>
      <c r="AH385" s="865"/>
      <c r="AI385" s="865"/>
      <c r="AJ385" s="865"/>
      <c r="AK385" s="865"/>
      <c r="AL385" s="865"/>
      <c r="AM385" s="865"/>
      <c r="AN385" s="866"/>
    </row>
    <row r="386" spans="1:40" ht="30.75" customHeight="1">
      <c r="A386" s="855"/>
      <c r="B386" s="856"/>
      <c r="C386" s="856"/>
      <c r="D386" s="856"/>
      <c r="E386" s="856"/>
      <c r="F386" s="856"/>
      <c r="G386" s="856"/>
      <c r="H386" s="856"/>
      <c r="I386" s="856"/>
      <c r="J386" s="856"/>
      <c r="K386" s="856"/>
      <c r="L386" s="857"/>
      <c r="M386" s="864"/>
      <c r="N386" s="865"/>
      <c r="O386" s="865"/>
      <c r="P386" s="865"/>
      <c r="Q386" s="865"/>
      <c r="R386" s="865"/>
      <c r="S386" s="865"/>
      <c r="T386" s="865"/>
      <c r="U386" s="865"/>
      <c r="V386" s="865"/>
      <c r="W386" s="865"/>
      <c r="X386" s="865"/>
      <c r="Y386" s="865"/>
      <c r="Z386" s="865"/>
      <c r="AA386" s="865"/>
      <c r="AB386" s="865"/>
      <c r="AC386" s="865"/>
      <c r="AD386" s="865"/>
      <c r="AE386" s="865"/>
      <c r="AF386" s="865"/>
      <c r="AG386" s="865"/>
      <c r="AH386" s="865"/>
      <c r="AI386" s="865"/>
      <c r="AJ386" s="865"/>
      <c r="AK386" s="865"/>
      <c r="AL386" s="865"/>
      <c r="AM386" s="865"/>
      <c r="AN386" s="866"/>
    </row>
    <row r="387" spans="1:40" ht="30.75" customHeight="1">
      <c r="A387" s="855"/>
      <c r="B387" s="856"/>
      <c r="C387" s="856"/>
      <c r="D387" s="856"/>
      <c r="E387" s="856"/>
      <c r="F387" s="856"/>
      <c r="G387" s="856"/>
      <c r="H387" s="856"/>
      <c r="I387" s="856"/>
      <c r="J387" s="856"/>
      <c r="K387" s="856"/>
      <c r="L387" s="857"/>
      <c r="M387" s="864"/>
      <c r="N387" s="865"/>
      <c r="O387" s="865"/>
      <c r="P387" s="865"/>
      <c r="Q387" s="865"/>
      <c r="R387" s="865"/>
      <c r="S387" s="865"/>
      <c r="T387" s="865"/>
      <c r="U387" s="865"/>
      <c r="V387" s="865"/>
      <c r="W387" s="865"/>
      <c r="X387" s="865"/>
      <c r="Y387" s="865"/>
      <c r="Z387" s="865"/>
      <c r="AA387" s="865"/>
      <c r="AB387" s="865"/>
      <c r="AC387" s="865"/>
      <c r="AD387" s="865"/>
      <c r="AE387" s="865"/>
      <c r="AF387" s="865"/>
      <c r="AG387" s="865"/>
      <c r="AH387" s="865"/>
      <c r="AI387" s="865"/>
      <c r="AJ387" s="865"/>
      <c r="AK387" s="865"/>
      <c r="AL387" s="865"/>
      <c r="AM387" s="865"/>
      <c r="AN387" s="866"/>
    </row>
    <row r="388" spans="1:40" ht="30.75" customHeight="1">
      <c r="A388" s="855"/>
      <c r="B388" s="856"/>
      <c r="C388" s="856"/>
      <c r="D388" s="856"/>
      <c r="E388" s="856"/>
      <c r="F388" s="856"/>
      <c r="G388" s="856"/>
      <c r="H388" s="856"/>
      <c r="I388" s="856"/>
      <c r="J388" s="856"/>
      <c r="K388" s="856"/>
      <c r="L388" s="857"/>
      <c r="M388" s="864"/>
      <c r="N388" s="865"/>
      <c r="O388" s="865"/>
      <c r="P388" s="865"/>
      <c r="Q388" s="865"/>
      <c r="R388" s="865"/>
      <c r="S388" s="865"/>
      <c r="T388" s="865"/>
      <c r="U388" s="865"/>
      <c r="V388" s="865"/>
      <c r="W388" s="865"/>
      <c r="X388" s="865"/>
      <c r="Y388" s="865"/>
      <c r="Z388" s="865"/>
      <c r="AA388" s="865"/>
      <c r="AB388" s="865"/>
      <c r="AC388" s="865"/>
      <c r="AD388" s="865"/>
      <c r="AE388" s="865"/>
      <c r="AF388" s="865"/>
      <c r="AG388" s="865"/>
      <c r="AH388" s="865"/>
      <c r="AI388" s="865"/>
      <c r="AJ388" s="865"/>
      <c r="AK388" s="865"/>
      <c r="AL388" s="865"/>
      <c r="AM388" s="865"/>
      <c r="AN388" s="866"/>
    </row>
    <row r="389" spans="1:40" ht="30.75" customHeight="1">
      <c r="A389" s="855"/>
      <c r="B389" s="856"/>
      <c r="C389" s="856"/>
      <c r="D389" s="856"/>
      <c r="E389" s="856"/>
      <c r="F389" s="856"/>
      <c r="G389" s="856"/>
      <c r="H389" s="856"/>
      <c r="I389" s="856"/>
      <c r="J389" s="856"/>
      <c r="K389" s="856"/>
      <c r="L389" s="857"/>
      <c r="M389" s="864"/>
      <c r="N389" s="865"/>
      <c r="O389" s="865"/>
      <c r="P389" s="865"/>
      <c r="Q389" s="865"/>
      <c r="R389" s="865"/>
      <c r="S389" s="865"/>
      <c r="T389" s="865"/>
      <c r="U389" s="865"/>
      <c r="V389" s="865"/>
      <c r="W389" s="865"/>
      <c r="X389" s="865"/>
      <c r="Y389" s="865"/>
      <c r="Z389" s="865"/>
      <c r="AA389" s="865"/>
      <c r="AB389" s="865"/>
      <c r="AC389" s="865"/>
      <c r="AD389" s="865"/>
      <c r="AE389" s="865"/>
      <c r="AF389" s="865"/>
      <c r="AG389" s="865"/>
      <c r="AH389" s="865"/>
      <c r="AI389" s="865"/>
      <c r="AJ389" s="865"/>
      <c r="AK389" s="865"/>
      <c r="AL389" s="865"/>
      <c r="AM389" s="865"/>
      <c r="AN389" s="866"/>
    </row>
    <row r="390" spans="1:40" ht="30.75" customHeight="1">
      <c r="A390" s="855"/>
      <c r="B390" s="856"/>
      <c r="C390" s="856"/>
      <c r="D390" s="856"/>
      <c r="E390" s="856"/>
      <c r="F390" s="856"/>
      <c r="G390" s="856"/>
      <c r="H390" s="856"/>
      <c r="I390" s="856"/>
      <c r="J390" s="856"/>
      <c r="K390" s="856"/>
      <c r="L390" s="857"/>
      <c r="M390" s="864"/>
      <c r="N390" s="865"/>
      <c r="O390" s="865"/>
      <c r="P390" s="865"/>
      <c r="Q390" s="865"/>
      <c r="R390" s="865"/>
      <c r="S390" s="865"/>
      <c r="T390" s="865"/>
      <c r="U390" s="865"/>
      <c r="V390" s="865"/>
      <c r="W390" s="865"/>
      <c r="X390" s="865"/>
      <c r="Y390" s="865"/>
      <c r="Z390" s="865"/>
      <c r="AA390" s="865"/>
      <c r="AB390" s="865"/>
      <c r="AC390" s="865"/>
      <c r="AD390" s="865"/>
      <c r="AE390" s="865"/>
      <c r="AF390" s="865"/>
      <c r="AG390" s="865"/>
      <c r="AH390" s="865"/>
      <c r="AI390" s="865"/>
      <c r="AJ390" s="865"/>
      <c r="AK390" s="865"/>
      <c r="AL390" s="865"/>
      <c r="AM390" s="865"/>
      <c r="AN390" s="866"/>
    </row>
    <row r="391" spans="1:40" ht="30.75" customHeight="1">
      <c r="A391" s="855"/>
      <c r="B391" s="856"/>
      <c r="C391" s="856"/>
      <c r="D391" s="856"/>
      <c r="E391" s="856"/>
      <c r="F391" s="856"/>
      <c r="G391" s="856"/>
      <c r="H391" s="856"/>
      <c r="I391" s="856"/>
      <c r="J391" s="856"/>
      <c r="K391" s="856"/>
      <c r="L391" s="857"/>
      <c r="M391" s="864"/>
      <c r="N391" s="865"/>
      <c r="O391" s="865"/>
      <c r="P391" s="865"/>
      <c r="Q391" s="865"/>
      <c r="R391" s="865"/>
      <c r="S391" s="865"/>
      <c r="T391" s="865"/>
      <c r="U391" s="865"/>
      <c r="V391" s="865"/>
      <c r="W391" s="865"/>
      <c r="X391" s="865"/>
      <c r="Y391" s="865"/>
      <c r="Z391" s="865"/>
      <c r="AA391" s="865"/>
      <c r="AB391" s="865"/>
      <c r="AC391" s="865"/>
      <c r="AD391" s="865"/>
      <c r="AE391" s="865"/>
      <c r="AF391" s="865"/>
      <c r="AG391" s="865"/>
      <c r="AH391" s="865"/>
      <c r="AI391" s="865"/>
      <c r="AJ391" s="865"/>
      <c r="AK391" s="865"/>
      <c r="AL391" s="865"/>
      <c r="AM391" s="865"/>
      <c r="AN391" s="866"/>
    </row>
    <row r="392" spans="1:40" ht="30.75" customHeight="1">
      <c r="A392" s="858"/>
      <c r="B392" s="859"/>
      <c r="C392" s="859"/>
      <c r="D392" s="859"/>
      <c r="E392" s="859"/>
      <c r="F392" s="859"/>
      <c r="G392" s="859"/>
      <c r="H392" s="859"/>
      <c r="I392" s="859"/>
      <c r="J392" s="859"/>
      <c r="K392" s="859"/>
      <c r="L392" s="860"/>
      <c r="M392" s="867"/>
      <c r="N392" s="868"/>
      <c r="O392" s="868"/>
      <c r="P392" s="868"/>
      <c r="Q392" s="868"/>
      <c r="R392" s="868"/>
      <c r="S392" s="868"/>
      <c r="T392" s="868"/>
      <c r="U392" s="868"/>
      <c r="V392" s="868"/>
      <c r="W392" s="868"/>
      <c r="X392" s="868"/>
      <c r="Y392" s="868"/>
      <c r="Z392" s="868"/>
      <c r="AA392" s="868"/>
      <c r="AB392" s="868"/>
      <c r="AC392" s="868"/>
      <c r="AD392" s="868"/>
      <c r="AE392" s="868"/>
      <c r="AF392" s="868"/>
      <c r="AG392" s="868"/>
      <c r="AH392" s="868"/>
      <c r="AI392" s="868"/>
      <c r="AJ392" s="868"/>
      <c r="AK392" s="868"/>
      <c r="AL392" s="868"/>
      <c r="AM392" s="868"/>
      <c r="AN392" s="869"/>
    </row>
  </sheetData>
  <sheetProtection selectLockedCells="1"/>
  <mergeCells count="358">
    <mergeCell ref="AB6:AC6"/>
    <mergeCell ref="AD6:AE6"/>
    <mergeCell ref="AF6:AG6"/>
    <mergeCell ref="AH6:AI6"/>
    <mergeCell ref="C6:C7"/>
    <mergeCell ref="AK6:AK7"/>
    <mergeCell ref="B1:C1"/>
    <mergeCell ref="D1:E1"/>
    <mergeCell ref="F1:G1"/>
    <mergeCell ref="H1:J1"/>
    <mergeCell ref="K1:Q1"/>
    <mergeCell ref="R1:S1"/>
    <mergeCell ref="T1:V1"/>
    <mergeCell ref="W1:X1"/>
    <mergeCell ref="AA1:AJ1"/>
    <mergeCell ref="AD105:AE105"/>
    <mergeCell ref="AF105:AG105"/>
    <mergeCell ref="AH105:AI105"/>
    <mergeCell ref="C105:C106"/>
    <mergeCell ref="A105:A106"/>
    <mergeCell ref="D105:I106"/>
    <mergeCell ref="AK1:AN1"/>
    <mergeCell ref="A3:AN3"/>
    <mergeCell ref="A4:C4"/>
    <mergeCell ref="D4:V4"/>
    <mergeCell ref="W4:AN4"/>
    <mergeCell ref="A5:AN5"/>
    <mergeCell ref="D6:E6"/>
    <mergeCell ref="F6:G6"/>
    <mergeCell ref="H6:I6"/>
    <mergeCell ref="J6:K6"/>
    <mergeCell ref="L6:M6"/>
    <mergeCell ref="N6:O6"/>
    <mergeCell ref="P6:Q6"/>
    <mergeCell ref="R6:S6"/>
    <mergeCell ref="T6:U6"/>
    <mergeCell ref="V6:W6"/>
    <mergeCell ref="X6:Y6"/>
    <mergeCell ref="Z6:AA6"/>
    <mergeCell ref="AH148:AI148"/>
    <mergeCell ref="A148:A149"/>
    <mergeCell ref="C148:C149"/>
    <mergeCell ref="A113:AN113"/>
    <mergeCell ref="J114:K114"/>
    <mergeCell ref="L114:M114"/>
    <mergeCell ref="N114:O114"/>
    <mergeCell ref="P114:Q114"/>
    <mergeCell ref="R114:S114"/>
    <mergeCell ref="T114:U114"/>
    <mergeCell ref="V114:W114"/>
    <mergeCell ref="X114:Y114"/>
    <mergeCell ref="Z114:AA114"/>
    <mergeCell ref="AB114:AC114"/>
    <mergeCell ref="AD114:AE114"/>
    <mergeCell ref="AF114:AG114"/>
    <mergeCell ref="AH114:AI114"/>
    <mergeCell ref="A114:A115"/>
    <mergeCell ref="C114:C115"/>
    <mergeCell ref="AK114:AK115"/>
    <mergeCell ref="AK148:AK149"/>
    <mergeCell ref="B114:B115"/>
    <mergeCell ref="AD148:AE148"/>
    <mergeCell ref="AF148:AG148"/>
    <mergeCell ref="AB148:AC148"/>
    <mergeCell ref="AH183:AI183"/>
    <mergeCell ref="C183:C184"/>
    <mergeCell ref="AN268:AN269"/>
    <mergeCell ref="A196:AH196"/>
    <mergeCell ref="A202:AN202"/>
    <mergeCell ref="A203:AN203"/>
    <mergeCell ref="A216:AN216"/>
    <mergeCell ref="A220:AN220"/>
    <mergeCell ref="A221:AN221"/>
    <mergeCell ref="D222:E222"/>
    <mergeCell ref="F222:G222"/>
    <mergeCell ref="H222:I222"/>
    <mergeCell ref="J222:K222"/>
    <mergeCell ref="L222:M222"/>
    <mergeCell ref="N222:O222"/>
    <mergeCell ref="P222:Q222"/>
    <mergeCell ref="R222:S222"/>
    <mergeCell ref="T222:U222"/>
    <mergeCell ref="B183:B184"/>
    <mergeCell ref="T183:U183"/>
    <mergeCell ref="AH222:AI222"/>
    <mergeCell ref="C222:C223"/>
    <mergeCell ref="V268:W268"/>
    <mergeCell ref="V183:W183"/>
    <mergeCell ref="X183:Y183"/>
    <mergeCell ref="A150:A159"/>
    <mergeCell ref="T148:U148"/>
    <mergeCell ref="B148:B149"/>
    <mergeCell ref="A160:A163"/>
    <mergeCell ref="V148:W148"/>
    <mergeCell ref="X148:Y148"/>
    <mergeCell ref="Z148:AA148"/>
    <mergeCell ref="AB320:AC320"/>
    <mergeCell ref="AD320:AE320"/>
    <mergeCell ref="AF320:AG320"/>
    <mergeCell ref="A164:A167"/>
    <mergeCell ref="A168:A175"/>
    <mergeCell ref="A176:A180"/>
    <mergeCell ref="A183:A184"/>
    <mergeCell ref="A185:A187"/>
    <mergeCell ref="A188:A189"/>
    <mergeCell ref="A190:A191"/>
    <mergeCell ref="Z222:AA222"/>
    <mergeCell ref="AB222:AC222"/>
    <mergeCell ref="AD222:AE222"/>
    <mergeCell ref="AF222:AG222"/>
    <mergeCell ref="Z183:AA183"/>
    <mergeCell ref="AB183:AC183"/>
    <mergeCell ref="AD183:AE183"/>
    <mergeCell ref="AF183:AG183"/>
    <mergeCell ref="AD290:AE290"/>
    <mergeCell ref="AF290:AG290"/>
    <mergeCell ref="A241:A247"/>
    <mergeCell ref="B222:B223"/>
    <mergeCell ref="B320:B321"/>
    <mergeCell ref="A292:A295"/>
    <mergeCell ref="AH290:AI290"/>
    <mergeCell ref="A280:A281"/>
    <mergeCell ref="A282:A283"/>
    <mergeCell ref="A285:A286"/>
    <mergeCell ref="AL280:AL283"/>
    <mergeCell ref="AL285:AL288"/>
    <mergeCell ref="A250:A260"/>
    <mergeCell ref="A261:A263"/>
    <mergeCell ref="A264:A266"/>
    <mergeCell ref="A268:A269"/>
    <mergeCell ref="C268:C269"/>
    <mergeCell ref="B268:B269"/>
    <mergeCell ref="B290:B291"/>
    <mergeCell ref="A287:A288"/>
    <mergeCell ref="A290:A291"/>
    <mergeCell ref="Z268:AA268"/>
    <mergeCell ref="AB268:AC268"/>
    <mergeCell ref="AD268:AE268"/>
    <mergeCell ref="AF268:AG268"/>
    <mergeCell ref="AH268:AI268"/>
    <mergeCell ref="X268:Y268"/>
    <mergeCell ref="A6:A7"/>
    <mergeCell ref="A8:A20"/>
    <mergeCell ref="A21:A26"/>
    <mergeCell ref="A27:A32"/>
    <mergeCell ref="A33:A38"/>
    <mergeCell ref="A39:A44"/>
    <mergeCell ref="A45:A50"/>
    <mergeCell ref="A51:A56"/>
    <mergeCell ref="A57:A62"/>
    <mergeCell ref="A63:A64"/>
    <mergeCell ref="A65:A66"/>
    <mergeCell ref="A67:A71"/>
    <mergeCell ref="A72:A77"/>
    <mergeCell ref="A78:A86"/>
    <mergeCell ref="A87:A92"/>
    <mergeCell ref="A93:A98"/>
    <mergeCell ref="A100:A101"/>
    <mergeCell ref="A102:A103"/>
    <mergeCell ref="A99:AN99"/>
    <mergeCell ref="AL100:AL103"/>
    <mergeCell ref="AN100:AN103"/>
    <mergeCell ref="A107:A112"/>
    <mergeCell ref="A117:A124"/>
    <mergeCell ref="T268:U268"/>
    <mergeCell ref="A142:A144"/>
    <mergeCell ref="A181:AN181"/>
    <mergeCell ref="D183:E183"/>
    <mergeCell ref="F183:G183"/>
    <mergeCell ref="H183:I183"/>
    <mergeCell ref="J183:K183"/>
    <mergeCell ref="L183:M183"/>
    <mergeCell ref="N183:O183"/>
    <mergeCell ref="P183:Q183"/>
    <mergeCell ref="R183:S183"/>
    <mergeCell ref="AK160:AK161"/>
    <mergeCell ref="A146:AN146"/>
    <mergeCell ref="A147:AN147"/>
    <mergeCell ref="D148:E148"/>
    <mergeCell ref="F148:G148"/>
    <mergeCell ref="H148:I148"/>
    <mergeCell ref="J148:K148"/>
    <mergeCell ref="L148:M148"/>
    <mergeCell ref="N148:O148"/>
    <mergeCell ref="P148:Q148"/>
    <mergeCell ref="R148:S148"/>
    <mergeCell ref="A296:A300"/>
    <mergeCell ref="A301:A304"/>
    <mergeCell ref="A305:A309"/>
    <mergeCell ref="A310:A313"/>
    <mergeCell ref="A314:A318"/>
    <mergeCell ref="A320:A321"/>
    <mergeCell ref="A271:A272"/>
    <mergeCell ref="A267:AN267"/>
    <mergeCell ref="D268:E268"/>
    <mergeCell ref="F268:G268"/>
    <mergeCell ref="H268:I268"/>
    <mergeCell ref="J268:K268"/>
    <mergeCell ref="L268:M268"/>
    <mergeCell ref="N268:O268"/>
    <mergeCell ref="P268:Q268"/>
    <mergeCell ref="R268:S268"/>
    <mergeCell ref="D290:K291"/>
    <mergeCell ref="AM290:AM291"/>
    <mergeCell ref="R290:S290"/>
    <mergeCell ref="T290:U290"/>
    <mergeCell ref="V290:W290"/>
    <mergeCell ref="X290:Y290"/>
    <mergeCell ref="Z290:AA290"/>
    <mergeCell ref="AN280:AN283"/>
    <mergeCell ref="AJ6:AJ7"/>
    <mergeCell ref="AJ105:AJ106"/>
    <mergeCell ref="AJ114:AJ115"/>
    <mergeCell ref="AJ148:AJ149"/>
    <mergeCell ref="AJ183:AJ184"/>
    <mergeCell ref="AJ222:AJ223"/>
    <mergeCell ref="AJ268:AJ269"/>
    <mergeCell ref="AJ290:AJ291"/>
    <mergeCell ref="AJ320:AJ321"/>
    <mergeCell ref="A319:AN319"/>
    <mergeCell ref="D320:E320"/>
    <mergeCell ref="F320:G320"/>
    <mergeCell ref="H320:I320"/>
    <mergeCell ref="J320:K320"/>
    <mergeCell ref="L320:M320"/>
    <mergeCell ref="N320:O320"/>
    <mergeCell ref="P320:Q320"/>
    <mergeCell ref="R320:S320"/>
    <mergeCell ref="T320:U320"/>
    <mergeCell ref="V320:W320"/>
    <mergeCell ref="X320:Y320"/>
    <mergeCell ref="Z320:AA320"/>
    <mergeCell ref="B6:B7"/>
    <mergeCell ref="B105:B106"/>
    <mergeCell ref="AR278:AR279"/>
    <mergeCell ref="AS278:AS279"/>
    <mergeCell ref="AL250:AL266"/>
    <mergeCell ref="AL271:AL272"/>
    <mergeCell ref="AL274:AL277"/>
    <mergeCell ref="A274:A275"/>
    <mergeCell ref="A276:A277"/>
    <mergeCell ref="A249:AN249"/>
    <mergeCell ref="AL217:AL219"/>
    <mergeCell ref="AM268:AM269"/>
    <mergeCell ref="V222:W222"/>
    <mergeCell ref="X222:Y222"/>
    <mergeCell ref="A192:A195"/>
    <mergeCell ref="A197:A201"/>
    <mergeCell ref="A204:A215"/>
    <mergeCell ref="A217:A219"/>
    <mergeCell ref="A222:A223"/>
    <mergeCell ref="A225:A229"/>
    <mergeCell ref="A231:A234"/>
    <mergeCell ref="A236:A240"/>
    <mergeCell ref="D114:I115"/>
    <mergeCell ref="A125:A126"/>
    <mergeCell ref="A127:A128"/>
    <mergeCell ref="A129:A131"/>
    <mergeCell ref="A134:A135"/>
    <mergeCell ref="A136:A137"/>
    <mergeCell ref="A138:A139"/>
    <mergeCell ref="A140:A141"/>
    <mergeCell ref="AN8:AN98"/>
    <mergeCell ref="AN105:AN106"/>
    <mergeCell ref="AN107:AN112"/>
    <mergeCell ref="AN114:AN115"/>
    <mergeCell ref="AN148:AN149"/>
    <mergeCell ref="AN183:AN184"/>
    <mergeCell ref="AN222:AN223"/>
    <mergeCell ref="AM6:AM7"/>
    <mergeCell ref="AM105:AM106"/>
    <mergeCell ref="AM114:AM115"/>
    <mergeCell ref="AM148:AM149"/>
    <mergeCell ref="AM183:AM184"/>
    <mergeCell ref="AM222:AM223"/>
    <mergeCell ref="A104:AN104"/>
    <mergeCell ref="J105:K105"/>
    <mergeCell ref="L105:M105"/>
    <mergeCell ref="N105:O105"/>
    <mergeCell ref="P105:Q105"/>
    <mergeCell ref="R105:S105"/>
    <mergeCell ref="T105:U105"/>
    <mergeCell ref="V105:W105"/>
    <mergeCell ref="X105:Y105"/>
    <mergeCell ref="Z105:AA105"/>
    <mergeCell ref="AB105:AC105"/>
    <mergeCell ref="AK168:AK169"/>
    <mergeCell ref="AL268:AL269"/>
    <mergeCell ref="AL204:AL215"/>
    <mergeCell ref="AL224:AL248"/>
    <mergeCell ref="AO1:AO7"/>
    <mergeCell ref="AQ278:AQ279"/>
    <mergeCell ref="AM320:AM321"/>
    <mergeCell ref="AK177:AK178"/>
    <mergeCell ref="AK183:AK184"/>
    <mergeCell ref="AK222:AK223"/>
    <mergeCell ref="AK268:AK269"/>
    <mergeCell ref="AK290:AK291"/>
    <mergeCell ref="AK320:AK321"/>
    <mergeCell ref="AL6:AL7"/>
    <mergeCell ref="AL8:AL98"/>
    <mergeCell ref="AL105:AL106"/>
    <mergeCell ref="AL107:AL112"/>
    <mergeCell ref="AL114:AL115"/>
    <mergeCell ref="AL148:AL149"/>
    <mergeCell ref="AL183:AL184"/>
    <mergeCell ref="AL222:AL223"/>
    <mergeCell ref="AL290:AL291"/>
    <mergeCell ref="AL320:AL321"/>
    <mergeCell ref="AN6:AN7"/>
    <mergeCell ref="AK8:AK9"/>
    <mergeCell ref="AK23:AK24"/>
    <mergeCell ref="AK51:AK52"/>
    <mergeCell ref="AK100:AK101"/>
    <mergeCell ref="AK105:AK106"/>
    <mergeCell ref="A363:L392"/>
    <mergeCell ref="M363:AN392"/>
    <mergeCell ref="A341:L361"/>
    <mergeCell ref="M341:AN361"/>
    <mergeCell ref="AN290:AN291"/>
    <mergeCell ref="AN320:AN321"/>
    <mergeCell ref="C290:C291"/>
    <mergeCell ref="C320:C321"/>
    <mergeCell ref="A324:A336"/>
    <mergeCell ref="A340:L340"/>
    <mergeCell ref="M340:AN340"/>
    <mergeCell ref="A362:L362"/>
    <mergeCell ref="M362:AN362"/>
    <mergeCell ref="AL292:AL318"/>
    <mergeCell ref="AL322:AL336"/>
    <mergeCell ref="AH320:AI320"/>
    <mergeCell ref="L290:M290"/>
    <mergeCell ref="N290:O290"/>
    <mergeCell ref="P290:Q290"/>
    <mergeCell ref="AN285:AN288"/>
    <mergeCell ref="AN292:AN318"/>
    <mergeCell ref="AN322:AN336"/>
    <mergeCell ref="AL116:AL145"/>
    <mergeCell ref="AL150:AL180"/>
    <mergeCell ref="AL185:AL195"/>
    <mergeCell ref="AL197:AL201"/>
    <mergeCell ref="AN116:AN145"/>
    <mergeCell ref="AN150:AN180"/>
    <mergeCell ref="AN185:AN195"/>
    <mergeCell ref="AN197:AN201"/>
    <mergeCell ref="AN204:AN215"/>
    <mergeCell ref="AN217:AN219"/>
    <mergeCell ref="AN224:AN248"/>
    <mergeCell ref="AN250:AN266"/>
    <mergeCell ref="AN271:AN272"/>
    <mergeCell ref="A270:AN270"/>
    <mergeCell ref="A273:AN273"/>
    <mergeCell ref="A278:AN278"/>
    <mergeCell ref="A279:B279"/>
    <mergeCell ref="A284:B284"/>
    <mergeCell ref="A289:AN289"/>
    <mergeCell ref="AB290:AC290"/>
    <mergeCell ref="AK164:AK165"/>
  </mergeCells>
  <conditionalFormatting sqref="A1">
    <cfRule type="cellIs" dxfId="1292" priority="4338" operator="equal">
      <formula>0</formula>
    </cfRule>
  </conditionalFormatting>
  <conditionalFormatting sqref="B2 AL250">
    <cfRule type="notContainsBlanks" dxfId="1291" priority="1236">
      <formula>LEN(TRIM(B2))&gt;0</formula>
    </cfRule>
  </conditionalFormatting>
  <conditionalFormatting sqref="B116">
    <cfRule type="cellIs" dxfId="1290" priority="3970" operator="equal">
      <formula>0</formula>
    </cfRule>
  </conditionalFormatting>
  <conditionalFormatting sqref="B158:B159">
    <cfRule type="cellIs" dxfId="1289" priority="4096" operator="equal">
      <formula>0</formula>
    </cfRule>
  </conditionalFormatting>
  <conditionalFormatting sqref="B187">
    <cfRule type="cellIs" dxfId="1288" priority="4065" operator="equal">
      <formula>0</formula>
    </cfRule>
  </conditionalFormatting>
  <conditionalFormatting sqref="B207">
    <cfRule type="cellIs" dxfId="1287" priority="3999" operator="equal">
      <formula>0</formula>
    </cfRule>
  </conditionalFormatting>
  <conditionalFormatting sqref="B209">
    <cfRule type="cellIs" dxfId="1286" priority="3998" operator="equal">
      <formula>0</formula>
    </cfRule>
  </conditionalFormatting>
  <conditionalFormatting sqref="B215">
    <cfRule type="cellIs" dxfId="1285" priority="3985" operator="equal">
      <formula>0</formula>
    </cfRule>
  </conditionalFormatting>
  <conditionalFormatting sqref="B219:B266">
    <cfRule type="cellIs" dxfId="1284" priority="3984" operator="equal">
      <formula>0</formula>
    </cfRule>
  </conditionalFormatting>
  <conditionalFormatting sqref="D215:E215">
    <cfRule type="cellIs" dxfId="1283" priority="1235" operator="equal">
      <formula>0</formula>
    </cfRule>
  </conditionalFormatting>
  <conditionalFormatting sqref="D224:E224">
    <cfRule type="expression" dxfId="1282" priority="2938">
      <formula>#REF!&lt;&gt;D224</formula>
    </cfRule>
  </conditionalFormatting>
  <conditionalFormatting sqref="D281:AA281">
    <cfRule type="expression" dxfId="1281" priority="5723">
      <formula>SUM(D280:D281)&gt;#REF!</formula>
    </cfRule>
  </conditionalFormatting>
  <conditionalFormatting sqref="D283:E283">
    <cfRule type="expression" dxfId="1280" priority="6163">
      <formula>SUM(D282:D283)&gt;D235</formula>
    </cfRule>
  </conditionalFormatting>
  <conditionalFormatting sqref="D326:E326">
    <cfRule type="expression" dxfId="1279" priority="6202">
      <formula>XFA328&gt;XFA326</formula>
    </cfRule>
  </conditionalFormatting>
  <conditionalFormatting sqref="D93:Y93 AB93:AI93">
    <cfRule type="expression" dxfId="1278" priority="1524">
      <formula>D93&gt;#REF!</formula>
    </cfRule>
  </conditionalFormatting>
  <conditionalFormatting sqref="D93:Y94 AB93:AI94 D95:AI98">
    <cfRule type="cellIs" dxfId="1277" priority="1527" operator="equal">
      <formula>0</formula>
    </cfRule>
    <cfRule type="cellIs" dxfId="1276" priority="1529" operator="equal">
      <formula>0</formula>
    </cfRule>
  </conditionalFormatting>
  <conditionalFormatting sqref="D204:Y204 AB204:AI204">
    <cfRule type="expression" dxfId="1275" priority="3406">
      <formula>D208&gt;D204</formula>
    </cfRule>
  </conditionalFormatting>
  <conditionalFormatting sqref="D205:Y205 AB205:AI205">
    <cfRule type="expression" dxfId="1274" priority="3401">
      <formula>D218&lt;&gt;D205</formula>
    </cfRule>
  </conditionalFormatting>
  <conditionalFormatting sqref="D218:Y218 AB218:AI218">
    <cfRule type="expression" dxfId="1273" priority="3402">
      <formula>D218&lt;&gt;D205</formula>
    </cfRule>
  </conditionalFormatting>
  <conditionalFormatting sqref="D225:Y225">
    <cfRule type="expression" dxfId="1272" priority="627">
      <formula>D225&gt;D240</formula>
    </cfRule>
  </conditionalFormatting>
  <conditionalFormatting sqref="D231:Y231 AB231:AI231">
    <cfRule type="expression" dxfId="1271" priority="1254">
      <formula>D231&lt;&gt;D224</formula>
    </cfRule>
    <cfRule type="cellIs" dxfId="1270" priority="1278" operator="equal">
      <formula>0</formula>
    </cfRule>
    <cfRule type="cellIs" dxfId="1269" priority="1279" operator="equal">
      <formula>0</formula>
    </cfRule>
  </conditionalFormatting>
  <conditionalFormatting sqref="AB235:AI235 D235:Y235">
    <cfRule type="expression" dxfId="1268" priority="3415">
      <formula>SUM(D282:D283)&gt;D235</formula>
    </cfRule>
    <cfRule type="expression" dxfId="1267" priority="5820">
      <formula>#REF!&gt;D235</formula>
    </cfRule>
    <cfRule type="expression" dxfId="1266" priority="5827">
      <formula>D250&gt;D235</formula>
    </cfRule>
  </conditionalFormatting>
  <conditionalFormatting sqref="AB235:AJ235 D235:Y235">
    <cfRule type="expression" dxfId="1265" priority="3436">
      <formula>#REF!&gt;D235</formula>
    </cfRule>
    <cfRule type="expression" dxfId="1264" priority="3437">
      <formula>D247&lt;&gt;D235</formula>
    </cfRule>
    <cfRule type="expression" dxfId="1263" priority="3442">
      <formula>D224&gt;D235</formula>
    </cfRule>
  </conditionalFormatting>
  <conditionalFormatting sqref="D236:Y236">
    <cfRule type="expression" dxfId="1262" priority="617">
      <formula>D221&gt;D236</formula>
    </cfRule>
  </conditionalFormatting>
  <conditionalFormatting sqref="D247:Y247">
    <cfRule type="expression" dxfId="1261" priority="609">
      <formula>D247&lt;&gt;D234</formula>
    </cfRule>
    <cfRule type="cellIs" dxfId="1260" priority="612" operator="equal">
      <formula>0</formula>
    </cfRule>
    <cfRule type="cellIs" dxfId="1259" priority="613" operator="equal">
      <formula>0</formula>
    </cfRule>
    <cfRule type="cellIs" dxfId="1258" priority="614" operator="equal">
      <formula>0</formula>
    </cfRule>
  </conditionalFormatting>
  <conditionalFormatting sqref="D253:Y254">
    <cfRule type="expression" dxfId="1257" priority="594">
      <formula>D253&gt;D267</formula>
    </cfRule>
  </conditionalFormatting>
  <conditionalFormatting sqref="D255:Y255 AB255:AI255">
    <cfRule type="expression" dxfId="1256" priority="596">
      <formula>D262&gt;D255</formula>
    </cfRule>
    <cfRule type="cellIs" dxfId="1255" priority="598" operator="equal">
      <formula>0</formula>
    </cfRule>
    <cfRule type="cellIs" dxfId="1254" priority="599" operator="equal">
      <formula>0</formula>
    </cfRule>
    <cfRule type="cellIs" dxfId="1253" priority="600" operator="equal">
      <formula>0</formula>
    </cfRule>
  </conditionalFormatting>
  <conditionalFormatting sqref="D259:Y259 AB259:AI259">
    <cfRule type="expression" dxfId="1252" priority="3428">
      <formula>E260&gt;(E256+E257+E258)</formula>
    </cfRule>
    <cfRule type="expression" dxfId="1251" priority="5831">
      <formula>D259&gt;D250</formula>
    </cfRule>
  </conditionalFormatting>
  <conditionalFormatting sqref="D259:Y259">
    <cfRule type="expression" dxfId="1250" priority="3003">
      <formula>D259&gt;D255</formula>
    </cfRule>
  </conditionalFormatting>
  <conditionalFormatting sqref="D261:Y261">
    <cfRule type="expression" dxfId="1249" priority="576">
      <formula>(D261+D262+D263)&lt;&gt;D255</formula>
    </cfRule>
  </conditionalFormatting>
  <conditionalFormatting sqref="D262:Y262">
    <cfRule type="expression" dxfId="1248" priority="575">
      <formula>(D261+D262+D263)&lt;&gt;D255</formula>
    </cfRule>
  </conditionalFormatting>
  <conditionalFormatting sqref="D263:Y263">
    <cfRule type="expression" dxfId="1247" priority="574">
      <formula>(D261+D262+D263)&lt;&gt;D255</formula>
    </cfRule>
    <cfRule type="expression" dxfId="1246" priority="582">
      <formula>D267&gt;D263</formula>
    </cfRule>
    <cfRule type="expression" dxfId="1245" priority="587">
      <formula>D263&gt;SUM(D257:D259)</formula>
    </cfRule>
  </conditionalFormatting>
  <conditionalFormatting sqref="D264:Y265">
    <cfRule type="expression" dxfId="1244" priority="579">
      <formula>D250&gt;D264</formula>
    </cfRule>
  </conditionalFormatting>
  <conditionalFormatting sqref="D280:AA281">
    <cfRule type="expression" dxfId="1243" priority="5722">
      <formula>SUM(D280:D281)&gt;#REF!</formula>
    </cfRule>
  </conditionalFormatting>
  <conditionalFormatting sqref="D280:AA281">
    <cfRule type="expression" dxfId="1242" priority="865">
      <formula>D282&gt;D280</formula>
    </cfRule>
  </conditionalFormatting>
  <conditionalFormatting sqref="D282:AA282">
    <cfRule type="expression" dxfId="1241" priority="6162">
      <formula>SUM(D282:D283)&gt;D235</formula>
    </cfRule>
  </conditionalFormatting>
  <conditionalFormatting sqref="D282:AA283">
    <cfRule type="expression" dxfId="1240" priority="4298">
      <formula>D287&gt;D282</formula>
    </cfRule>
  </conditionalFormatting>
  <conditionalFormatting sqref="D285:AA286">
    <cfRule type="expression" dxfId="1239" priority="870">
      <formula>D285&gt;D283</formula>
    </cfRule>
  </conditionalFormatting>
  <conditionalFormatting sqref="D285:AA288">
    <cfRule type="expression" dxfId="1238" priority="4858">
      <formula>#REF!&gt;D285</formula>
    </cfRule>
  </conditionalFormatting>
  <conditionalFormatting sqref="D287:AA288">
    <cfRule type="expression" dxfId="1237" priority="3806">
      <formula>D287&gt;D282</formula>
    </cfRule>
  </conditionalFormatting>
  <conditionalFormatting sqref="D324:AA325">
    <cfRule type="expression" dxfId="1236" priority="818">
      <formula>D330&gt;D324</formula>
    </cfRule>
  </conditionalFormatting>
  <conditionalFormatting sqref="D326:AA326">
    <cfRule type="expression" dxfId="1235" priority="1201">
      <formula>D328&gt;D326</formula>
    </cfRule>
    <cfRule type="expression" dxfId="1234" priority="1211">
      <formula>D327&gt;D326</formula>
    </cfRule>
  </conditionalFormatting>
  <conditionalFormatting sqref="D327:AA327">
    <cfRule type="expression" dxfId="1233" priority="1210">
      <formula>D327&gt;D326</formula>
    </cfRule>
  </conditionalFormatting>
  <conditionalFormatting sqref="D328:AA328 D323:AA323">
    <cfRule type="cellIs" dxfId="1232" priority="3033" operator="equal">
      <formula>0</formula>
    </cfRule>
  </conditionalFormatting>
  <conditionalFormatting sqref="D328:AA328">
    <cfRule type="expression" dxfId="1231" priority="1234">
      <formula>D328&gt;D326</formula>
    </cfRule>
  </conditionalFormatting>
  <conditionalFormatting sqref="D329:AA329">
    <cfRule type="expression" dxfId="1230" priority="3108">
      <formula>D329&gt;D325</formula>
    </cfRule>
  </conditionalFormatting>
  <conditionalFormatting sqref="D333:AA333">
    <cfRule type="expression" dxfId="1229" priority="4731">
      <formula>D333&gt;D325</formula>
    </cfRule>
  </conditionalFormatting>
  <conditionalFormatting sqref="D333:AA334">
    <cfRule type="expression" dxfId="1228" priority="1155">
      <formula>D334&gt;D333</formula>
    </cfRule>
  </conditionalFormatting>
  <conditionalFormatting sqref="D334:AA334">
    <cfRule type="expression" dxfId="1227" priority="4294">
      <formula>D336&gt;D334</formula>
    </cfRule>
  </conditionalFormatting>
  <conditionalFormatting sqref="D335:AA335">
    <cfRule type="expression" dxfId="1226" priority="5066">
      <formula>D335&gt;D334</formula>
    </cfRule>
    <cfRule type="expression" dxfId="1225" priority="5067">
      <formula>#REF!&gt;D335</formula>
    </cfRule>
  </conditionalFormatting>
  <conditionalFormatting sqref="D209:AI209">
    <cfRule type="expression" dxfId="1224" priority="3394">
      <formula>D209&gt;D204</formula>
    </cfRule>
    <cfRule type="cellIs" dxfId="1223" priority="3995" operator="equal">
      <formula>0</formula>
    </cfRule>
  </conditionalFormatting>
  <conditionalFormatting sqref="D224:AI224">
    <cfRule type="expression" dxfId="1222" priority="3443">
      <formula>D224&gt;D235</formula>
    </cfRule>
    <cfRule type="cellIs" dxfId="1221" priority="3975" operator="equal">
      <formula>0</formula>
    </cfRule>
    <cfRule type="cellIs" dxfId="1220" priority="3976" operator="equal">
      <formula>0</formula>
    </cfRule>
  </conditionalFormatting>
  <conditionalFormatting sqref="D231:AI231">
    <cfRule type="cellIs" dxfId="1219" priority="1297" operator="equal">
      <formula>0</formula>
    </cfRule>
  </conditionalFormatting>
  <conditionalFormatting sqref="D250:AI250">
    <cfRule type="expression" dxfId="1218" priority="1250">
      <formula>(D261+D262+D263)&lt;&gt;D250</formula>
    </cfRule>
    <cfRule type="cellIs" dxfId="1217" priority="3431" operator="equal">
      <formula>0</formula>
    </cfRule>
    <cfRule type="expression" dxfId="1216" priority="3432">
      <formula>D254&gt;D250</formula>
    </cfRule>
    <cfRule type="expression" dxfId="1215" priority="3434">
      <formula>D253&gt;D250</formula>
    </cfRule>
    <cfRule type="expression" dxfId="1214" priority="4445">
      <formula>D250&gt;D235</formula>
    </cfRule>
    <cfRule type="expression" dxfId="1213" priority="4447">
      <formula>(D235*0.7)&gt;D250</formula>
    </cfRule>
    <cfRule type="expression" dxfId="1212" priority="4684">
      <formula>D266&gt;D250</formula>
    </cfRule>
    <cfRule type="expression" dxfId="1211" priority="5828">
      <formula>D259&gt;D250</formula>
    </cfRule>
  </conditionalFormatting>
  <conditionalFormatting sqref="D266:AI266">
    <cfRule type="expression" dxfId="1210" priority="3048">
      <formula>D266&gt;D260</formula>
    </cfRule>
    <cfRule type="cellIs" dxfId="1209" priority="3888" operator="equal">
      <formula>0</formula>
    </cfRule>
    <cfRule type="cellIs" dxfId="1208" priority="3889" operator="equal">
      <formula>0</formula>
    </cfRule>
    <cfRule type="cellIs" dxfId="1207" priority="3890" operator="equal">
      <formula>0</formula>
    </cfRule>
    <cfRule type="expression" dxfId="1206" priority="5829">
      <formula>D266&gt;D250</formula>
    </cfRule>
  </conditionalFormatting>
  <conditionalFormatting sqref="D279:AI279">
    <cfRule type="cellIs" dxfId="1205" priority="562" operator="equal">
      <formula>0</formula>
    </cfRule>
  </conditionalFormatting>
  <conditionalFormatting sqref="D322:AI322">
    <cfRule type="cellIs" dxfId="1204" priority="1959" operator="equal">
      <formula>0</formula>
    </cfRule>
    <cfRule type="expression" dxfId="1203" priority="4992">
      <formula>#REF!&gt;D322</formula>
    </cfRule>
  </conditionalFormatting>
  <conditionalFormatting sqref="D259:AJ259">
    <cfRule type="cellIs" dxfId="1202" priority="3429" operator="equal">
      <formula>0</formula>
    </cfRule>
  </conditionalFormatting>
  <conditionalFormatting sqref="D284:AJ284">
    <cfRule type="cellIs" dxfId="1201" priority="556" operator="equal">
      <formula>0</formula>
    </cfRule>
  </conditionalFormatting>
  <conditionalFormatting sqref="E330 G330 I330 K330 AA330 M330 O330 Q330 S330 U330 W330 Y330">
    <cfRule type="expression" dxfId="1200" priority="1227">
      <formula>E330&gt;E325</formula>
    </cfRule>
    <cfRule type="expression" dxfId="1199" priority="1228">
      <formula>E330&gt;E334</formula>
    </cfRule>
    <cfRule type="cellIs" dxfId="1198" priority="1229" operator="equal">
      <formula>0</formula>
    </cfRule>
  </conditionalFormatting>
  <conditionalFormatting sqref="F78">
    <cfRule type="expression" dxfId="1197" priority="1540">
      <formula>F78&lt;F80</formula>
    </cfRule>
  </conditionalFormatting>
  <conditionalFormatting sqref="F33:G33">
    <cfRule type="expression" dxfId="1196" priority="4133">
      <formula>F34&gt;F33</formula>
    </cfRule>
  </conditionalFormatting>
  <conditionalFormatting sqref="F39:G39">
    <cfRule type="expression" dxfId="1195" priority="4132">
      <formula>F40&gt;F39</formula>
    </cfRule>
  </conditionalFormatting>
  <conditionalFormatting sqref="F13:Y13 AB13:AI13">
    <cfRule type="expression" dxfId="1194" priority="4137">
      <formula>F14&gt;F13</formula>
    </cfRule>
    <cfRule type="expression" dxfId="1193" priority="4753">
      <formula>(#REF!+#REF!+#REF!)&lt;&gt;F13</formula>
    </cfRule>
  </conditionalFormatting>
  <conditionalFormatting sqref="F21:Y21 AB21:AI21">
    <cfRule type="expression" dxfId="1192" priority="4136">
      <formula>F22&gt;F21</formula>
    </cfRule>
  </conditionalFormatting>
  <conditionalFormatting sqref="F27:Y27 AB27:AI27">
    <cfRule type="expression" dxfId="1191" priority="4135">
      <formula>F28&gt;F27</formula>
    </cfRule>
  </conditionalFormatting>
  <conditionalFormatting sqref="F45:Y45 AB45:AI45">
    <cfRule type="expression" dxfId="1190" priority="4131">
      <formula>F46&gt;F45</formula>
    </cfRule>
  </conditionalFormatting>
  <conditionalFormatting sqref="F51:Y51 AB51:AI51">
    <cfRule type="cellIs" dxfId="1189" priority="2644" operator="equal">
      <formula>0</formula>
    </cfRule>
    <cfRule type="expression" dxfId="1188" priority="4130">
      <formula>F52&gt;F51</formula>
    </cfRule>
  </conditionalFormatting>
  <conditionalFormatting sqref="F52:Y52">
    <cfRule type="cellIs" dxfId="1187" priority="2643" operator="equal">
      <formula>0</formula>
    </cfRule>
  </conditionalFormatting>
  <conditionalFormatting sqref="F57:Y57">
    <cfRule type="cellIs" dxfId="1186" priority="750" operator="equal">
      <formula>0</formula>
    </cfRule>
    <cfRule type="expression" dxfId="1185" priority="751">
      <formula>F58&gt;F57</formula>
    </cfRule>
  </conditionalFormatting>
  <conditionalFormatting sqref="F58:Y58">
    <cfRule type="cellIs" dxfId="1184" priority="749" operator="equal">
      <formula>0</formula>
    </cfRule>
  </conditionalFormatting>
  <conditionalFormatting sqref="F59:Y67">
    <cfRule type="cellIs" dxfId="1183" priority="737" operator="equal">
      <formula>0</formula>
    </cfRule>
    <cfRule type="expression" dxfId="1182" priority="738">
      <formula>F60&gt;F59</formula>
    </cfRule>
  </conditionalFormatting>
  <conditionalFormatting sqref="F68:Y71">
    <cfRule type="expression" dxfId="1181" priority="973">
      <formula>F66&lt;&gt;F67+F68+F69+F71</formula>
    </cfRule>
  </conditionalFormatting>
  <conditionalFormatting sqref="F78:Y79 AB78:AI79">
    <cfRule type="expression" dxfId="1180" priority="1541">
      <formula>F79&gt;F78</formula>
    </cfRule>
  </conditionalFormatting>
  <conditionalFormatting sqref="F79:Y79 AB79:AI79">
    <cfRule type="expression" dxfId="1179" priority="1539">
      <formula>F78&lt;F79</formula>
    </cfRule>
  </conditionalFormatting>
  <conditionalFormatting sqref="F85:Y85 AB85:AJ85">
    <cfRule type="cellIs" dxfId="1178" priority="1208" operator="equal">
      <formula>0</formula>
    </cfRule>
  </conditionalFormatting>
  <conditionalFormatting sqref="F86:Y86 AB86:AI86 K153">
    <cfRule type="expression" dxfId="1177" priority="3827">
      <formula>F86&gt;F85</formula>
    </cfRule>
  </conditionalFormatting>
  <conditionalFormatting sqref="F87:Y87">
    <cfRule type="expression" dxfId="1176" priority="4129">
      <formula>F88&gt;F87</formula>
    </cfRule>
  </conditionalFormatting>
  <conditionalFormatting sqref="F207:Y207 AB207:AI207">
    <cfRule type="expression" dxfId="1175" priority="3362">
      <formula>F208&lt;F207</formula>
    </cfRule>
    <cfRule type="cellIs" dxfId="1174" priority="3997" operator="equal">
      <formula>0</formula>
    </cfRule>
  </conditionalFormatting>
  <conditionalFormatting sqref="F207:Y207 AB207:AJ207">
    <cfRule type="cellIs" dxfId="1173" priority="3393" operator="lessThan">
      <formula>0</formula>
    </cfRule>
  </conditionalFormatting>
  <conditionalFormatting sqref="F208:Y208 AB208:AI208 D205:Y205 AB205:AI205">
    <cfRule type="cellIs" dxfId="1172" priority="4004" operator="equal">
      <formula>0</formula>
    </cfRule>
  </conditionalFormatting>
  <conditionalFormatting sqref="F208:Y208 AB208:AI208 AB259:AI259">
    <cfRule type="expression" dxfId="1171" priority="3407">
      <formula>F208&gt;F204</formula>
    </cfRule>
  </conditionalFormatting>
  <conditionalFormatting sqref="F208:Y208 AB208:AI208">
    <cfRule type="expression" dxfId="1170" priority="3363">
      <formula>F208&lt;F207</formula>
    </cfRule>
    <cfRule type="expression" dxfId="1169" priority="3403">
      <formula>F210&gt;F208</formula>
    </cfRule>
  </conditionalFormatting>
  <conditionalFormatting sqref="F210:Y210 AB210:AI210">
    <cfRule type="expression" dxfId="1168" priority="3807">
      <formula>F210&gt;F208</formula>
    </cfRule>
    <cfRule type="expression" dxfId="1167" priority="6015">
      <formula>F217&gt;F210</formula>
    </cfRule>
    <cfRule type="expression" dxfId="1166" priority="6019">
      <formula>F210&gt;F217</formula>
    </cfRule>
  </conditionalFormatting>
  <conditionalFormatting sqref="F211:Y211 AB211:AI211">
    <cfRule type="expression" dxfId="1165" priority="634">
      <formula>F210&lt;&gt;F211+F212+F213+F214</formula>
    </cfRule>
  </conditionalFormatting>
  <conditionalFormatting sqref="F212:Y212 AB212:AI212">
    <cfRule type="expression" dxfId="1164" priority="633">
      <formula>F210&lt;&gt;F211+F212+F213+F214</formula>
    </cfRule>
  </conditionalFormatting>
  <conditionalFormatting sqref="F213:Y213 AB213:AI213">
    <cfRule type="expression" dxfId="1163" priority="632">
      <formula>F210&lt;&gt;F211+F212+F213+F214</formula>
    </cfRule>
  </conditionalFormatting>
  <conditionalFormatting sqref="F214:Y214 AB214:AI214">
    <cfRule type="expression" dxfId="1162" priority="631">
      <formula>F210&lt;&gt;F211+F212+F213+F214</formula>
    </cfRule>
  </conditionalFormatting>
  <conditionalFormatting sqref="F215:Y215">
    <cfRule type="cellIs" dxfId="1161" priority="3986" operator="equal">
      <formula>0</formula>
    </cfRule>
  </conditionalFormatting>
  <conditionalFormatting sqref="F217:Y217 AB217:AI217">
    <cfRule type="expression" dxfId="1160" priority="3400">
      <formula>F217&gt;F210</formula>
    </cfRule>
    <cfRule type="expression" dxfId="1159" priority="5938">
      <formula>F210&gt;F217</formula>
    </cfRule>
  </conditionalFormatting>
  <conditionalFormatting sqref="F326:AA326">
    <cfRule type="expression" dxfId="1158" priority="1202">
      <formula>A328&gt;A326</formula>
    </cfRule>
  </conditionalFormatting>
  <conditionalFormatting sqref="F19:AI19">
    <cfRule type="cellIs" dxfId="1157" priority="1225" operator="equal">
      <formula>0</formula>
    </cfRule>
  </conditionalFormatting>
  <conditionalFormatting sqref="I224">
    <cfRule type="expression" dxfId="1156" priority="4683">
      <formula>#REF!&gt;I224</formula>
    </cfRule>
  </conditionalFormatting>
  <conditionalFormatting sqref="J108:AA108">
    <cfRule type="cellIs" dxfId="1155" priority="2951" operator="equal">
      <formula>0</formula>
    </cfRule>
  </conditionalFormatting>
  <conditionalFormatting sqref="J116:AA116">
    <cfRule type="expression" dxfId="1154" priority="1264">
      <formula>J132&gt;J116</formula>
    </cfRule>
    <cfRule type="expression" dxfId="1153" priority="1266">
      <formula>(J129+J130+J131)&lt;&gt;J116</formula>
    </cfRule>
    <cfRule type="expression" dxfId="1152" priority="1270">
      <formula>(J128+J127)&lt;&gt;J116</formula>
    </cfRule>
    <cfRule type="cellIs" dxfId="1151" priority="1779" operator="equal">
      <formula>0</formula>
    </cfRule>
  </conditionalFormatting>
  <conditionalFormatting sqref="J224:AI224 D224:H224">
    <cfRule type="expression" dxfId="1150" priority="3422">
      <formula>D231&gt;D224</formula>
    </cfRule>
  </conditionalFormatting>
  <conditionalFormatting sqref="K124">
    <cfRule type="cellIs" dxfId="1149" priority="1332" operator="equal">
      <formula>0</formula>
    </cfRule>
  </conditionalFormatting>
  <conditionalFormatting sqref="K150">
    <cfRule type="expression" dxfId="1148" priority="4288">
      <formula>(K151+K152)&gt;K150</formula>
    </cfRule>
  </conditionalFormatting>
  <conditionalFormatting sqref="K151 M151 O151 Q151 S151 U151 W151 Y151">
    <cfRule type="expression" dxfId="1147" priority="5382">
      <formula>K151&gt;K150</formula>
    </cfRule>
  </conditionalFormatting>
  <conditionalFormatting sqref="K151">
    <cfRule type="expression" dxfId="1146" priority="5383">
      <formula>K185&gt;K151</formula>
    </cfRule>
  </conditionalFormatting>
  <conditionalFormatting sqref="K152">
    <cfRule type="expression" dxfId="1145" priority="3802">
      <formula>K152&gt;K150</formula>
    </cfRule>
    <cfRule type="expression" dxfId="1144" priority="4287">
      <formula>K153&gt;K152</formula>
    </cfRule>
  </conditionalFormatting>
  <conditionalFormatting sqref="K153">
    <cfRule type="expression" dxfId="1143" priority="5317">
      <formula>K186&gt;K153</formula>
    </cfRule>
    <cfRule type="expression" dxfId="1142" priority="323">
      <formula>K197&gt;(K153+K151)</formula>
    </cfRule>
  </conditionalFormatting>
  <conditionalFormatting sqref="K154">
    <cfRule type="expression" dxfId="1141" priority="801">
      <formula>K153&lt;&gt;K154+K155+K156+K157</formula>
    </cfRule>
  </conditionalFormatting>
  <conditionalFormatting sqref="K155">
    <cfRule type="expression" dxfId="1140" priority="800">
      <formula>K153&lt;&gt;K154+K155+K156+K157</formula>
    </cfRule>
  </conditionalFormatting>
  <conditionalFormatting sqref="K156">
    <cfRule type="expression" dxfId="1139" priority="799">
      <formula>K153&lt;&gt;K154+K155+K156+K157</formula>
    </cfRule>
  </conditionalFormatting>
  <conditionalFormatting sqref="K157">
    <cfRule type="expression" dxfId="1138" priority="798">
      <formula>K153&lt;&gt;K154+K155+K156+K157</formula>
    </cfRule>
  </conditionalFormatting>
  <conditionalFormatting sqref="K158 M158 O158 Q158 S158 U158 W158 Y158">
    <cfRule type="expression" dxfId="1137" priority="4424">
      <formula>K190&gt;K158</formula>
    </cfRule>
  </conditionalFormatting>
  <conditionalFormatting sqref="K158:K159">
    <cfRule type="cellIs" dxfId="1136" priority="4088" operator="equal">
      <formula>0</formula>
    </cfRule>
  </conditionalFormatting>
  <conditionalFormatting sqref="K160">
    <cfRule type="expression" dxfId="1135" priority="4286">
      <formula>K161&gt;K160</formula>
    </cfRule>
  </conditionalFormatting>
  <conditionalFormatting sqref="K161">
    <cfRule type="expression" dxfId="1134" priority="5415">
      <formula>K161&gt;K160</formula>
    </cfRule>
  </conditionalFormatting>
  <conditionalFormatting sqref="K162">
    <cfRule type="expression" dxfId="1133" priority="3763">
      <formula>K163&gt;K162</formula>
    </cfRule>
  </conditionalFormatting>
  <conditionalFormatting sqref="K163">
    <cfRule type="expression" dxfId="1132" priority="5431">
      <formula>K163&gt;K162</formula>
    </cfRule>
  </conditionalFormatting>
  <conditionalFormatting sqref="K164">
    <cfRule type="expression" dxfId="1131" priority="4285">
      <formula>K165&gt;K164</formula>
    </cfRule>
  </conditionalFormatting>
  <conditionalFormatting sqref="K166">
    <cfRule type="expression" dxfId="1130" priority="3350">
      <formula>K167&gt;K166</formula>
    </cfRule>
  </conditionalFormatting>
  <conditionalFormatting sqref="K167 M167 O167 Q167 S167 U167 W167 Y167">
    <cfRule type="expression" dxfId="1129" priority="4220">
      <formula>K191&gt;K167</formula>
    </cfRule>
  </conditionalFormatting>
  <conditionalFormatting sqref="K167">
    <cfRule type="expression" dxfId="1128" priority="3746">
      <formula>K167&gt;K166</formula>
    </cfRule>
  </conditionalFormatting>
  <conditionalFormatting sqref="K168">
    <cfRule type="expression" dxfId="1127" priority="4284">
      <formula>K169&gt;K168</formula>
    </cfRule>
  </conditionalFormatting>
  <conditionalFormatting sqref="K169">
    <cfRule type="expression" dxfId="1126" priority="5507">
      <formula>K200&gt;K171+K169</formula>
    </cfRule>
  </conditionalFormatting>
  <conditionalFormatting sqref="K169">
    <cfRule type="expression" dxfId="1125" priority="3718">
      <formula>K169&gt;K168</formula>
    </cfRule>
    <cfRule type="expression" dxfId="1124" priority="3719">
      <formula>K192&gt;K169</formula>
    </cfRule>
    <cfRule type="expression" dxfId="1123" priority="179">
      <formula>K230&gt;(K175+K173+K171+K169)</formula>
    </cfRule>
  </conditionalFormatting>
  <conditionalFormatting sqref="K170">
    <cfRule type="expression" dxfId="1122" priority="3710">
      <formula>K171&gt;K170</formula>
    </cfRule>
  </conditionalFormatting>
  <conditionalFormatting sqref="K171">
    <cfRule type="expression" dxfId="1121" priority="3515">
      <formula>K193&gt;K171</formula>
    </cfRule>
    <cfRule type="expression" dxfId="1120" priority="3516">
      <formula>K171&gt;K170</formula>
    </cfRule>
    <cfRule type="expression" dxfId="1119" priority="5523">
      <formula>K200&gt;K171+K169</formula>
    </cfRule>
  </conditionalFormatting>
  <conditionalFormatting sqref="K172">
    <cfRule type="expression" dxfId="1118" priority="3678">
      <formula>K173&gt;K172</formula>
    </cfRule>
    <cfRule type="expression" dxfId="1117" priority="5461">
      <formula>#REF!&gt;K172</formula>
    </cfRule>
  </conditionalFormatting>
  <conditionalFormatting sqref="K173">
    <cfRule type="expression" dxfId="1116" priority="3016">
      <formula>K194&gt;K173</formula>
    </cfRule>
    <cfRule type="expression" dxfId="1115" priority="3017">
      <formula>K173&gt;K172</formula>
    </cfRule>
    <cfRule type="expression" dxfId="1114" priority="226">
      <formula>K201&gt;(K175+K173)</formula>
    </cfRule>
    <cfRule type="expression" dxfId="1113" priority="181">
      <formula>K230&gt;(K175+K173+K171+K169)</formula>
    </cfRule>
  </conditionalFormatting>
  <conditionalFormatting sqref="K174">
    <cfRule type="expression" dxfId="1112" priority="1516">
      <formula>K175&gt;K174</formula>
    </cfRule>
    <cfRule type="expression" dxfId="1111" priority="1520">
      <formula>K199&gt;K174</formula>
    </cfRule>
  </conditionalFormatting>
  <conditionalFormatting sqref="K175">
    <cfRule type="expression" dxfId="1110" priority="1496">
      <formula>K197&gt;K175</formula>
    </cfRule>
    <cfRule type="expression" dxfId="1109" priority="1497">
      <formula>K175&gt;K174</formula>
    </cfRule>
    <cfRule type="expression" dxfId="1108" priority="227">
      <formula>K201&gt;(K175+K173)</formula>
    </cfRule>
    <cfRule type="expression" dxfId="1107" priority="182">
      <formula>K230&gt;(K175+K173+K171+K169)</formula>
    </cfRule>
  </conditionalFormatting>
  <conditionalFormatting sqref="K176">
    <cfRule type="cellIs" dxfId="1106" priority="671" operator="equal">
      <formula>0</formula>
    </cfRule>
  </conditionalFormatting>
  <conditionalFormatting sqref="K177">
    <cfRule type="expression" dxfId="1105" priority="657">
      <formula>K176&lt;&gt;K177+K178+K179+K180</formula>
    </cfRule>
  </conditionalFormatting>
  <conditionalFormatting sqref="K178">
    <cfRule type="expression" dxfId="1104" priority="656">
      <formula>K176&lt;&gt;K177+K178+K179+K180</formula>
    </cfRule>
  </conditionalFormatting>
  <conditionalFormatting sqref="K179">
    <cfRule type="expression" dxfId="1103" priority="655">
      <formula>K176&lt;&gt;K177+K178+K179+K180</formula>
    </cfRule>
  </conditionalFormatting>
  <conditionalFormatting sqref="K180">
    <cfRule type="expression" dxfId="1102" priority="654">
      <formula>K176&lt;&gt;K177+K178+K179+K180</formula>
    </cfRule>
  </conditionalFormatting>
  <conditionalFormatting sqref="K185">
    <cfRule type="expression" dxfId="1101" priority="3624">
      <formula>K185&gt;K151</formula>
    </cfRule>
  </conditionalFormatting>
  <conditionalFormatting sqref="K186 M186 O186 Q186 S186 U186 W186 Y186">
    <cfRule type="expression" dxfId="1100" priority="6076">
      <formula>K186&gt;K224</formula>
    </cfRule>
    <cfRule type="expression" dxfId="1099" priority="6077">
      <formula>K186&gt;K224&amp;EXACT($I$3,"1")&amp;EXACT($E$3,"1")</formula>
    </cfRule>
  </conditionalFormatting>
  <conditionalFormatting sqref="K187">
    <cfRule type="cellIs" dxfId="1098" priority="4080" operator="equal">
      <formula>0</formula>
    </cfRule>
  </conditionalFormatting>
  <conditionalFormatting sqref="K188">
    <cfRule type="expression" dxfId="1097" priority="3602">
      <formula>K188&lt;&gt;K161</formula>
    </cfRule>
  </conditionalFormatting>
  <conditionalFormatting sqref="K189">
    <cfRule type="expression" dxfId="1096" priority="3572">
      <formula>K189&lt;&gt;K163</formula>
    </cfRule>
  </conditionalFormatting>
  <conditionalFormatting sqref="K191">
    <cfRule type="expression" dxfId="1095" priority="3349">
      <formula>K191&gt;K167</formula>
    </cfRule>
  </conditionalFormatting>
  <conditionalFormatting sqref="K193">
    <cfRule type="expression" dxfId="1094" priority="3520">
      <formula>K193&gt;K171</formula>
    </cfRule>
  </conditionalFormatting>
  <conditionalFormatting sqref="K194:K195">
    <cfRule type="expression" dxfId="1093" priority="1410">
      <formula>K194&gt;K173</formula>
    </cfRule>
  </conditionalFormatting>
  <conditionalFormatting sqref="K224 M224 O224 Q224 S224 U224 W224 Y224 AA224:AI224">
    <cfRule type="expression" dxfId="1092" priority="6020">
      <formula>K186&gt;K224</formula>
    </cfRule>
  </conditionalFormatting>
  <conditionalFormatting sqref="K230">
    <cfRule type="expression" dxfId="1091" priority="554">
      <formula>K230&lt;&gt;K66</formula>
    </cfRule>
    <cfRule type="expression" dxfId="1090" priority="183">
      <formula>K230&gt;(K175+K173+K171+K169)</formula>
    </cfRule>
  </conditionalFormatting>
  <conditionalFormatting sqref="K248 M248 O248 Q248 S248 U248 W248 Y248">
    <cfRule type="expression" dxfId="1089" priority="5933">
      <formula>K248&gt;K235</formula>
    </cfRule>
  </conditionalFormatting>
  <conditionalFormatting sqref="K331 M331 O331 Q331 S331 U331 W331 Y331 AA331">
    <cfRule type="expression" dxfId="1088" priority="3120">
      <formula>K331&gt;K325</formula>
    </cfRule>
    <cfRule type="expression" dxfId="1087" priority="4293">
      <formula>K332&gt;K331</formula>
    </cfRule>
  </conditionalFormatting>
  <conditionalFormatting sqref="K332 M332 O332 Q332 S332 U332 W332 Y332 AA332">
    <cfRule type="expression" dxfId="1086" priority="3054">
      <formula>K332&gt;K331</formula>
    </cfRule>
  </conditionalFormatting>
  <conditionalFormatting sqref="K66:Y66">
    <cfRule type="expression" dxfId="1085" priority="546">
      <formula>K66&lt;&gt;K230</formula>
    </cfRule>
  </conditionalFormatting>
  <conditionalFormatting sqref="L102 N102 P102 R102 T102 V102 X102 Z102">
    <cfRule type="expression" dxfId="1084" priority="1445">
      <formula>L103&gt;L102</formula>
    </cfRule>
  </conditionalFormatting>
  <conditionalFormatting sqref="L145 N145 P145 R145 T145 V145 X145 Z145">
    <cfRule type="expression" dxfId="1083" priority="1256">
      <formula>L145&gt;L133</formula>
    </cfRule>
  </conditionalFormatting>
  <conditionalFormatting sqref="L19:Y19 AB19:AI19">
    <cfRule type="expression" dxfId="1082" priority="4295">
      <formula>L20&gt;L19</formula>
    </cfRule>
  </conditionalFormatting>
  <conditionalFormatting sqref="L20:Y20">
    <cfRule type="expression" dxfId="1081" priority="1224">
      <formula>L20&gt;L19</formula>
    </cfRule>
  </conditionalFormatting>
  <conditionalFormatting sqref="L72:Y72 AB72:AI72">
    <cfRule type="expression" dxfId="1080" priority="4128">
      <formula>L73&gt;L72</formula>
    </cfRule>
  </conditionalFormatting>
  <conditionalFormatting sqref="F85:Y85">
    <cfRule type="expression" dxfId="1079" priority="1207">
      <formula>F85&lt;0</formula>
    </cfRule>
  </conditionalFormatting>
  <conditionalFormatting sqref="L226:Y226 L227 N227 P227 R227 T227 V227 X227">
    <cfRule type="expression" dxfId="1078" priority="628">
      <formula>L226&gt;L241</formula>
    </cfRule>
  </conditionalFormatting>
  <conditionalFormatting sqref="L127:AA127">
    <cfRule type="expression" dxfId="1077" priority="4791">
      <formula>(L128+L127)&lt;&gt;L116</formula>
    </cfRule>
  </conditionalFormatting>
  <conditionalFormatting sqref="L128:AA128">
    <cfRule type="expression" dxfId="1076" priority="4792">
      <formula>(L128+L127)&lt;&gt;L116</formula>
    </cfRule>
  </conditionalFormatting>
  <conditionalFormatting sqref="L129:AA129">
    <cfRule type="expression" dxfId="1075" priority="4793">
      <formula>(L129+L130+L131)&lt;&gt;L116</formula>
    </cfRule>
  </conditionalFormatting>
  <conditionalFormatting sqref="L131:AA131">
    <cfRule type="expression" dxfId="1073" priority="4795">
      <formula>(L129+L130+L131)&lt;&gt;L116</formula>
    </cfRule>
  </conditionalFormatting>
  <conditionalFormatting sqref="L132:AA132">
    <cfRule type="expression" dxfId="1072" priority="1265">
      <formula>L132&gt;L116</formula>
    </cfRule>
  </conditionalFormatting>
  <conditionalFormatting sqref="L133:AA133">
    <cfRule type="expression" dxfId="1071" priority="1255">
      <formula>L145&gt;L133</formula>
    </cfRule>
    <cfRule type="expression" dxfId="1070" priority="1257">
      <formula>(L142+L143+L144)&lt;&gt;L133</formula>
    </cfRule>
    <cfRule type="expression" dxfId="1069" priority="1261">
      <formula>(L140+L141)&lt;&gt;L133</formula>
    </cfRule>
  </conditionalFormatting>
  <conditionalFormatting sqref="L134:AA134">
    <cfRule type="expression" dxfId="1068" priority="3811">
      <formula>L135&gt;L134</formula>
    </cfRule>
  </conditionalFormatting>
  <conditionalFormatting sqref="L135:AA135">
    <cfRule type="expression" dxfId="1067" priority="3812">
      <formula>L135&gt;L134</formula>
    </cfRule>
  </conditionalFormatting>
  <conditionalFormatting sqref="L140:AA140">
    <cfRule type="expression" dxfId="1066" priority="6228">
      <formula>(L140+L141)&lt;&gt;L133</formula>
    </cfRule>
  </conditionalFormatting>
  <conditionalFormatting sqref="L141:AA141">
    <cfRule type="expression" dxfId="1065" priority="6229">
      <formula>(L140+L141)&lt;&gt;L133</formula>
    </cfRule>
  </conditionalFormatting>
  <conditionalFormatting sqref="L142:AA142">
    <cfRule type="expression" dxfId="1064" priority="6230">
      <formula>(L142+L143+L144)&lt;&gt;L133</formula>
    </cfRule>
  </conditionalFormatting>
  <conditionalFormatting sqref="L144:AA144">
    <cfRule type="expression" dxfId="1062" priority="6232">
      <formula>(L142+L143+L144)&lt;&gt;L133</formula>
    </cfRule>
  </conditionalFormatting>
  <conditionalFormatting sqref="M100 O100 Q100 S100 U100 W100 Y100 AA100">
    <cfRule type="expression" dxfId="1061" priority="1456">
      <formula>M101&gt;M100</formula>
    </cfRule>
  </conditionalFormatting>
  <conditionalFormatting sqref="M124">
    <cfRule type="cellIs" dxfId="1060" priority="1331" operator="equal">
      <formula>0</formula>
    </cfRule>
  </conditionalFormatting>
  <conditionalFormatting sqref="M136 O136 Q136 S136 U136 W136 Y136 AA136">
    <cfRule type="expression" dxfId="1059" priority="4800">
      <formula>(M135+#REF!+M136)&gt;#REF!</formula>
    </cfRule>
  </conditionalFormatting>
  <conditionalFormatting sqref="M137 O137 Q137 S137 U137 W137 Y137 AA137">
    <cfRule type="expression" dxfId="1058" priority="4809">
      <formula>(M135+#REF!+M137)&gt;#REF!</formula>
    </cfRule>
  </conditionalFormatting>
  <conditionalFormatting sqref="M150">
    <cfRule type="expression" dxfId="1057" priority="4283">
      <formula>(M151+M152)&gt;M150</formula>
    </cfRule>
  </conditionalFormatting>
  <conditionalFormatting sqref="M151">
    <cfRule type="expression" dxfId="1056" priority="4238">
      <formula>M185&gt;M151</formula>
    </cfRule>
  </conditionalFormatting>
  <conditionalFormatting sqref="M152">
    <cfRule type="expression" dxfId="1055" priority="4282">
      <formula>M153&gt;M152</formula>
    </cfRule>
  </conditionalFormatting>
  <conditionalFormatting sqref="M158:M159">
    <cfRule type="cellIs" dxfId="1054" priority="4087" operator="equal">
      <formula>0</formula>
    </cfRule>
  </conditionalFormatting>
  <conditionalFormatting sqref="M160">
    <cfRule type="expression" dxfId="1053" priority="4281">
      <formula>M161&gt;M160</formula>
    </cfRule>
  </conditionalFormatting>
  <conditionalFormatting sqref="K161">
    <cfRule type="expression" dxfId="1052" priority="5414">
      <formula>K188&lt;&gt;K161</formula>
    </cfRule>
  </conditionalFormatting>
  <conditionalFormatting sqref="K163">
    <cfRule type="expression" dxfId="1051" priority="5430">
      <formula>K189&lt;&gt;K163</formula>
    </cfRule>
  </conditionalFormatting>
  <conditionalFormatting sqref="M164">
    <cfRule type="expression" dxfId="1050" priority="4280">
      <formula>M165&gt;M164</formula>
    </cfRule>
  </conditionalFormatting>
  <conditionalFormatting sqref="M166">
    <cfRule type="expression" dxfId="1049" priority="3743">
      <formula>M167&gt;M166</formula>
    </cfRule>
  </conditionalFormatting>
  <conditionalFormatting sqref="M167">
    <cfRule type="expression" dxfId="1048" priority="3744">
      <formula>M167&gt;M166</formula>
    </cfRule>
  </conditionalFormatting>
  <conditionalFormatting sqref="M168">
    <cfRule type="expression" dxfId="1047" priority="4279">
      <formula>M169&gt;M168</formula>
    </cfRule>
  </conditionalFormatting>
  <conditionalFormatting sqref="M176">
    <cfRule type="cellIs" dxfId="1046" priority="669" operator="equal">
      <formula>0</formula>
    </cfRule>
  </conditionalFormatting>
  <conditionalFormatting sqref="M177">
    <cfRule type="expression" dxfId="1045" priority="661">
      <formula>M176&lt;&gt;M177+M178+M179+M180</formula>
    </cfRule>
  </conditionalFormatting>
  <conditionalFormatting sqref="M178">
    <cfRule type="expression" dxfId="1044" priority="660">
      <formula>M176&lt;&gt;M177+M178+M179+M180</formula>
    </cfRule>
  </conditionalFormatting>
  <conditionalFormatting sqref="M179">
    <cfRule type="expression" dxfId="1043" priority="659">
      <formula>M176&lt;&gt;M177+M178+M179+M180</formula>
    </cfRule>
  </conditionalFormatting>
  <conditionalFormatting sqref="M180">
    <cfRule type="expression" dxfId="1042" priority="658">
      <formula>M176&lt;&gt;M177+M178+M179+M180</formula>
    </cfRule>
  </conditionalFormatting>
  <conditionalFormatting sqref="M185">
    <cfRule type="expression" dxfId="1041" priority="3623">
      <formula>M185&gt;M151</formula>
    </cfRule>
  </conditionalFormatting>
  <conditionalFormatting sqref="M187">
    <cfRule type="cellIs" dxfId="1040" priority="4072" operator="equal">
      <formula>0</formula>
    </cfRule>
  </conditionalFormatting>
  <conditionalFormatting sqref="M188">
    <cfRule type="expression" dxfId="1039" priority="3585">
      <formula>M188&lt;&gt;M161</formula>
    </cfRule>
    <cfRule type="cellIs" dxfId="1038" priority="3586" operator="equal">
      <formula>0</formula>
    </cfRule>
  </conditionalFormatting>
  <conditionalFormatting sqref="M189">
    <cfRule type="expression" dxfId="1037" priority="3555">
      <formula>M189&lt;&gt;M163</formula>
    </cfRule>
    <cfRule type="cellIs" dxfId="1036" priority="3556" operator="equal">
      <formula>0</formula>
    </cfRule>
  </conditionalFormatting>
  <conditionalFormatting sqref="M191">
    <cfRule type="expression" dxfId="1035" priority="3348">
      <formula>M191&gt;M167</formula>
    </cfRule>
  </conditionalFormatting>
  <conditionalFormatting sqref="M193">
    <cfRule type="expression" dxfId="1034" priority="3521">
      <formula>M193&gt;M171</formula>
    </cfRule>
  </conditionalFormatting>
  <conditionalFormatting sqref="M194:M195">
    <cfRule type="expression" dxfId="1033" priority="1409">
      <formula>M194&gt;M173</formula>
    </cfRule>
  </conditionalFormatting>
  <conditionalFormatting sqref="M200:M219 O200:O219 Q200:Q219 S200:S219 U200:U219 W200:W219 Y200:Y219">
    <cfRule type="expression" dxfId="1032" priority="2995">
      <formula>M200&gt;M171+M169</formula>
    </cfRule>
  </conditionalFormatting>
  <conditionalFormatting sqref="M228 O228 Q228 S228 U228 W228 Y228 L229:Y229">
    <cfRule type="expression" dxfId="1031" priority="626">
      <formula>L228&gt;L243</formula>
    </cfRule>
  </conditionalFormatting>
  <conditionalFormatting sqref="M239 O239 Q239 S239 U239 W239 Y239 L240:Y240">
    <cfRule type="expression" dxfId="1030" priority="610">
      <formula>L224&gt;L239</formula>
    </cfRule>
  </conditionalFormatting>
  <conditionalFormatting sqref="M295">
    <cfRule type="expression" dxfId="1029" priority="2877">
      <formula>M296&gt;M295</formula>
    </cfRule>
  </conditionalFormatting>
  <conditionalFormatting sqref="M295:M296">
    <cfRule type="cellIs" dxfId="1028" priority="2879" operator="equal">
      <formula>0</formula>
    </cfRule>
  </conditionalFormatting>
  <conditionalFormatting sqref="M296">
    <cfRule type="expression" dxfId="1027" priority="2855">
      <formula>M296&lt;(M297+M298+M299)</formula>
    </cfRule>
    <cfRule type="expression" dxfId="1026" priority="2878">
      <formula>M296&gt;M295</formula>
    </cfRule>
  </conditionalFormatting>
  <conditionalFormatting sqref="M297">
    <cfRule type="expression" dxfId="1025" priority="2854">
      <formula>M296&lt;(M297+M298+M299)</formula>
    </cfRule>
    <cfRule type="expression" dxfId="1024" priority="3240">
      <formula>(M299+M298+M297)&gt;M295</formula>
    </cfRule>
  </conditionalFormatting>
  <conditionalFormatting sqref="M298">
    <cfRule type="expression" dxfId="1023" priority="2853">
      <formula>M296&lt;(M297+M298+M299)</formula>
    </cfRule>
    <cfRule type="expression" dxfId="1022" priority="3239">
      <formula>(M299+M298+M297)&gt;M295</formula>
    </cfRule>
  </conditionalFormatting>
  <conditionalFormatting sqref="M299:M300">
    <cfRule type="expression" dxfId="1021" priority="860">
      <formula>M296&lt;(M297+M298+M299)</formula>
    </cfRule>
    <cfRule type="expression" dxfId="1020" priority="861">
      <formula>(M299+M298+M297)&gt;M295</formula>
    </cfRule>
  </conditionalFormatting>
  <conditionalFormatting sqref="M304">
    <cfRule type="expression" dxfId="1019" priority="2925">
      <formula>M305&gt;M304</formula>
    </cfRule>
    <cfRule type="cellIs" dxfId="1018" priority="3299" operator="equal">
      <formula>0</formula>
    </cfRule>
  </conditionalFormatting>
  <conditionalFormatting sqref="M305">
    <cfRule type="expression" dxfId="1017" priority="2783">
      <formula>M305&lt;(M306+M307+M308)</formula>
    </cfRule>
    <cfRule type="expression" dxfId="1016" priority="2784">
      <formula>M305&gt;M304</formula>
    </cfRule>
    <cfRule type="cellIs" dxfId="1015" priority="2785" operator="equal">
      <formula>0</formula>
    </cfRule>
  </conditionalFormatting>
  <conditionalFormatting sqref="M306">
    <cfRule type="expression" dxfId="1014" priority="2782">
      <formula>M305&lt;(M306+M307+M308)</formula>
    </cfRule>
    <cfRule type="expression" dxfId="1013" priority="2788">
      <formula>(M308+M307+M306)&gt;M304</formula>
    </cfRule>
  </conditionalFormatting>
  <conditionalFormatting sqref="M307">
    <cfRule type="expression" dxfId="1012" priority="2781">
      <formula>M305&lt;(M306+M307+M308)</formula>
    </cfRule>
    <cfRule type="expression" dxfId="1011" priority="2787">
      <formula>(M308+M307+M306)&gt;M304</formula>
    </cfRule>
  </conditionalFormatting>
  <conditionalFormatting sqref="M308:M309">
    <cfRule type="expression" dxfId="1010" priority="2780">
      <formula>M305&lt;(M306+M307+M308)</formula>
    </cfRule>
    <cfRule type="expression" dxfId="1009" priority="2786">
      <formula>(M308+M307+M306)&gt;M304</formula>
    </cfRule>
  </conditionalFormatting>
  <conditionalFormatting sqref="M313">
    <cfRule type="expression" dxfId="1008" priority="2901">
      <formula>M314&gt;M313</formula>
    </cfRule>
    <cfRule type="cellIs" dxfId="1007" priority="2903" operator="equal">
      <formula>0</formula>
    </cfRule>
  </conditionalFormatting>
  <conditionalFormatting sqref="M314">
    <cfRule type="expression" dxfId="1006" priority="2711">
      <formula>M314&lt;(M315+M316+M317)</formula>
    </cfRule>
    <cfRule type="expression" dxfId="1005" priority="2712">
      <formula>M314&gt;M313</formula>
    </cfRule>
    <cfRule type="cellIs" dxfId="1004" priority="2713" operator="equal">
      <formula>0</formula>
    </cfRule>
  </conditionalFormatting>
  <conditionalFormatting sqref="M315">
    <cfRule type="expression" dxfId="1003" priority="2710">
      <formula>M314&lt;(M315+M316+M317)</formula>
    </cfRule>
    <cfRule type="expression" dxfId="1002" priority="2716">
      <formula>(M317+M316+M315)&gt;M313</formula>
    </cfRule>
  </conditionalFormatting>
  <conditionalFormatting sqref="M316">
    <cfRule type="expression" dxfId="1001" priority="2709">
      <formula>M314&lt;(M315+M316+M317)</formula>
    </cfRule>
    <cfRule type="expression" dxfId="1000" priority="2715">
      <formula>(M317+M316+M315)&gt;M313</formula>
    </cfRule>
  </conditionalFormatting>
  <conditionalFormatting sqref="M317:M318">
    <cfRule type="expression" dxfId="999" priority="842">
      <formula>M314&lt;(M315+M316+M317)</formula>
    </cfRule>
    <cfRule type="expression" dxfId="998" priority="843">
      <formula>(M317+M316+M315)&gt;M313</formula>
    </cfRule>
  </conditionalFormatting>
  <conditionalFormatting sqref="O124">
    <cfRule type="cellIs" dxfId="997" priority="1330" operator="equal">
      <formula>0</formula>
    </cfRule>
  </conditionalFormatting>
  <conditionalFormatting sqref="O150">
    <cfRule type="expression" dxfId="996" priority="4278">
      <formula>(O151+O152)&gt;O150</formula>
    </cfRule>
  </conditionalFormatting>
  <conditionalFormatting sqref="O151">
    <cfRule type="expression" dxfId="995" priority="4237">
      <formula>O185&gt;O151</formula>
    </cfRule>
  </conditionalFormatting>
  <conditionalFormatting sqref="O152">
    <cfRule type="expression" dxfId="994" priority="4277">
      <formula>O153&gt;O152</formula>
    </cfRule>
  </conditionalFormatting>
  <conditionalFormatting sqref="O158:O159">
    <cfRule type="cellIs" dxfId="993" priority="4086" operator="equal">
      <formula>0</formula>
    </cfRule>
  </conditionalFormatting>
  <conditionalFormatting sqref="O160">
    <cfRule type="expression" dxfId="992" priority="4276">
      <formula>O161&gt;O160</formula>
    </cfRule>
  </conditionalFormatting>
  <conditionalFormatting sqref="O164">
    <cfRule type="expression" dxfId="991" priority="4275">
      <formula>O165&gt;O164</formula>
    </cfRule>
  </conditionalFormatting>
  <conditionalFormatting sqref="O166">
    <cfRule type="expression" dxfId="990" priority="3741">
      <formula>O167&gt;O166</formula>
    </cfRule>
  </conditionalFormatting>
  <conditionalFormatting sqref="O167">
    <cfRule type="expression" dxfId="989" priority="3742">
      <formula>O167&gt;O166</formula>
    </cfRule>
  </conditionalFormatting>
  <conditionalFormatting sqref="O168">
    <cfRule type="expression" dxfId="988" priority="4274">
      <formula>O169&gt;O168</formula>
    </cfRule>
  </conditionalFormatting>
  <conditionalFormatting sqref="O176">
    <cfRule type="cellIs" dxfId="987" priority="668" operator="equal">
      <formula>0</formula>
    </cfRule>
  </conditionalFormatting>
  <conditionalFormatting sqref="O177">
    <cfRule type="expression" dxfId="986" priority="713">
      <formula>O176&lt;&gt;O177+O178+O179+O180</formula>
    </cfRule>
  </conditionalFormatting>
  <conditionalFormatting sqref="O178">
    <cfRule type="expression" dxfId="985" priority="712">
      <formula>O176&lt;&gt;O177+O178+O179+O180</formula>
    </cfRule>
  </conditionalFormatting>
  <conditionalFormatting sqref="O179">
    <cfRule type="expression" dxfId="984" priority="711">
      <formula>O176&lt;&gt;O177+O178+O179+O180</formula>
    </cfRule>
  </conditionalFormatting>
  <conditionalFormatting sqref="O180">
    <cfRule type="expression" dxfId="983" priority="710">
      <formula>O176&lt;&gt;O177+O178+O179+O180</formula>
    </cfRule>
  </conditionalFormatting>
  <conditionalFormatting sqref="O185">
    <cfRule type="expression" dxfId="982" priority="3622">
      <formula>O185&gt;O151</formula>
    </cfRule>
  </conditionalFormatting>
  <conditionalFormatting sqref="O187">
    <cfRule type="cellIs" dxfId="981" priority="4071" operator="equal">
      <formula>0</formula>
    </cfRule>
  </conditionalFormatting>
  <conditionalFormatting sqref="O188">
    <cfRule type="expression" dxfId="980" priority="3583">
      <formula>O188&lt;&gt;O161</formula>
    </cfRule>
    <cfRule type="cellIs" dxfId="979" priority="3584" operator="equal">
      <formula>0</formula>
    </cfRule>
  </conditionalFormatting>
  <conditionalFormatting sqref="O189">
    <cfRule type="expression" dxfId="978" priority="3553">
      <formula>O189&lt;&gt;O163</formula>
    </cfRule>
    <cfRule type="cellIs" dxfId="977" priority="3554" operator="equal">
      <formula>0</formula>
    </cfRule>
  </conditionalFormatting>
  <conditionalFormatting sqref="O191">
    <cfRule type="expression" dxfId="976" priority="3347">
      <formula>O191&gt;O167</formula>
    </cfRule>
  </conditionalFormatting>
  <conditionalFormatting sqref="O193">
    <cfRule type="expression" dxfId="975" priority="3527">
      <formula>O193&gt;O171</formula>
    </cfRule>
  </conditionalFormatting>
  <conditionalFormatting sqref="O194:O195">
    <cfRule type="expression" dxfId="974" priority="1408">
      <formula>O194&gt;O173</formula>
    </cfRule>
  </conditionalFormatting>
  <conditionalFormatting sqref="O295">
    <cfRule type="expression" dxfId="973" priority="2874">
      <formula>O296&gt;O295</formula>
    </cfRule>
    <cfRule type="cellIs" dxfId="972" priority="2876" operator="equal">
      <formula>0</formula>
    </cfRule>
  </conditionalFormatting>
  <conditionalFormatting sqref="O296">
    <cfRule type="expression" dxfId="971" priority="2846">
      <formula>O296&lt;(O297+O298+O299)</formula>
    </cfRule>
    <cfRule type="expression" dxfId="970" priority="2847">
      <formula>O296&gt;O295</formula>
    </cfRule>
    <cfRule type="cellIs" dxfId="969" priority="2848" operator="equal">
      <formula>0</formula>
    </cfRule>
  </conditionalFormatting>
  <conditionalFormatting sqref="O297">
    <cfRule type="expression" dxfId="968" priority="2845">
      <formula>O296&lt;(O297+O298+O299)</formula>
    </cfRule>
    <cfRule type="expression" dxfId="967" priority="2851">
      <formula>(O299+O298+O297)&gt;O295</formula>
    </cfRule>
  </conditionalFormatting>
  <conditionalFormatting sqref="O298">
    <cfRule type="expression" dxfId="966" priority="2844">
      <formula>O296&lt;(O297+O298+O299)</formula>
    </cfRule>
    <cfRule type="expression" dxfId="965" priority="2850">
      <formula>(O299+O298+O297)&gt;O295</formula>
    </cfRule>
  </conditionalFormatting>
  <conditionalFormatting sqref="O299:O300">
    <cfRule type="expression" dxfId="964" priority="858">
      <formula>O296&lt;(O297+O298+O299)</formula>
    </cfRule>
    <cfRule type="expression" dxfId="963" priority="859">
      <formula>(O299+O298+O297)&gt;O295</formula>
    </cfRule>
  </conditionalFormatting>
  <conditionalFormatting sqref="O304">
    <cfRule type="expression" dxfId="962" priority="2922">
      <formula>O305&gt;O304</formula>
    </cfRule>
    <cfRule type="cellIs" dxfId="961" priority="2924" operator="equal">
      <formula>0</formula>
    </cfRule>
  </conditionalFormatting>
  <conditionalFormatting sqref="O305">
    <cfRule type="expression" dxfId="960" priority="2774">
      <formula>O305&lt;(O306+O307+O308)</formula>
    </cfRule>
    <cfRule type="expression" dxfId="959" priority="2775">
      <formula>O305&gt;O304</formula>
    </cfRule>
    <cfRule type="cellIs" dxfId="958" priority="2776" operator="equal">
      <formula>0</formula>
    </cfRule>
  </conditionalFormatting>
  <conditionalFormatting sqref="O306">
    <cfRule type="expression" dxfId="957" priority="2773">
      <formula>O305&lt;(O306+O307+O308)</formula>
    </cfRule>
    <cfRule type="expression" dxfId="956" priority="2779">
      <formula>(O308+O307+O306)&gt;O304</formula>
    </cfRule>
  </conditionalFormatting>
  <conditionalFormatting sqref="O307">
    <cfRule type="expression" dxfId="955" priority="2772">
      <formula>O305&lt;(O306+O307+O308)</formula>
    </cfRule>
    <cfRule type="expression" dxfId="954" priority="2778">
      <formula>(O308+O307+O306)&gt;O304</formula>
    </cfRule>
  </conditionalFormatting>
  <conditionalFormatting sqref="O308:O309">
    <cfRule type="expression" dxfId="953" priority="2771">
      <formula>O305&lt;(O306+O307+O308)</formula>
    </cfRule>
    <cfRule type="expression" dxfId="952" priority="2777">
      <formula>(O308+O307+O306)&gt;O304</formula>
    </cfRule>
  </conditionalFormatting>
  <conditionalFormatting sqref="O313">
    <cfRule type="expression" dxfId="951" priority="2898">
      <formula>O314&gt;O313</formula>
    </cfRule>
    <cfRule type="cellIs" dxfId="950" priority="2900" operator="equal">
      <formula>0</formula>
    </cfRule>
  </conditionalFormatting>
  <conditionalFormatting sqref="O314">
    <cfRule type="expression" dxfId="949" priority="2702">
      <formula>O314&lt;(O315+O316+O317)</formula>
    </cfRule>
    <cfRule type="expression" dxfId="948" priority="2703">
      <formula>O314&gt;O313</formula>
    </cfRule>
    <cfRule type="cellIs" dxfId="947" priority="2704" operator="equal">
      <formula>0</formula>
    </cfRule>
  </conditionalFormatting>
  <conditionalFormatting sqref="O315">
    <cfRule type="expression" dxfId="946" priority="2701">
      <formula>O314&lt;(O315+O316+O317)</formula>
    </cfRule>
    <cfRule type="expression" dxfId="945" priority="2707">
      <formula>(O317+O316+O315)&gt;O313</formula>
    </cfRule>
  </conditionalFormatting>
  <conditionalFormatting sqref="O316">
    <cfRule type="expression" dxfId="944" priority="2700">
      <formula>O314&lt;(O315+O316+O317)</formula>
    </cfRule>
    <cfRule type="expression" dxfId="943" priority="2706">
      <formula>(O317+O316+O315)&gt;O313</formula>
    </cfRule>
  </conditionalFormatting>
  <conditionalFormatting sqref="O317:O318">
    <cfRule type="expression" dxfId="942" priority="840">
      <formula>O314&lt;(O315+O316+O317)</formula>
    </cfRule>
    <cfRule type="expression" dxfId="941" priority="841">
      <formula>(O317+O316+O315)&gt;O313</formula>
    </cfRule>
  </conditionalFormatting>
  <conditionalFormatting sqref="Q124">
    <cfRule type="cellIs" dxfId="940" priority="1329" operator="equal">
      <formula>0</formula>
    </cfRule>
  </conditionalFormatting>
  <conditionalFormatting sqref="Q150">
    <cfRule type="expression" dxfId="939" priority="4273">
      <formula>(Q151+Q152)&gt;Q150</formula>
    </cfRule>
  </conditionalFormatting>
  <conditionalFormatting sqref="Q151">
    <cfRule type="expression" dxfId="938" priority="4236">
      <formula>Q185&gt;Q151</formula>
    </cfRule>
  </conditionalFormatting>
  <conditionalFormatting sqref="Q152">
    <cfRule type="expression" dxfId="937" priority="4272">
      <formula>Q153&gt;Q152</formula>
    </cfRule>
  </conditionalFormatting>
  <conditionalFormatting sqref="Q158:Q159">
    <cfRule type="cellIs" dxfId="936" priority="4085" operator="equal">
      <formula>0</formula>
    </cfRule>
  </conditionalFormatting>
  <conditionalFormatting sqref="Q160">
    <cfRule type="expression" dxfId="935" priority="4271">
      <formula>Q161&gt;Q160</formula>
    </cfRule>
  </conditionalFormatting>
  <conditionalFormatting sqref="Q164">
    <cfRule type="expression" dxfId="934" priority="4270">
      <formula>Q165&gt;Q164</formula>
    </cfRule>
  </conditionalFormatting>
  <conditionalFormatting sqref="Q166">
    <cfRule type="expression" dxfId="933" priority="3739">
      <formula>Q167&gt;Q166</formula>
    </cfRule>
  </conditionalFormatting>
  <conditionalFormatting sqref="Q167">
    <cfRule type="expression" dxfId="932" priority="3740">
      <formula>Q167&gt;Q166</formula>
    </cfRule>
  </conditionalFormatting>
  <conditionalFormatting sqref="Q168">
    <cfRule type="expression" dxfId="931" priority="4269">
      <formula>Q169&gt;Q168</formula>
    </cfRule>
  </conditionalFormatting>
  <conditionalFormatting sqref="Q176">
    <cfRule type="cellIs" dxfId="930" priority="667" operator="equal">
      <formula>0</formula>
    </cfRule>
  </conditionalFormatting>
  <conditionalFormatting sqref="Q177">
    <cfRule type="expression" dxfId="929" priority="709">
      <formula>Q176&lt;&gt;Q177+Q178+Q179+Q180</formula>
    </cfRule>
  </conditionalFormatting>
  <conditionalFormatting sqref="Q178">
    <cfRule type="expression" dxfId="928" priority="708">
      <formula>Q176&lt;&gt;Q177+Q178+Q179+Q180</formula>
    </cfRule>
  </conditionalFormatting>
  <conditionalFormatting sqref="Q179">
    <cfRule type="expression" dxfId="927" priority="707">
      <formula>Q176&lt;&gt;Q177+Q178+Q179+Q180</formula>
    </cfRule>
  </conditionalFormatting>
  <conditionalFormatting sqref="Q180">
    <cfRule type="expression" dxfId="926" priority="706">
      <formula>Q176&lt;&gt;Q177+Q178+Q179+Q180</formula>
    </cfRule>
  </conditionalFormatting>
  <conditionalFormatting sqref="Q185">
    <cfRule type="expression" dxfId="925" priority="3621">
      <formula>Q185&gt;Q151</formula>
    </cfRule>
  </conditionalFormatting>
  <conditionalFormatting sqref="Q187">
    <cfRule type="cellIs" dxfId="924" priority="4070" operator="equal">
      <formula>0</formula>
    </cfRule>
  </conditionalFormatting>
  <conditionalFormatting sqref="Q188">
    <cfRule type="expression" dxfId="923" priority="3581">
      <formula>Q188&lt;&gt;Q161</formula>
    </cfRule>
    <cfRule type="cellIs" dxfId="922" priority="3582" operator="equal">
      <formula>0</formula>
    </cfRule>
  </conditionalFormatting>
  <conditionalFormatting sqref="Q189">
    <cfRule type="expression" dxfId="921" priority="3551">
      <formula>Q189&lt;&gt;Q163</formula>
    </cfRule>
    <cfRule type="cellIs" dxfId="920" priority="3552" operator="equal">
      <formula>0</formula>
    </cfRule>
  </conditionalFormatting>
  <conditionalFormatting sqref="Q191">
    <cfRule type="expression" dxfId="919" priority="3346">
      <formula>Q191&gt;Q167</formula>
    </cfRule>
  </conditionalFormatting>
  <conditionalFormatting sqref="Q193">
    <cfRule type="expression" dxfId="918" priority="3526">
      <formula>Q193&gt;Q171</formula>
    </cfRule>
  </conditionalFormatting>
  <conditionalFormatting sqref="Q194:Q195">
    <cfRule type="expression" dxfId="917" priority="1407">
      <formula>Q194&gt;Q173</formula>
    </cfRule>
  </conditionalFormatting>
  <conditionalFormatting sqref="Q295">
    <cfRule type="expression" dxfId="916" priority="2871">
      <formula>Q296&gt;Q295</formula>
    </cfRule>
    <cfRule type="cellIs" dxfId="915" priority="2873" operator="equal">
      <formula>0</formula>
    </cfRule>
  </conditionalFormatting>
  <conditionalFormatting sqref="Q296">
    <cfRule type="expression" dxfId="914" priority="2837">
      <formula>Q296&lt;(Q297+Q298+Q299)</formula>
    </cfRule>
    <cfRule type="expression" dxfId="913" priority="2838">
      <formula>Q296&gt;Q295</formula>
    </cfRule>
    <cfRule type="cellIs" dxfId="912" priority="2839" operator="equal">
      <formula>0</formula>
    </cfRule>
  </conditionalFormatting>
  <conditionalFormatting sqref="Q297">
    <cfRule type="expression" dxfId="911" priority="2836">
      <formula>Q296&lt;(Q297+Q298+Q299)</formula>
    </cfRule>
    <cfRule type="expression" dxfId="910" priority="2842">
      <formula>(Q299+Q298+Q297)&gt;Q295</formula>
    </cfRule>
  </conditionalFormatting>
  <conditionalFormatting sqref="Q298">
    <cfRule type="expression" dxfId="909" priority="2835">
      <formula>Q296&lt;(Q297+Q298+Q299)</formula>
    </cfRule>
    <cfRule type="expression" dxfId="908" priority="2841">
      <formula>(Q299+Q298+Q297)&gt;Q295</formula>
    </cfRule>
  </conditionalFormatting>
  <conditionalFormatting sqref="Q299:Q300">
    <cfRule type="expression" dxfId="907" priority="856">
      <formula>Q296&lt;(Q297+Q298+Q299)</formula>
    </cfRule>
    <cfRule type="expression" dxfId="906" priority="857">
      <formula>(Q299+Q298+Q297)&gt;Q295</formula>
    </cfRule>
  </conditionalFormatting>
  <conditionalFormatting sqref="Q304">
    <cfRule type="expression" dxfId="905" priority="2919">
      <formula>Q305&gt;Q304</formula>
    </cfRule>
    <cfRule type="cellIs" dxfId="904" priority="2921" operator="equal">
      <formula>0</formula>
    </cfRule>
  </conditionalFormatting>
  <conditionalFormatting sqref="Q305">
    <cfRule type="expression" dxfId="903" priority="2765">
      <formula>Q305&lt;(Q306+Q307+Q308)</formula>
    </cfRule>
    <cfRule type="expression" dxfId="902" priority="2766">
      <formula>Q305&gt;Q304</formula>
    </cfRule>
    <cfRule type="cellIs" dxfId="901" priority="2767" operator="equal">
      <formula>0</formula>
    </cfRule>
  </conditionalFormatting>
  <conditionalFormatting sqref="Q306">
    <cfRule type="expression" dxfId="900" priority="2764">
      <formula>Q305&lt;(Q306+Q307+Q308)</formula>
    </cfRule>
    <cfRule type="expression" dxfId="899" priority="2770">
      <formula>(Q308+Q307+Q306)&gt;Q304</formula>
    </cfRule>
  </conditionalFormatting>
  <conditionalFormatting sqref="Q307">
    <cfRule type="expression" dxfId="898" priority="2763">
      <formula>Q305&lt;(Q306+Q307+Q308)</formula>
    </cfRule>
    <cfRule type="expression" dxfId="897" priority="2769">
      <formula>(Q308+Q307+Q306)&gt;Q304</formula>
    </cfRule>
  </conditionalFormatting>
  <conditionalFormatting sqref="Q308:Q309">
    <cfRule type="expression" dxfId="896" priority="2762">
      <formula>Q305&lt;(Q306+Q307+Q308)</formula>
    </cfRule>
    <cfRule type="expression" dxfId="895" priority="2768">
      <formula>(Q308+Q307+Q306)&gt;Q304</formula>
    </cfRule>
  </conditionalFormatting>
  <conditionalFormatting sqref="Q313">
    <cfRule type="expression" dxfId="894" priority="2895">
      <formula>Q314&gt;Q313</formula>
    </cfRule>
    <cfRule type="cellIs" dxfId="893" priority="2897" operator="equal">
      <formula>0</formula>
    </cfRule>
  </conditionalFormatting>
  <conditionalFormatting sqref="Q314">
    <cfRule type="expression" dxfId="892" priority="2693">
      <formula>Q314&lt;(Q315+Q316+Q317)</formula>
    </cfRule>
    <cfRule type="expression" dxfId="891" priority="2694">
      <formula>Q314&gt;Q313</formula>
    </cfRule>
    <cfRule type="cellIs" dxfId="890" priority="2695" operator="equal">
      <formula>0</formula>
    </cfRule>
  </conditionalFormatting>
  <conditionalFormatting sqref="Q315">
    <cfRule type="expression" dxfId="889" priority="2692">
      <formula>Q314&lt;(Q315+Q316+Q317)</formula>
    </cfRule>
    <cfRule type="expression" dxfId="888" priority="2698">
      <formula>(Q317+Q316+Q315)&gt;Q313</formula>
    </cfRule>
  </conditionalFormatting>
  <conditionalFormatting sqref="Q316">
    <cfRule type="expression" dxfId="887" priority="2691">
      <formula>Q314&lt;(Q315+Q316+Q317)</formula>
    </cfRule>
    <cfRule type="expression" dxfId="886" priority="2697">
      <formula>(Q317+Q316+Q315)&gt;Q313</formula>
    </cfRule>
  </conditionalFormatting>
  <conditionalFormatting sqref="Q317:Q318">
    <cfRule type="expression" dxfId="885" priority="838">
      <formula>Q314&lt;(Q315+Q316+Q317)</formula>
    </cfRule>
    <cfRule type="expression" dxfId="884" priority="839">
      <formula>(Q317+Q316+Q315)&gt;Q313</formula>
    </cfRule>
  </conditionalFormatting>
  <conditionalFormatting sqref="S124">
    <cfRule type="cellIs" dxfId="883" priority="1328" operator="equal">
      <formula>0</formula>
    </cfRule>
  </conditionalFormatting>
  <conditionalFormatting sqref="S150">
    <cfRule type="expression" dxfId="882" priority="4268">
      <formula>(S151+S152)&gt;S150</formula>
    </cfRule>
  </conditionalFormatting>
  <conditionalFormatting sqref="S151">
    <cfRule type="expression" dxfId="881" priority="4235">
      <formula>S185&gt;S151</formula>
    </cfRule>
  </conditionalFormatting>
  <conditionalFormatting sqref="S152">
    <cfRule type="expression" dxfId="880" priority="4267">
      <formula>S153&gt;S152</formula>
    </cfRule>
  </conditionalFormatting>
  <conditionalFormatting sqref="S158:S159">
    <cfRule type="cellIs" dxfId="879" priority="4084" operator="equal">
      <formula>0</formula>
    </cfRule>
  </conditionalFormatting>
  <conditionalFormatting sqref="S160">
    <cfRule type="expression" dxfId="878" priority="4266">
      <formula>S161&gt;S160</formula>
    </cfRule>
  </conditionalFormatting>
  <conditionalFormatting sqref="S164">
    <cfRule type="expression" dxfId="877" priority="4265">
      <formula>S165&gt;S164</formula>
    </cfRule>
  </conditionalFormatting>
  <conditionalFormatting sqref="S166">
    <cfRule type="expression" dxfId="876" priority="3737">
      <formula>S167&gt;S166</formula>
    </cfRule>
  </conditionalFormatting>
  <conditionalFormatting sqref="S167">
    <cfRule type="expression" dxfId="875" priority="3738">
      <formula>S167&gt;S166</formula>
    </cfRule>
  </conditionalFormatting>
  <conditionalFormatting sqref="S168">
    <cfRule type="expression" dxfId="874" priority="4264">
      <formula>S169&gt;S168</formula>
    </cfRule>
  </conditionalFormatting>
  <conditionalFormatting sqref="S176">
    <cfRule type="cellIs" dxfId="873" priority="666" operator="equal">
      <formula>0</formula>
    </cfRule>
  </conditionalFormatting>
  <conditionalFormatting sqref="S177">
    <cfRule type="expression" dxfId="872" priority="705">
      <formula>S176&lt;&gt;S177+S178+S179+S180</formula>
    </cfRule>
  </conditionalFormatting>
  <conditionalFormatting sqref="S178">
    <cfRule type="expression" dxfId="871" priority="704">
      <formula>S176&lt;&gt;S177+S178+S179+S180</formula>
    </cfRule>
  </conditionalFormatting>
  <conditionalFormatting sqref="S179">
    <cfRule type="expression" dxfId="870" priority="703">
      <formula>S176&lt;&gt;S177+S178+S179+S180</formula>
    </cfRule>
  </conditionalFormatting>
  <conditionalFormatting sqref="S180">
    <cfRule type="expression" dxfId="869" priority="702">
      <formula>S176&lt;&gt;S177+S178+S179+S180</formula>
    </cfRule>
  </conditionalFormatting>
  <conditionalFormatting sqref="S185">
    <cfRule type="expression" dxfId="868" priority="3620">
      <formula>S185&gt;S151</formula>
    </cfRule>
  </conditionalFormatting>
  <conditionalFormatting sqref="S187">
    <cfRule type="cellIs" dxfId="867" priority="4069" operator="equal">
      <formula>0</formula>
    </cfRule>
  </conditionalFormatting>
  <conditionalFormatting sqref="S188">
    <cfRule type="expression" dxfId="866" priority="3579">
      <formula>S188&lt;&gt;S161</formula>
    </cfRule>
    <cfRule type="cellIs" dxfId="865" priority="3580" operator="equal">
      <formula>0</formula>
    </cfRule>
  </conditionalFormatting>
  <conditionalFormatting sqref="S189">
    <cfRule type="expression" dxfId="864" priority="3549">
      <formula>S189&lt;&gt;S163</formula>
    </cfRule>
    <cfRule type="cellIs" dxfId="863" priority="3550" operator="equal">
      <formula>0</formula>
    </cfRule>
  </conditionalFormatting>
  <conditionalFormatting sqref="S191">
    <cfRule type="expression" dxfId="862" priority="3345">
      <formula>S191&gt;S167</formula>
    </cfRule>
  </conditionalFormatting>
  <conditionalFormatting sqref="S193">
    <cfRule type="expression" dxfId="861" priority="3525">
      <formula>S193&gt;S171</formula>
    </cfRule>
  </conditionalFormatting>
  <conditionalFormatting sqref="S194:S195">
    <cfRule type="expression" dxfId="860" priority="1406">
      <formula>S194&gt;S173</formula>
    </cfRule>
  </conditionalFormatting>
  <conditionalFormatting sqref="S295">
    <cfRule type="expression" dxfId="859" priority="2868">
      <formula>S296&gt;S295</formula>
    </cfRule>
    <cfRule type="cellIs" dxfId="858" priority="2870" operator="equal">
      <formula>0</formula>
    </cfRule>
  </conditionalFormatting>
  <conditionalFormatting sqref="S296">
    <cfRule type="expression" dxfId="857" priority="2828">
      <formula>S296&lt;(S297+S298+S299)</formula>
    </cfRule>
    <cfRule type="expression" dxfId="856" priority="2829">
      <formula>S296&gt;S295</formula>
    </cfRule>
    <cfRule type="cellIs" dxfId="855" priority="2830" operator="equal">
      <formula>0</formula>
    </cfRule>
  </conditionalFormatting>
  <conditionalFormatting sqref="S297">
    <cfRule type="expression" dxfId="854" priority="2827">
      <formula>S296&lt;(S297+S298+S299)</formula>
    </cfRule>
    <cfRule type="expression" dxfId="853" priority="2833">
      <formula>(S299+S298+S297)&gt;S295</formula>
    </cfRule>
  </conditionalFormatting>
  <conditionalFormatting sqref="S298">
    <cfRule type="expression" dxfId="852" priority="2826">
      <formula>S296&lt;(S297+S298+S299)</formula>
    </cfRule>
    <cfRule type="expression" dxfId="851" priority="2832">
      <formula>(S299+S298+S297)&gt;S295</formula>
    </cfRule>
  </conditionalFormatting>
  <conditionalFormatting sqref="S299:S300">
    <cfRule type="expression" dxfId="850" priority="854">
      <formula>S296&lt;(S297+S298+S299)</formula>
    </cfRule>
    <cfRule type="expression" dxfId="849" priority="855">
      <formula>(S299+S298+S297)&gt;S295</formula>
    </cfRule>
  </conditionalFormatting>
  <conditionalFormatting sqref="S304">
    <cfRule type="expression" dxfId="848" priority="2916">
      <formula>S305&gt;S304</formula>
    </cfRule>
    <cfRule type="cellIs" dxfId="847" priority="2918" operator="equal">
      <formula>0</formula>
    </cfRule>
  </conditionalFormatting>
  <conditionalFormatting sqref="S305">
    <cfRule type="expression" dxfId="846" priority="2756">
      <formula>S305&lt;(S306+S307+S308)</formula>
    </cfRule>
    <cfRule type="expression" dxfId="845" priority="2757">
      <formula>S305&gt;S304</formula>
    </cfRule>
    <cfRule type="cellIs" dxfId="844" priority="2758" operator="equal">
      <formula>0</formula>
    </cfRule>
  </conditionalFormatting>
  <conditionalFormatting sqref="S306">
    <cfRule type="expression" dxfId="843" priority="2755">
      <formula>S305&lt;(S306+S307+S308)</formula>
    </cfRule>
    <cfRule type="expression" dxfId="842" priority="2761">
      <formula>(S308+S307+S306)&gt;S304</formula>
    </cfRule>
  </conditionalFormatting>
  <conditionalFormatting sqref="S307">
    <cfRule type="expression" dxfId="841" priority="2754">
      <formula>S305&lt;(S306+S307+S308)</formula>
    </cfRule>
    <cfRule type="expression" dxfId="840" priority="2760">
      <formula>(S308+S307+S306)&gt;S304</formula>
    </cfRule>
  </conditionalFormatting>
  <conditionalFormatting sqref="S308:S309">
    <cfRule type="expression" dxfId="839" priority="2753">
      <formula>S305&lt;(S306+S307+S308)</formula>
    </cfRule>
    <cfRule type="expression" dxfId="838" priority="2759">
      <formula>(S308+S307+S306)&gt;S304</formula>
    </cfRule>
  </conditionalFormatting>
  <conditionalFormatting sqref="S313">
    <cfRule type="expression" dxfId="837" priority="2892">
      <formula>S314&gt;S313</formula>
    </cfRule>
    <cfRule type="cellIs" dxfId="836" priority="2894" operator="equal">
      <formula>0</formula>
    </cfRule>
  </conditionalFormatting>
  <conditionalFormatting sqref="S314">
    <cfRule type="expression" dxfId="835" priority="2684">
      <formula>S314&lt;(S315+S316+S317)</formula>
    </cfRule>
    <cfRule type="expression" dxfId="834" priority="2685">
      <formula>S314&gt;S313</formula>
    </cfRule>
    <cfRule type="cellIs" dxfId="833" priority="2686" operator="equal">
      <formula>0</formula>
    </cfRule>
  </conditionalFormatting>
  <conditionalFormatting sqref="S315">
    <cfRule type="expression" dxfId="832" priority="2683">
      <formula>S314&lt;(S315+S316+S317)</formula>
    </cfRule>
    <cfRule type="expression" dxfId="831" priority="2689">
      <formula>(S317+S316+S315)&gt;S313</formula>
    </cfRule>
  </conditionalFormatting>
  <conditionalFormatting sqref="S316">
    <cfRule type="expression" dxfId="830" priority="2682">
      <formula>S314&lt;(S315+S316+S317)</formula>
    </cfRule>
    <cfRule type="expression" dxfId="829" priority="2688">
      <formula>(S317+S316+S315)&gt;S313</formula>
    </cfRule>
  </conditionalFormatting>
  <conditionalFormatting sqref="S317:S318">
    <cfRule type="expression" dxfId="828" priority="836">
      <formula>S314&lt;(S315+S316+S317)</formula>
    </cfRule>
    <cfRule type="expression" dxfId="827" priority="837">
      <formula>(S317+S316+S315)&gt;S313</formula>
    </cfRule>
  </conditionalFormatting>
  <conditionalFormatting sqref="U124">
    <cfRule type="cellIs" dxfId="826" priority="1327" operator="equal">
      <formula>0</formula>
    </cfRule>
  </conditionalFormatting>
  <conditionalFormatting sqref="U150">
    <cfRule type="expression" dxfId="825" priority="4263">
      <formula>(U151+U152)&gt;U150</formula>
    </cfRule>
  </conditionalFormatting>
  <conditionalFormatting sqref="U151">
    <cfRule type="expression" dxfId="824" priority="4234">
      <formula>U185&gt;U151</formula>
    </cfRule>
  </conditionalFormatting>
  <conditionalFormatting sqref="U152">
    <cfRule type="expression" dxfId="823" priority="4262">
      <formula>U153&gt;U152</formula>
    </cfRule>
  </conditionalFormatting>
  <conditionalFormatting sqref="U158:U159">
    <cfRule type="cellIs" dxfId="822" priority="4083" operator="equal">
      <formula>0</formula>
    </cfRule>
  </conditionalFormatting>
  <conditionalFormatting sqref="U160">
    <cfRule type="expression" dxfId="821" priority="4261">
      <formula>U161&gt;U160</formula>
    </cfRule>
  </conditionalFormatting>
  <conditionalFormatting sqref="U164">
    <cfRule type="expression" dxfId="820" priority="4260">
      <formula>U165&gt;U164</formula>
    </cfRule>
  </conditionalFormatting>
  <conditionalFormatting sqref="U166">
    <cfRule type="expression" dxfId="819" priority="3735">
      <formula>U167&gt;U166</formula>
    </cfRule>
  </conditionalFormatting>
  <conditionalFormatting sqref="U167">
    <cfRule type="expression" dxfId="818" priority="3736">
      <formula>U167&gt;U166</formula>
    </cfRule>
  </conditionalFormatting>
  <conditionalFormatting sqref="U168">
    <cfRule type="expression" dxfId="817" priority="4259">
      <formula>U169&gt;U168</formula>
    </cfRule>
  </conditionalFormatting>
  <conditionalFormatting sqref="U176">
    <cfRule type="cellIs" dxfId="816" priority="665" operator="equal">
      <formula>0</formula>
    </cfRule>
  </conditionalFormatting>
  <conditionalFormatting sqref="U177">
    <cfRule type="expression" dxfId="815" priority="701">
      <formula>U176&lt;&gt;U177+U178+U179+U180</formula>
    </cfRule>
  </conditionalFormatting>
  <conditionalFormatting sqref="U178">
    <cfRule type="expression" dxfId="814" priority="700">
      <formula>U176&lt;&gt;U177+U178+U179+U180</formula>
    </cfRule>
  </conditionalFormatting>
  <conditionalFormatting sqref="U179">
    <cfRule type="expression" dxfId="813" priority="699">
      <formula>U176&lt;&gt;U177+U178+U179+U180</formula>
    </cfRule>
  </conditionalFormatting>
  <conditionalFormatting sqref="U180">
    <cfRule type="expression" dxfId="812" priority="698">
      <formula>U176&lt;&gt;U177+U178+U179+U180</formula>
    </cfRule>
  </conditionalFormatting>
  <conditionalFormatting sqref="U185">
    <cfRule type="expression" dxfId="811" priority="3619">
      <formula>U185&gt;U151</formula>
    </cfRule>
  </conditionalFormatting>
  <conditionalFormatting sqref="U187">
    <cfRule type="cellIs" dxfId="810" priority="4068" operator="equal">
      <formula>0</formula>
    </cfRule>
  </conditionalFormatting>
  <conditionalFormatting sqref="U188">
    <cfRule type="expression" dxfId="809" priority="3577">
      <formula>U188&lt;&gt;U161</formula>
    </cfRule>
    <cfRule type="cellIs" dxfId="808" priority="3578" operator="equal">
      <formula>0</formula>
    </cfRule>
  </conditionalFormatting>
  <conditionalFormatting sqref="U189">
    <cfRule type="expression" dxfId="807" priority="3547">
      <formula>U189&lt;&gt;U163</formula>
    </cfRule>
    <cfRule type="cellIs" dxfId="806" priority="3548" operator="equal">
      <formula>0</formula>
    </cfRule>
  </conditionalFormatting>
  <conditionalFormatting sqref="U191">
    <cfRule type="expression" dxfId="805" priority="3344">
      <formula>U191&gt;U167</formula>
    </cfRule>
  </conditionalFormatting>
  <conditionalFormatting sqref="U193">
    <cfRule type="expression" dxfId="804" priority="3524">
      <formula>U193&gt;U171</formula>
    </cfRule>
  </conditionalFormatting>
  <conditionalFormatting sqref="U194:U195">
    <cfRule type="expression" dxfId="803" priority="1405">
      <formula>U194&gt;U173</formula>
    </cfRule>
  </conditionalFormatting>
  <conditionalFormatting sqref="U295">
    <cfRule type="expression" dxfId="802" priority="2865">
      <formula>U296&gt;U295</formula>
    </cfRule>
    <cfRule type="cellIs" dxfId="801" priority="2867" operator="equal">
      <formula>0</formula>
    </cfRule>
  </conditionalFormatting>
  <conditionalFormatting sqref="U296">
    <cfRule type="expression" dxfId="800" priority="2819">
      <formula>U296&lt;(U297+U298+U299)</formula>
    </cfRule>
    <cfRule type="expression" dxfId="799" priority="2820">
      <formula>U296&gt;U295</formula>
    </cfRule>
    <cfRule type="cellIs" dxfId="798" priority="2821" operator="equal">
      <formula>0</formula>
    </cfRule>
  </conditionalFormatting>
  <conditionalFormatting sqref="U297">
    <cfRule type="expression" dxfId="797" priority="2818">
      <formula>U296&lt;(U297+U298+U299)</formula>
    </cfRule>
    <cfRule type="expression" dxfId="796" priority="2824">
      <formula>(U299+U298+U297)&gt;U295</formula>
    </cfRule>
  </conditionalFormatting>
  <conditionalFormatting sqref="U298">
    <cfRule type="expression" dxfId="795" priority="2817">
      <formula>U296&lt;(U297+U298+U299)</formula>
    </cfRule>
    <cfRule type="expression" dxfId="794" priority="2823">
      <formula>(U299+U298+U297)&gt;U295</formula>
    </cfRule>
  </conditionalFormatting>
  <conditionalFormatting sqref="U299:U300">
    <cfRule type="expression" dxfId="793" priority="852">
      <formula>U296&lt;(U297+U298+U299)</formula>
    </cfRule>
    <cfRule type="expression" dxfId="792" priority="853">
      <formula>(U299+U298+U297)&gt;U295</formula>
    </cfRule>
  </conditionalFormatting>
  <conditionalFormatting sqref="U304">
    <cfRule type="expression" dxfId="791" priority="2913">
      <formula>U305&gt;U304</formula>
    </cfRule>
    <cfRule type="cellIs" dxfId="790" priority="2915" operator="equal">
      <formula>0</formula>
    </cfRule>
  </conditionalFormatting>
  <conditionalFormatting sqref="U305">
    <cfRule type="expression" dxfId="789" priority="2747">
      <formula>U305&lt;(U306+U307+U308)</formula>
    </cfRule>
    <cfRule type="expression" dxfId="788" priority="2748">
      <formula>U305&gt;U304</formula>
    </cfRule>
    <cfRule type="cellIs" dxfId="787" priority="2749" operator="equal">
      <formula>0</formula>
    </cfRule>
  </conditionalFormatting>
  <conditionalFormatting sqref="U306">
    <cfRule type="expression" dxfId="786" priority="2746">
      <formula>U305&lt;(U306+U307+U308)</formula>
    </cfRule>
    <cfRule type="expression" dxfId="785" priority="2752">
      <formula>(U308+U307+U306)&gt;U304</formula>
    </cfRule>
  </conditionalFormatting>
  <conditionalFormatting sqref="U307">
    <cfRule type="expression" dxfId="784" priority="2745">
      <formula>U305&lt;(U306+U307+U308)</formula>
    </cfRule>
    <cfRule type="expression" dxfId="783" priority="2751">
      <formula>(U308+U307+U306)&gt;U304</formula>
    </cfRule>
  </conditionalFormatting>
  <conditionalFormatting sqref="U308:U309">
    <cfRule type="expression" dxfId="782" priority="2744">
      <formula>U305&lt;(U306+U307+U308)</formula>
    </cfRule>
    <cfRule type="expression" dxfId="781" priority="2750">
      <formula>(U308+U307+U306)&gt;U304</formula>
    </cfRule>
  </conditionalFormatting>
  <conditionalFormatting sqref="U313">
    <cfRule type="expression" dxfId="780" priority="2889">
      <formula>U314&gt;U313</formula>
    </cfRule>
    <cfRule type="cellIs" dxfId="779" priority="2891" operator="equal">
      <formula>0</formula>
    </cfRule>
  </conditionalFormatting>
  <conditionalFormatting sqref="U314">
    <cfRule type="expression" dxfId="778" priority="2675">
      <formula>U314&lt;(U315+U316+U317)</formula>
    </cfRule>
    <cfRule type="expression" dxfId="777" priority="2676">
      <formula>U314&gt;U313</formula>
    </cfRule>
    <cfRule type="cellIs" dxfId="776" priority="2677" operator="equal">
      <formula>0</formula>
    </cfRule>
  </conditionalFormatting>
  <conditionalFormatting sqref="U315">
    <cfRule type="expression" dxfId="775" priority="2674">
      <formula>U314&lt;(U315+U316+U317)</formula>
    </cfRule>
    <cfRule type="expression" dxfId="774" priority="2680">
      <formula>(U317+U316+U315)&gt;U313</formula>
    </cfRule>
  </conditionalFormatting>
  <conditionalFormatting sqref="U316">
    <cfRule type="expression" dxfId="773" priority="2673">
      <formula>U314&lt;(U315+U316+U317)</formula>
    </cfRule>
    <cfRule type="expression" dxfId="772" priority="2679">
      <formula>(U317+U316+U315)&gt;U313</formula>
    </cfRule>
  </conditionalFormatting>
  <conditionalFormatting sqref="U317:U318">
    <cfRule type="expression" dxfId="771" priority="834">
      <formula>U314&lt;(U315+U316+U317)</formula>
    </cfRule>
    <cfRule type="expression" dxfId="770" priority="835">
      <formula>(U317+U316+U315)&gt;U313</formula>
    </cfRule>
  </conditionalFormatting>
  <conditionalFormatting sqref="W124">
    <cfRule type="cellIs" dxfId="769" priority="1326" operator="equal">
      <formula>0</formula>
    </cfRule>
  </conditionalFormatting>
  <conditionalFormatting sqref="W150">
    <cfRule type="expression" dxfId="768" priority="4258">
      <formula>(W151+W152)&gt;W150</formula>
    </cfRule>
  </conditionalFormatting>
  <conditionalFormatting sqref="W151">
    <cfRule type="expression" dxfId="767" priority="4233">
      <formula>W185&gt;W151</formula>
    </cfRule>
  </conditionalFormatting>
  <conditionalFormatting sqref="W152">
    <cfRule type="expression" dxfId="766" priority="4257">
      <formula>W153&gt;W152</formula>
    </cfRule>
  </conditionalFormatting>
  <conditionalFormatting sqref="W158:W159">
    <cfRule type="cellIs" dxfId="765" priority="4082" operator="equal">
      <formula>0</formula>
    </cfRule>
  </conditionalFormatting>
  <conditionalFormatting sqref="W160">
    <cfRule type="expression" dxfId="764" priority="4256">
      <formula>W161&gt;W160</formula>
    </cfRule>
  </conditionalFormatting>
  <conditionalFormatting sqref="W164">
    <cfRule type="expression" dxfId="763" priority="4255">
      <formula>W165&gt;W164</formula>
    </cfRule>
  </conditionalFormatting>
  <conditionalFormatting sqref="W166">
    <cfRule type="expression" dxfId="762" priority="3733">
      <formula>W167&gt;W166</formula>
    </cfRule>
  </conditionalFormatting>
  <conditionalFormatting sqref="W167">
    <cfRule type="expression" dxfId="761" priority="3734">
      <formula>W167&gt;W166</formula>
    </cfRule>
  </conditionalFormatting>
  <conditionalFormatting sqref="W168">
    <cfRule type="expression" dxfId="760" priority="4254">
      <formula>W169&gt;W168</formula>
    </cfRule>
  </conditionalFormatting>
  <conditionalFormatting sqref="W176">
    <cfRule type="cellIs" dxfId="759" priority="664" operator="equal">
      <formula>0</formula>
    </cfRule>
  </conditionalFormatting>
  <conditionalFormatting sqref="W177">
    <cfRule type="expression" dxfId="758" priority="697">
      <formula>W176&lt;&gt;W177+W178+W179+W180</formula>
    </cfRule>
  </conditionalFormatting>
  <conditionalFormatting sqref="W178">
    <cfRule type="expression" dxfId="757" priority="696">
      <formula>W176&lt;&gt;W177+W178+W179+W180</formula>
    </cfRule>
  </conditionalFormatting>
  <conditionalFormatting sqref="W179">
    <cfRule type="expression" dxfId="756" priority="695">
      <formula>W176&lt;&gt;W177+W178+W179+W180</formula>
    </cfRule>
  </conditionalFormatting>
  <conditionalFormatting sqref="W180">
    <cfRule type="expression" dxfId="755" priority="694">
      <formula>W176&lt;&gt;W177+W178+W179+W180</formula>
    </cfRule>
  </conditionalFormatting>
  <conditionalFormatting sqref="W185">
    <cfRule type="expression" dxfId="754" priority="3618">
      <formula>W185&gt;W151</formula>
    </cfRule>
  </conditionalFormatting>
  <conditionalFormatting sqref="W187">
    <cfRule type="cellIs" dxfId="753" priority="4067" operator="equal">
      <formula>0</formula>
    </cfRule>
  </conditionalFormatting>
  <conditionalFormatting sqref="W188">
    <cfRule type="expression" dxfId="752" priority="3575">
      <formula>W188&lt;&gt;W161</formula>
    </cfRule>
    <cfRule type="cellIs" dxfId="751" priority="3576" operator="equal">
      <formula>0</formula>
    </cfRule>
  </conditionalFormatting>
  <conditionalFormatting sqref="W189">
    <cfRule type="expression" dxfId="750" priority="3545">
      <formula>W189&lt;&gt;W163</formula>
    </cfRule>
    <cfRule type="cellIs" dxfId="749" priority="3546" operator="equal">
      <formula>0</formula>
    </cfRule>
  </conditionalFormatting>
  <conditionalFormatting sqref="W191">
    <cfRule type="expression" dxfId="748" priority="3343">
      <formula>W191&gt;W167</formula>
    </cfRule>
  </conditionalFormatting>
  <conditionalFormatting sqref="W193">
    <cfRule type="expression" dxfId="747" priority="3523">
      <formula>W193&gt;W171</formula>
    </cfRule>
  </conditionalFormatting>
  <conditionalFormatting sqref="W194:W195">
    <cfRule type="expression" dxfId="746" priority="1404">
      <formula>W194&gt;W173</formula>
    </cfRule>
  </conditionalFormatting>
  <conditionalFormatting sqref="W295">
    <cfRule type="expression" dxfId="745" priority="2862">
      <formula>W296&gt;W295</formula>
    </cfRule>
    <cfRule type="cellIs" dxfId="744" priority="2864" operator="equal">
      <formula>0</formula>
    </cfRule>
  </conditionalFormatting>
  <conditionalFormatting sqref="W296">
    <cfRule type="expression" dxfId="743" priority="2810">
      <formula>W296&lt;(W297+W298+W299)</formula>
    </cfRule>
    <cfRule type="expression" dxfId="742" priority="2811">
      <formula>W296&gt;W295</formula>
    </cfRule>
    <cfRule type="cellIs" dxfId="741" priority="2812" operator="equal">
      <formula>0</formula>
    </cfRule>
  </conditionalFormatting>
  <conditionalFormatting sqref="W297">
    <cfRule type="expression" dxfId="740" priority="2809">
      <formula>W296&lt;(W297+W298+W299)</formula>
    </cfRule>
    <cfRule type="expression" dxfId="739" priority="2815">
      <formula>(W299+W298+W297)&gt;W295</formula>
    </cfRule>
  </conditionalFormatting>
  <conditionalFormatting sqref="W298">
    <cfRule type="expression" dxfId="738" priority="2808">
      <formula>W296&lt;(W297+W298+W299)</formula>
    </cfRule>
    <cfRule type="expression" dxfId="737" priority="2814">
      <formula>(W299+W298+W297)&gt;W295</formula>
    </cfRule>
  </conditionalFormatting>
  <conditionalFormatting sqref="W299:W300">
    <cfRule type="expression" dxfId="736" priority="850">
      <formula>W296&lt;(W297+W298+W299)</formula>
    </cfRule>
    <cfRule type="expression" dxfId="735" priority="851">
      <formula>(W299+W298+W297)&gt;W295</formula>
    </cfRule>
  </conditionalFormatting>
  <conditionalFormatting sqref="W304">
    <cfRule type="expression" dxfId="734" priority="2910">
      <formula>W305&gt;W304</formula>
    </cfRule>
    <cfRule type="cellIs" dxfId="733" priority="2912" operator="equal">
      <formula>0</formula>
    </cfRule>
  </conditionalFormatting>
  <conditionalFormatting sqref="W305">
    <cfRule type="expression" dxfId="732" priority="2738">
      <formula>W305&lt;(W306+W307+W308)</formula>
    </cfRule>
    <cfRule type="expression" dxfId="731" priority="2739">
      <formula>W305&gt;W304</formula>
    </cfRule>
    <cfRule type="cellIs" dxfId="730" priority="2740" operator="equal">
      <formula>0</formula>
    </cfRule>
  </conditionalFormatting>
  <conditionalFormatting sqref="W306">
    <cfRule type="expression" dxfId="729" priority="2737">
      <formula>W305&lt;(W306+W307+W308)</formula>
    </cfRule>
    <cfRule type="expression" dxfId="728" priority="2743">
      <formula>(W308+W307+W306)&gt;W304</formula>
    </cfRule>
  </conditionalFormatting>
  <conditionalFormatting sqref="W307">
    <cfRule type="expression" dxfId="727" priority="2736">
      <formula>W305&lt;(W306+W307+W308)</formula>
    </cfRule>
    <cfRule type="expression" dxfId="726" priority="2742">
      <formula>(W308+W307+W306)&gt;W304</formula>
    </cfRule>
  </conditionalFormatting>
  <conditionalFormatting sqref="W308:W309">
    <cfRule type="expression" dxfId="725" priority="2735">
      <formula>W305&lt;(W306+W307+W308)</formula>
    </cfRule>
    <cfRule type="expression" dxfId="724" priority="2741">
      <formula>(W308+W307+W306)&gt;W304</formula>
    </cfRule>
  </conditionalFormatting>
  <conditionalFormatting sqref="W313">
    <cfRule type="expression" dxfId="723" priority="2886">
      <formula>W314&gt;W313</formula>
    </cfRule>
    <cfRule type="cellIs" dxfId="722" priority="2888" operator="equal">
      <formula>0</formula>
    </cfRule>
  </conditionalFormatting>
  <conditionalFormatting sqref="W314">
    <cfRule type="expression" dxfId="721" priority="2666">
      <formula>W314&lt;(W315+W316+W317)</formula>
    </cfRule>
    <cfRule type="expression" dxfId="720" priority="2667">
      <formula>W314&gt;W313</formula>
    </cfRule>
    <cfRule type="cellIs" dxfId="719" priority="2668" operator="equal">
      <formula>0</formula>
    </cfRule>
  </conditionalFormatting>
  <conditionalFormatting sqref="W315">
    <cfRule type="expression" dxfId="718" priority="2665">
      <formula>W314&lt;(W315+W316+W317)</formula>
    </cfRule>
    <cfRule type="expression" dxfId="717" priority="2671">
      <formula>(W317+W316+W315)&gt;W313</formula>
    </cfRule>
  </conditionalFormatting>
  <conditionalFormatting sqref="W316">
    <cfRule type="expression" dxfId="716" priority="2664">
      <formula>W314&lt;(W315+W316+W317)</formula>
    </cfRule>
    <cfRule type="expression" dxfId="715" priority="2670">
      <formula>(W317+W316+W315)&gt;W313</formula>
    </cfRule>
  </conditionalFormatting>
  <conditionalFormatting sqref="W317:W318">
    <cfRule type="expression" dxfId="714" priority="832">
      <formula>W314&lt;(W315+W316+W317)</formula>
    </cfRule>
    <cfRule type="expression" dxfId="713" priority="833">
      <formula>(W317+W316+W315)&gt;W313</formula>
    </cfRule>
  </conditionalFormatting>
  <conditionalFormatting sqref="Y124">
    <cfRule type="cellIs" dxfId="712" priority="1325" operator="equal">
      <formula>0</formula>
    </cfRule>
  </conditionalFormatting>
  <conditionalFormatting sqref="Y150">
    <cfRule type="expression" dxfId="711" priority="4253">
      <formula>(Y151+Y152)&gt;Y150</formula>
    </cfRule>
  </conditionalFormatting>
  <conditionalFormatting sqref="Y151">
    <cfRule type="expression" dxfId="710" priority="4232">
      <formula>Y185&gt;Y151</formula>
    </cfRule>
  </conditionalFormatting>
  <conditionalFormatting sqref="Y152">
    <cfRule type="expression" dxfId="709" priority="4252">
      <formula>Y153&gt;Y152</formula>
    </cfRule>
  </conditionalFormatting>
  <conditionalFormatting sqref="Y158:Y159">
    <cfRule type="cellIs" dxfId="708" priority="4081" operator="equal">
      <formula>0</formula>
    </cfRule>
  </conditionalFormatting>
  <conditionalFormatting sqref="Y160">
    <cfRule type="expression" dxfId="707" priority="4251">
      <formula>Y161&gt;Y160</formula>
    </cfRule>
  </conditionalFormatting>
  <conditionalFormatting sqref="Y164">
    <cfRule type="expression" dxfId="706" priority="4250">
      <formula>Y165&gt;Y164</formula>
    </cfRule>
  </conditionalFormatting>
  <conditionalFormatting sqref="Y166">
    <cfRule type="expression" dxfId="705" priority="3731">
      <formula>Y167&gt;Y166</formula>
    </cfRule>
  </conditionalFormatting>
  <conditionalFormatting sqref="Y167">
    <cfRule type="expression" dxfId="704" priority="3732">
      <formula>Y167&gt;Y166</formula>
    </cfRule>
  </conditionalFormatting>
  <conditionalFormatting sqref="Y168">
    <cfRule type="expression" dxfId="703" priority="4249">
      <formula>Y169&gt;Y168</formula>
    </cfRule>
  </conditionalFormatting>
  <conditionalFormatting sqref="Y176">
    <cfRule type="cellIs" dxfId="702" priority="663" operator="equal">
      <formula>0</formula>
    </cfRule>
  </conditionalFormatting>
  <conditionalFormatting sqref="Y177">
    <cfRule type="expression" dxfId="701" priority="693">
      <formula>Y176&lt;&gt;Y177+Y178+Y179+Y180</formula>
    </cfRule>
  </conditionalFormatting>
  <conditionalFormatting sqref="Y178">
    <cfRule type="expression" dxfId="700" priority="692">
      <formula>Y176&lt;&gt;Y177+Y178+Y179+Y180</formula>
    </cfRule>
  </conditionalFormatting>
  <conditionalFormatting sqref="Y179">
    <cfRule type="expression" dxfId="699" priority="691">
      <formula>Y176&lt;&gt;Y177+Y178+Y179+Y180</formula>
    </cfRule>
  </conditionalFormatting>
  <conditionalFormatting sqref="Y180">
    <cfRule type="expression" dxfId="698" priority="690">
      <formula>Y176&lt;&gt;Y177+Y178+Y179+Y180</formula>
    </cfRule>
  </conditionalFormatting>
  <conditionalFormatting sqref="Y185">
    <cfRule type="expression" dxfId="697" priority="3617">
      <formula>Y185&gt;Y151</formula>
    </cfRule>
  </conditionalFormatting>
  <conditionalFormatting sqref="Y187">
    <cfRule type="cellIs" dxfId="696" priority="4066" operator="equal">
      <formula>0</formula>
    </cfRule>
  </conditionalFormatting>
  <conditionalFormatting sqref="Y188">
    <cfRule type="expression" dxfId="695" priority="3573">
      <formula>Y188&lt;&gt;Y161</formula>
    </cfRule>
    <cfRule type="cellIs" dxfId="694" priority="3574" operator="equal">
      <formula>0</formula>
    </cfRule>
  </conditionalFormatting>
  <conditionalFormatting sqref="Y189">
    <cfRule type="expression" dxfId="693" priority="3543">
      <formula>Y189&lt;&gt;Y163</formula>
    </cfRule>
    <cfRule type="cellIs" dxfId="692" priority="3544" operator="equal">
      <formula>0</formula>
    </cfRule>
  </conditionalFormatting>
  <conditionalFormatting sqref="Y191">
    <cfRule type="expression" dxfId="691" priority="3342">
      <formula>Y191&gt;Y167</formula>
    </cfRule>
  </conditionalFormatting>
  <conditionalFormatting sqref="Y193">
    <cfRule type="expression" dxfId="690" priority="3522">
      <formula>Y193&gt;Y171</formula>
    </cfRule>
  </conditionalFormatting>
  <conditionalFormatting sqref="Y194:Y195">
    <cfRule type="expression" dxfId="689" priority="1403">
      <formula>Y194&gt;Y173</formula>
    </cfRule>
  </conditionalFormatting>
  <conditionalFormatting sqref="Y295">
    <cfRule type="expression" dxfId="688" priority="2859">
      <formula>Y296&gt;Y295</formula>
    </cfRule>
    <cfRule type="cellIs" dxfId="687" priority="2861" operator="equal">
      <formula>0</formula>
    </cfRule>
  </conditionalFormatting>
  <conditionalFormatting sqref="Y296">
    <cfRule type="expression" dxfId="686" priority="2801">
      <formula>Y296&lt;(Y297+Y298+Y299)</formula>
    </cfRule>
    <cfRule type="expression" dxfId="685" priority="2802">
      <formula>Y296&gt;Y295</formula>
    </cfRule>
    <cfRule type="cellIs" dxfId="684" priority="2803" operator="equal">
      <formula>0</formula>
    </cfRule>
  </conditionalFormatting>
  <conditionalFormatting sqref="Y297">
    <cfRule type="expression" dxfId="683" priority="2800">
      <formula>Y296&lt;(Y297+Y298+Y299)</formula>
    </cfRule>
    <cfRule type="expression" dxfId="682" priority="2806">
      <formula>(Y299+Y298+Y297)&gt;Y295</formula>
    </cfRule>
  </conditionalFormatting>
  <conditionalFormatting sqref="Y298">
    <cfRule type="expression" dxfId="681" priority="2799">
      <formula>Y296&lt;(Y297+Y298+Y299)</formula>
    </cfRule>
    <cfRule type="expression" dxfId="680" priority="2805">
      <formula>(Y299+Y298+Y297)&gt;Y295</formula>
    </cfRule>
  </conditionalFormatting>
  <conditionalFormatting sqref="Y299:Y300">
    <cfRule type="expression" dxfId="679" priority="848">
      <formula>Y296&lt;(Y297+Y298+Y299)</formula>
    </cfRule>
    <cfRule type="expression" dxfId="678" priority="849">
      <formula>(Y299+Y298+Y297)&gt;Y295</formula>
    </cfRule>
  </conditionalFormatting>
  <conditionalFormatting sqref="Y304">
    <cfRule type="expression" dxfId="677" priority="2907">
      <formula>Y305&gt;Y304</formula>
    </cfRule>
    <cfRule type="cellIs" dxfId="676" priority="2909" operator="equal">
      <formula>0</formula>
    </cfRule>
  </conditionalFormatting>
  <conditionalFormatting sqref="Y305">
    <cfRule type="expression" dxfId="675" priority="2729">
      <formula>Y305&lt;(Y306+Y307+Y308)</formula>
    </cfRule>
    <cfRule type="expression" dxfId="674" priority="2730">
      <formula>Y305&gt;Y304</formula>
    </cfRule>
    <cfRule type="cellIs" dxfId="673" priority="2731" operator="equal">
      <formula>0</formula>
    </cfRule>
  </conditionalFormatting>
  <conditionalFormatting sqref="Y306">
    <cfRule type="expression" dxfId="672" priority="2728">
      <formula>Y305&lt;(Y306+Y307+Y308)</formula>
    </cfRule>
    <cfRule type="expression" dxfId="671" priority="2734">
      <formula>(Y308+Y307+Y306)&gt;Y304</formula>
    </cfRule>
  </conditionalFormatting>
  <conditionalFormatting sqref="Y307">
    <cfRule type="expression" dxfId="670" priority="2727">
      <formula>Y305&lt;(Y306+Y307+Y308)</formula>
    </cfRule>
    <cfRule type="expression" dxfId="669" priority="2733">
      <formula>(Y308+Y307+Y306)&gt;Y304</formula>
    </cfRule>
  </conditionalFormatting>
  <conditionalFormatting sqref="Y308:Y309">
    <cfRule type="expression" dxfId="668" priority="2726">
      <formula>Y305&lt;(Y306+Y307+Y308)</formula>
    </cfRule>
    <cfRule type="expression" dxfId="667" priority="2732">
      <formula>(Y308+Y307+Y306)&gt;Y304</formula>
    </cfRule>
  </conditionalFormatting>
  <conditionalFormatting sqref="Y313">
    <cfRule type="expression" dxfId="666" priority="2883">
      <formula>Y314&gt;Y313</formula>
    </cfRule>
    <cfRule type="cellIs" dxfId="665" priority="2885" operator="equal">
      <formula>0</formula>
    </cfRule>
  </conditionalFormatting>
  <conditionalFormatting sqref="Y314">
    <cfRule type="expression" dxfId="664" priority="2657">
      <formula>Y314&lt;(Y315+Y316+Y317)</formula>
    </cfRule>
    <cfRule type="expression" dxfId="663" priority="2658">
      <formula>Y314&gt;Y313</formula>
    </cfRule>
    <cfRule type="cellIs" dxfId="662" priority="2659" operator="equal">
      <formula>0</formula>
    </cfRule>
  </conditionalFormatting>
  <conditionalFormatting sqref="Y315">
    <cfRule type="expression" dxfId="661" priority="2656">
      <formula>Y314&lt;(Y315+Y316+Y317)</formula>
    </cfRule>
    <cfRule type="expression" dxfId="660" priority="2662">
      <formula>(Y317+Y316+Y315)&gt;Y313</formula>
    </cfRule>
  </conditionalFormatting>
  <conditionalFormatting sqref="Y316">
    <cfRule type="expression" dxfId="659" priority="2655">
      <formula>Y314&lt;(Y315+Y316+Y317)</formula>
    </cfRule>
    <cfRule type="expression" dxfId="658" priority="2661">
      <formula>(Y317+Y316+Y315)&gt;Y313</formula>
    </cfRule>
  </conditionalFormatting>
  <conditionalFormatting sqref="Y317:Y318">
    <cfRule type="expression" dxfId="657" priority="830">
      <formula>Y314&lt;(Y315+Y316+Y317)</formula>
    </cfRule>
    <cfRule type="expression" dxfId="656" priority="831">
      <formula>(Y317+Y316+Y315)&gt;Y313</formula>
    </cfRule>
  </conditionalFormatting>
  <conditionalFormatting sqref="Z8:AA11">
    <cfRule type="cellIs" dxfId="655" priority="1341" operator="equal">
      <formula>0</formula>
    </cfRule>
  </conditionalFormatting>
  <conditionalFormatting sqref="Z13:AA18">
    <cfRule type="cellIs" dxfId="654" priority="1145" operator="equal">
      <formula>0</formula>
    </cfRule>
  </conditionalFormatting>
  <conditionalFormatting sqref="Z20:AA94">
    <cfRule type="cellIs" dxfId="653" priority="908" operator="equal">
      <formula>0</formula>
    </cfRule>
  </conditionalFormatting>
  <conditionalFormatting sqref="Z210:AA214">
    <cfRule type="cellIs" dxfId="652" priority="630" operator="equal">
      <formula>0</formula>
    </cfRule>
  </conditionalFormatting>
  <conditionalFormatting sqref="Z232:AA248">
    <cfRule type="cellIs" dxfId="651" priority="608" operator="equal">
      <formula>0</formula>
    </cfRule>
  </conditionalFormatting>
  <conditionalFormatting sqref="Z249:AA250 Z204:AA208 Z215:AI215 Z217:AA229">
    <cfRule type="cellIs" dxfId="650" priority="1354" operator="equal">
      <formula>0</formula>
    </cfRule>
  </conditionalFormatting>
  <conditionalFormatting sqref="Z251:AA266">
    <cfRule type="cellIs" dxfId="649" priority="577" operator="equal">
      <formula>0</formula>
    </cfRule>
  </conditionalFormatting>
  <conditionalFormatting sqref="AA124">
    <cfRule type="cellIs" dxfId="648" priority="1324" operator="equal">
      <formula>0</formula>
    </cfRule>
  </conditionalFormatting>
  <conditionalFormatting sqref="AA176:AA180">
    <cfRule type="cellIs" dxfId="647" priority="662" operator="equal">
      <formula>0</formula>
    </cfRule>
  </conditionalFormatting>
  <conditionalFormatting sqref="AA185:AA195">
    <cfRule type="cellIs" dxfId="646" priority="1395" operator="equal">
      <formula>0</formula>
    </cfRule>
  </conditionalFormatting>
  <conditionalFormatting sqref="AA292:AA318">
    <cfRule type="cellIs" dxfId="645" priority="827" operator="equal">
      <formula>0</formula>
    </cfRule>
  </conditionalFormatting>
  <conditionalFormatting sqref="AB187">
    <cfRule type="cellIs" dxfId="644" priority="1394" operator="equal">
      <formula>0</formula>
    </cfRule>
  </conditionalFormatting>
  <conditionalFormatting sqref="AB20:AI20">
    <cfRule type="expression" dxfId="643" priority="1220">
      <formula>AB20&gt;AB19</formula>
    </cfRule>
  </conditionalFormatting>
  <conditionalFormatting sqref="AB57:AI57">
    <cfRule type="cellIs" dxfId="642" priority="1029" operator="equal">
      <formula>0</formula>
    </cfRule>
    <cfRule type="expression" dxfId="641" priority="1030">
      <formula>AB58&gt;AB57</formula>
    </cfRule>
  </conditionalFormatting>
  <conditionalFormatting sqref="AB58:AI58">
    <cfRule type="cellIs" dxfId="640" priority="1026" operator="equal">
      <formula>0</formula>
    </cfRule>
  </conditionalFormatting>
  <conditionalFormatting sqref="AB63:AI67">
    <cfRule type="cellIs" dxfId="639" priority="894" operator="equal">
      <formula>0</formula>
    </cfRule>
    <cfRule type="expression" dxfId="638" priority="895">
      <formula>AB64&gt;AB63</formula>
    </cfRule>
  </conditionalFormatting>
  <conditionalFormatting sqref="AB85:AI85">
    <cfRule type="expression" dxfId="637" priority="1206">
      <formula>AB94&gt;AB85</formula>
    </cfRule>
  </conditionalFormatting>
  <conditionalFormatting sqref="AB87:AI87">
    <cfRule type="expression" dxfId="636" priority="923">
      <formula>AB88&gt;AB87</formula>
    </cfRule>
  </conditionalFormatting>
  <conditionalFormatting sqref="AB225:AI229">
    <cfRule type="expression" dxfId="635" priority="625">
      <formula>AB225&gt;AB240</formula>
    </cfRule>
  </conditionalFormatting>
  <conditionalFormatting sqref="AB232:AI234">
    <cfRule type="expression" dxfId="634" priority="621">
      <formula>AB232&gt;AB247</formula>
    </cfRule>
  </conditionalFormatting>
  <conditionalFormatting sqref="AB239:AI240">
    <cfRule type="expression" dxfId="633" priority="603">
      <formula>AB224&gt;AB239</formula>
    </cfRule>
  </conditionalFormatting>
  <conditionalFormatting sqref="AB247:AI247">
    <cfRule type="expression" dxfId="632" priority="604">
      <formula>AB247&lt;&gt;AB234</formula>
    </cfRule>
    <cfRule type="cellIs" dxfId="631" priority="605" operator="equal">
      <formula>0</formula>
    </cfRule>
    <cfRule type="cellIs" dxfId="630" priority="606" operator="equal">
      <formula>0</formula>
    </cfRule>
    <cfRule type="cellIs" dxfId="629" priority="607" operator="equal">
      <formula>0</formula>
    </cfRule>
  </conditionalFormatting>
  <conditionalFormatting sqref="AB253:AI254">
    <cfRule type="expression" dxfId="628" priority="595">
      <formula>AB253&gt;AB267</formula>
    </cfRule>
  </conditionalFormatting>
  <conditionalFormatting sqref="AB261:AI261">
    <cfRule type="expression" dxfId="627" priority="569">
      <formula>(AB261+AB262+AB263)&lt;&gt;AB255</formula>
    </cfRule>
  </conditionalFormatting>
  <conditionalFormatting sqref="AB261:AI262">
    <cfRule type="expression" dxfId="626" priority="571">
      <formula>AB261&gt;SUM(AB257:AB259)</formula>
    </cfRule>
    <cfRule type="expression" dxfId="625" priority="573">
      <formula>AB267&gt;AB261</formula>
    </cfRule>
  </conditionalFormatting>
  <conditionalFormatting sqref="AB262:AI262">
    <cfRule type="expression" dxfId="624" priority="568">
      <formula>(AB261+AB262+AB263)&lt;&gt;AB255</formula>
    </cfRule>
  </conditionalFormatting>
  <conditionalFormatting sqref="AB263:AI263">
    <cfRule type="expression" dxfId="623" priority="567">
      <formula>(AB261+AB262+AB263)&lt;&gt;AB255</formula>
    </cfRule>
    <cfRule type="expression" dxfId="622" priority="570">
      <formula>AB267&gt;AB263</formula>
    </cfRule>
    <cfRule type="expression" dxfId="621" priority="572">
      <formula>AB263&gt;SUM(AB257:AB259)</formula>
    </cfRule>
  </conditionalFormatting>
  <conditionalFormatting sqref="AB264:AI265">
    <cfRule type="expression" dxfId="620" priority="580">
      <formula>AB250&gt;AB264</formula>
    </cfRule>
  </conditionalFormatting>
  <conditionalFormatting sqref="AB265:AI265 D265:Y265">
    <cfRule type="expression" dxfId="619" priority="581">
      <formula>D265&gt;D251</formula>
    </cfRule>
  </conditionalFormatting>
  <conditionalFormatting sqref="AB235:AJ235 D235:Y235">
    <cfRule type="cellIs" dxfId="618" priority="4346" operator="equal">
      <formula>0</formula>
    </cfRule>
  </conditionalFormatting>
  <conditionalFormatting sqref="AB266:AJ266">
    <cfRule type="cellIs" dxfId="617" priority="3917" operator="equal">
      <formula>0</formula>
    </cfRule>
  </conditionalFormatting>
  <conditionalFormatting sqref="AC295 AE295 AG295 AI295">
    <cfRule type="expression" dxfId="616" priority="2856">
      <formula>AC296&gt;AC295</formula>
    </cfRule>
    <cfRule type="cellIs" dxfId="615" priority="2858" operator="equal">
      <formula>0</formula>
    </cfRule>
  </conditionalFormatting>
  <conditionalFormatting sqref="AC296 AE296 AG296 AI296">
    <cfRule type="expression" dxfId="614" priority="2792">
      <formula>AC296&lt;(AC297+AC298+AC299)</formula>
    </cfRule>
    <cfRule type="expression" dxfId="613" priority="2793">
      <formula>AC296&gt;AC295</formula>
    </cfRule>
    <cfRule type="cellIs" dxfId="612" priority="2794" operator="equal">
      <formula>0</formula>
    </cfRule>
  </conditionalFormatting>
  <conditionalFormatting sqref="AC297 AE297 AG297 AI297">
    <cfRule type="expression" dxfId="611" priority="2791">
      <formula>AC296&lt;(AC297+AC298+AC299)</formula>
    </cfRule>
    <cfRule type="expression" dxfId="610" priority="2797">
      <formula>(AC299+AC298+AC297)&gt;AC295</formula>
    </cfRule>
  </conditionalFormatting>
  <conditionalFormatting sqref="AC298 AE298 AG298 AI298">
    <cfRule type="expression" dxfId="609" priority="2790">
      <formula>AC296&lt;(AC297+AC298+AC299)</formula>
    </cfRule>
    <cfRule type="expression" dxfId="608" priority="2796">
      <formula>(AC299+AC298+AC297)&gt;AC295</formula>
    </cfRule>
  </conditionalFormatting>
  <conditionalFormatting sqref="AC299:AC300 AE299:AE300 AG299:AG300 AI299:AI300">
    <cfRule type="expression" dxfId="607" priority="846">
      <formula>AC296&lt;(AC297+AC298+AC299)</formula>
    </cfRule>
    <cfRule type="expression" dxfId="606" priority="847">
      <formula>(AC299+AC298+AC297)&gt;AC295</formula>
    </cfRule>
  </conditionalFormatting>
  <conditionalFormatting sqref="AC304 AE304 AG304 AI304">
    <cfRule type="expression" dxfId="605" priority="2904">
      <formula>AC305&gt;AC304</formula>
    </cfRule>
    <cfRule type="cellIs" dxfId="604" priority="2906" operator="equal">
      <formula>0</formula>
    </cfRule>
  </conditionalFormatting>
  <conditionalFormatting sqref="AC305 AE305 AG305 AI305">
    <cfRule type="expression" dxfId="603" priority="2720">
      <formula>AC305&lt;(AC306+AC307+AC308)</formula>
    </cfRule>
    <cfRule type="expression" dxfId="602" priority="2721">
      <formula>AC305&gt;AC304</formula>
    </cfRule>
    <cfRule type="cellIs" dxfId="601" priority="2722" operator="equal">
      <formula>0</formula>
    </cfRule>
  </conditionalFormatting>
  <conditionalFormatting sqref="AC306 AE306 AG306 AI306">
    <cfRule type="expression" dxfId="600" priority="2719">
      <formula>AC305&lt;(AC306+AC307+AC308)</formula>
    </cfRule>
    <cfRule type="expression" dxfId="599" priority="2725">
      <formula>(AC308+AC307+AC306)&gt;AC304</formula>
    </cfRule>
  </conditionalFormatting>
  <conditionalFormatting sqref="AC307 AE307 AG307 AI307">
    <cfRule type="expression" dxfId="598" priority="2718">
      <formula>AC305&lt;(AC306+AC307+AC308)</formula>
    </cfRule>
    <cfRule type="expression" dxfId="597" priority="2724">
      <formula>(AC308+AC307+AC306)&gt;AC304</formula>
    </cfRule>
  </conditionalFormatting>
  <conditionalFormatting sqref="AC308:AC309 AE308:AE309 AG308:AG309 AI308:AI309">
    <cfRule type="expression" dxfId="596" priority="2717">
      <formula>AC305&lt;(AC306+AC307+AC308)</formula>
    </cfRule>
    <cfRule type="expression" dxfId="595" priority="2723">
      <formula>(AC308+AC307+AC306)&gt;AC304</formula>
    </cfRule>
  </conditionalFormatting>
  <conditionalFormatting sqref="AC313 AE313 AG313 AI313">
    <cfRule type="expression" dxfId="594" priority="2880">
      <formula>AC314&gt;AC313</formula>
    </cfRule>
    <cfRule type="cellIs" dxfId="593" priority="2882" operator="equal">
      <formula>0</formula>
    </cfRule>
  </conditionalFormatting>
  <conditionalFormatting sqref="AC314 AE314 AG314 AI314">
    <cfRule type="expression" dxfId="592" priority="2648">
      <formula>AC314&lt;(AC315+AC316+AC317)</formula>
    </cfRule>
    <cfRule type="expression" dxfId="591" priority="2649">
      <formula>AC314&gt;AC313</formula>
    </cfRule>
    <cfRule type="cellIs" dxfId="590" priority="2650" operator="equal">
      <formula>0</formula>
    </cfRule>
  </conditionalFormatting>
  <conditionalFormatting sqref="AC315 AE315 AG315 AI315">
    <cfRule type="expression" dxfId="589" priority="2647">
      <formula>AC314&lt;(AC315+AC316+AC317)</formula>
    </cfRule>
    <cfRule type="expression" dxfId="588" priority="2653">
      <formula>(AC317+AC316+AC315)&gt;AC313</formula>
    </cfRule>
  </conditionalFormatting>
  <conditionalFormatting sqref="AC316 AE316 AG316 AI316">
    <cfRule type="expression" dxfId="587" priority="2646">
      <formula>AC314&lt;(AC315+AC316+AC317)</formula>
    </cfRule>
    <cfRule type="expression" dxfId="586" priority="2652">
      <formula>(AC317+AC316+AC315)&gt;AC313</formula>
    </cfRule>
  </conditionalFormatting>
  <conditionalFormatting sqref="AC317:AC318 AE317:AE318 AG317:AG318 AI317:AI318">
    <cfRule type="expression" dxfId="585" priority="828">
      <formula>AC314&lt;(AC315+AC316+AC317)</formula>
    </cfRule>
    <cfRule type="expression" dxfId="584" priority="829">
      <formula>(AC317+AC316+AC315)&gt;AC313</formula>
    </cfRule>
  </conditionalFormatting>
  <conditionalFormatting sqref="AD187">
    <cfRule type="cellIs" dxfId="583" priority="1391" operator="equal">
      <formula>0</formula>
    </cfRule>
  </conditionalFormatting>
  <conditionalFormatting sqref="AF187">
    <cfRule type="cellIs" dxfId="582" priority="1390" operator="equal">
      <formula>0</formula>
    </cfRule>
  </conditionalFormatting>
  <conditionalFormatting sqref="AH187">
    <cfRule type="cellIs" dxfId="581" priority="1389" operator="equal">
      <formula>0</formula>
    </cfRule>
  </conditionalFormatting>
  <conditionalFormatting sqref="AJ8:AJ84 AJ86:AJ98">
    <cfRule type="cellIs" dxfId="580" priority="913" operator="equal">
      <formula>0</formula>
    </cfRule>
  </conditionalFormatting>
  <conditionalFormatting sqref="AJ100:AJ103">
    <cfRule type="cellIs" dxfId="579" priority="1446" operator="equal">
      <formula>0</formula>
    </cfRule>
  </conditionalFormatting>
  <conditionalFormatting sqref="AJ107:AJ112">
    <cfRule type="cellIs" dxfId="578" priority="4340" operator="equal">
      <formula>0</formula>
    </cfRule>
  </conditionalFormatting>
  <conditionalFormatting sqref="AJ116">
    <cfRule type="cellIs" dxfId="577" priority="1780" operator="equal">
      <formula>0</formula>
    </cfRule>
  </conditionalFormatting>
  <conditionalFormatting sqref="AJ117:AJ250">
    <cfRule type="cellIs" dxfId="576" priority="4003" operator="equal">
      <formula>0</formula>
    </cfRule>
  </conditionalFormatting>
  <conditionalFormatting sqref="AJ154:AJ157">
    <cfRule type="cellIs" dxfId="575" priority="802" operator="equal">
      <formula>0</formula>
    </cfRule>
  </conditionalFormatting>
  <conditionalFormatting sqref="AJ174:AJ175">
    <cfRule type="cellIs" dxfId="574" priority="1517" operator="equal">
      <formula>0</formula>
    </cfRule>
  </conditionalFormatting>
  <conditionalFormatting sqref="AJ177:AJ180">
    <cfRule type="cellIs" dxfId="573" priority="730" operator="equal">
      <formula>0</formula>
    </cfRule>
  </conditionalFormatting>
  <conditionalFormatting sqref="AJ195">
    <cfRule type="cellIs" dxfId="572" priority="1411" operator="equal">
      <formula>0</formula>
    </cfRule>
  </conditionalFormatting>
  <conditionalFormatting sqref="AJ211:AJ214">
    <cfRule type="cellIs" dxfId="571" priority="635" operator="equal">
      <formula>0</formula>
    </cfRule>
  </conditionalFormatting>
  <conditionalFormatting sqref="AJ231:AJ234">
    <cfRule type="cellIs" dxfId="570" priority="1286" operator="equal">
      <formula>0</formula>
    </cfRule>
  </conditionalFormatting>
  <conditionalFormatting sqref="AJ248">
    <cfRule type="cellIs" dxfId="569" priority="648" operator="equal">
      <formula>0</formula>
    </cfRule>
  </conditionalFormatting>
  <conditionalFormatting sqref="AJ251:AJ258">
    <cfRule type="cellIs" dxfId="568" priority="590" operator="equal">
      <formula>0</formula>
    </cfRule>
  </conditionalFormatting>
  <conditionalFormatting sqref="AJ260:AJ265">
    <cfRule type="cellIs" dxfId="567" priority="584" operator="equal">
      <formula>0</formula>
    </cfRule>
  </conditionalFormatting>
  <conditionalFormatting sqref="AJ271:AJ272">
    <cfRule type="cellIs" dxfId="566" priority="1423" operator="equal">
      <formula>0</formula>
    </cfRule>
  </conditionalFormatting>
  <conditionalFormatting sqref="AJ274:AJ277">
    <cfRule type="cellIs" dxfId="565" priority="890" operator="equal">
      <formula>0</formula>
    </cfRule>
  </conditionalFormatting>
  <conditionalFormatting sqref="AJ279:AJ283">
    <cfRule type="cellIs" dxfId="564" priority="867" operator="equal">
      <formula>0</formula>
    </cfRule>
  </conditionalFormatting>
  <conditionalFormatting sqref="AJ285:AJ288">
    <cfRule type="cellIs" dxfId="563" priority="872" operator="equal">
      <formula>0</formula>
    </cfRule>
  </conditionalFormatting>
  <conditionalFormatting sqref="AJ292:AJ318">
    <cfRule type="cellIs" dxfId="562" priority="844" operator="equal">
      <formula>0</formula>
    </cfRule>
  </conditionalFormatting>
  <conditionalFormatting sqref="AJ322:AJ336">
    <cfRule type="cellIs" dxfId="561" priority="817" operator="equal">
      <formula>0</formula>
    </cfRule>
  </conditionalFormatting>
  <conditionalFormatting sqref="AK8 AK133">
    <cfRule type="notContainsBlanks" dxfId="560" priority="4415">
      <formula>LEN(TRIM(AK8))&gt;0</formula>
    </cfRule>
  </conditionalFormatting>
  <conditionalFormatting sqref="AK10">
    <cfRule type="notContainsBlanks" dxfId="559" priority="4398">
      <formula>LEN(TRIM(AK10))&gt;0</formula>
    </cfRule>
  </conditionalFormatting>
  <conditionalFormatting sqref="AK13 AK15:AK19">
    <cfRule type="notContainsBlanks" dxfId="558" priority="4416">
      <formula>LEN(TRIM(AK13))&gt;0</formula>
    </cfRule>
  </conditionalFormatting>
  <conditionalFormatting sqref="AK14">
    <cfRule type="notContainsBlanks" dxfId="557" priority="1144">
      <formula>LEN(TRIM(AK14))&gt;0</formula>
    </cfRule>
  </conditionalFormatting>
  <conditionalFormatting sqref="AK21:AK22">
    <cfRule type="notContainsBlanks" dxfId="556" priority="1131">
      <formula>LEN(TRIM(AK21))&gt;0</formula>
    </cfRule>
  </conditionalFormatting>
  <conditionalFormatting sqref="AK23:AK27">
    <cfRule type="notContainsBlanks" dxfId="555" priority="1141">
      <formula>LEN(TRIM(AK23))&gt;0</formula>
    </cfRule>
  </conditionalFormatting>
  <conditionalFormatting sqref="AK28">
    <cfRule type="notContainsBlanks" dxfId="554" priority="1111">
      <formula>LEN(TRIM(AK28))&gt;0</formula>
    </cfRule>
  </conditionalFormatting>
  <conditionalFormatting sqref="AK29:AK32">
    <cfRule type="notContainsBlanks" dxfId="553" priority="4417">
      <formula>LEN(TRIM(AK29))&gt;0</formula>
    </cfRule>
  </conditionalFormatting>
  <conditionalFormatting sqref="AK33 AK35:AK38">
    <cfRule type="notContainsBlanks" dxfId="552" priority="4410">
      <formula>LEN(TRIM(AK33))&gt;0</formula>
    </cfRule>
  </conditionalFormatting>
  <conditionalFormatting sqref="AK34">
    <cfRule type="notContainsBlanks" dxfId="551" priority="1110">
      <formula>LEN(TRIM(AK34))&gt;0</formula>
    </cfRule>
  </conditionalFormatting>
  <conditionalFormatting sqref="AK39">
    <cfRule type="notContainsBlanks" dxfId="550" priority="4409">
      <formula>LEN(TRIM(AK39))&gt;0</formula>
    </cfRule>
  </conditionalFormatting>
  <conditionalFormatting sqref="AK40">
    <cfRule type="notContainsBlanks" dxfId="549" priority="1109">
      <formula>LEN(TRIM(AK40))&gt;0</formula>
    </cfRule>
  </conditionalFormatting>
  <conditionalFormatting sqref="AK41:AK45">
    <cfRule type="notContainsBlanks" dxfId="548" priority="4408">
      <formula>LEN(TRIM(AK41))&gt;0</formula>
    </cfRule>
  </conditionalFormatting>
  <conditionalFormatting sqref="AK46">
    <cfRule type="notContainsBlanks" dxfId="547" priority="1099">
      <formula>LEN(TRIM(AK46))&gt;0</formula>
    </cfRule>
  </conditionalFormatting>
  <conditionalFormatting sqref="AK47:AK57">
    <cfRule type="notContainsBlanks" dxfId="546" priority="4407">
      <formula>LEN(TRIM(AK47))&gt;0</formula>
    </cfRule>
  </conditionalFormatting>
  <conditionalFormatting sqref="AK58">
    <cfRule type="notContainsBlanks" dxfId="545" priority="960">
      <formula>LEN(TRIM(AK58))&gt;0</formula>
    </cfRule>
  </conditionalFormatting>
  <conditionalFormatting sqref="AK59:AK66 AK68:AK85">
    <cfRule type="notContainsBlanks" dxfId="544" priority="1065">
      <formula>LEN(TRIM(AK59))&gt;0</formula>
    </cfRule>
  </conditionalFormatting>
  <conditionalFormatting sqref="AK67">
    <cfRule type="notContainsBlanks" dxfId="543" priority="959">
      <formula>LEN(TRIM(AK67))&gt;0</formula>
    </cfRule>
  </conditionalFormatting>
  <conditionalFormatting sqref="AK87 AK89:AK92">
    <cfRule type="notContainsBlanks" dxfId="542" priority="4406">
      <formula>LEN(TRIM(AK87))&gt;0</formula>
    </cfRule>
  </conditionalFormatting>
  <conditionalFormatting sqref="AK88">
    <cfRule type="notContainsBlanks" dxfId="541" priority="958">
      <formula>LEN(TRIM(AK88))&gt;0</formula>
    </cfRule>
  </conditionalFormatting>
  <conditionalFormatting sqref="AK100:AK103">
    <cfRule type="notContainsBlanks" dxfId="540" priority="1450">
      <formula>LEN(TRIM(AK100))&gt;0</formula>
    </cfRule>
  </conditionalFormatting>
  <conditionalFormatting sqref="AK116:AK122">
    <cfRule type="notContainsBlanks" dxfId="539" priority="3813">
      <formula>LEN(TRIM(AK116))&gt;0</formula>
    </cfRule>
  </conditionalFormatting>
  <conditionalFormatting sqref="AK134:AK135">
    <cfRule type="notContainsBlanks" dxfId="538" priority="4400">
      <formula>LEN(TRIM(AK134))&gt;0</formula>
    </cfRule>
  </conditionalFormatting>
  <conditionalFormatting sqref="AK150:AK152">
    <cfRule type="notContainsBlanks" dxfId="537" priority="4382">
      <formula>LEN(TRIM(AK150))&gt;0</formula>
    </cfRule>
  </conditionalFormatting>
  <conditionalFormatting sqref="AK153">
    <cfRule type="notContainsBlanks" dxfId="536" priority="752">
      <formula>LEN(TRIM(AK153))&gt;0</formula>
    </cfRule>
  </conditionalFormatting>
  <conditionalFormatting sqref="AK154:AK157">
    <cfRule type="notContainsBlanks" dxfId="535" priority="806">
      <formula>LEN(TRIM(AK154))&gt;0</formula>
    </cfRule>
  </conditionalFormatting>
  <conditionalFormatting sqref="AK158:AK161">
    <cfRule type="notContainsBlanks" dxfId="534" priority="4379">
      <formula>LEN(TRIM(AK158))&gt;0</formula>
    </cfRule>
  </conditionalFormatting>
  <conditionalFormatting sqref="AK162">
    <cfRule type="notContainsBlanks" dxfId="533" priority="3764">
      <formula>LEN(TRIM(AK162))&gt;0</formula>
    </cfRule>
  </conditionalFormatting>
  <conditionalFormatting sqref="AK163:AK165">
    <cfRule type="notContainsBlanks" dxfId="532" priority="4378">
      <formula>LEN(TRIM(AK163))&gt;0</formula>
    </cfRule>
  </conditionalFormatting>
  <conditionalFormatting sqref="AK166">
    <cfRule type="notContainsBlanks" dxfId="531" priority="3747">
      <formula>LEN(TRIM(AK166))&gt;0</formula>
    </cfRule>
  </conditionalFormatting>
  <conditionalFormatting sqref="AK167:AK169 AK171 AK173">
    <cfRule type="notContainsBlanks" dxfId="530" priority="4377">
      <formula>LEN(TRIM(AK167))&gt;0</formula>
    </cfRule>
  </conditionalFormatting>
  <conditionalFormatting sqref="AK170">
    <cfRule type="notContainsBlanks" dxfId="529" priority="3647">
      <formula>LEN(TRIM(AK170))&gt;0</formula>
    </cfRule>
  </conditionalFormatting>
  <conditionalFormatting sqref="AK172">
    <cfRule type="notContainsBlanks" dxfId="528" priority="3646">
      <formula>LEN(TRIM(AK172))&gt;0</formula>
    </cfRule>
  </conditionalFormatting>
  <conditionalFormatting sqref="AK174">
    <cfRule type="notContainsBlanks" dxfId="527" priority="1511">
      <formula>LEN(TRIM(AK174))&gt;0</formula>
    </cfRule>
  </conditionalFormatting>
  <conditionalFormatting sqref="AK175:AK176">
    <cfRule type="notContainsBlanks" dxfId="526" priority="1519">
      <formula>LEN(TRIM(AK175))&gt;0</formula>
    </cfRule>
  </conditionalFormatting>
  <conditionalFormatting sqref="AK177:AK180">
    <cfRule type="notContainsBlanks" dxfId="525" priority="734">
      <formula>LEN(TRIM(AK177))&gt;0</formula>
    </cfRule>
  </conditionalFormatting>
  <conditionalFormatting sqref="AK186:AK195">
    <cfRule type="notContainsBlanks" dxfId="524" priority="1413">
      <formula>LEN(TRIM(AK186))&gt;0</formula>
    </cfRule>
  </conditionalFormatting>
  <conditionalFormatting sqref="AK197:AK221">
    <cfRule type="notContainsBlanks" dxfId="523" priority="4009">
      <formula>LEN(TRIM(AK197))&gt;0</formula>
    </cfRule>
  </conditionalFormatting>
  <conditionalFormatting sqref="AK204">
    <cfRule type="notContainsBlanks" dxfId="522" priority="3397">
      <formula>LEN(TRIM(AK204))&gt;0</formula>
    </cfRule>
  </conditionalFormatting>
  <conditionalFormatting sqref="AK208:AK209">
    <cfRule type="notContainsBlanks" dxfId="521" priority="3395">
      <formula>LEN(TRIM(AK208))&gt;0</formula>
    </cfRule>
  </conditionalFormatting>
  <conditionalFormatting sqref="AK210">
    <cfRule type="notContainsBlanks" dxfId="520" priority="629">
      <formula>LEN(TRIM(AK210))&gt;0</formula>
    </cfRule>
  </conditionalFormatting>
  <conditionalFormatting sqref="AK211:AK214">
    <cfRule type="notContainsBlanks" dxfId="519" priority="639">
      <formula>LEN(TRIM(AK211))&gt;0</formula>
    </cfRule>
  </conditionalFormatting>
  <conditionalFormatting sqref="AK217:AK221">
    <cfRule type="notContainsBlanks" dxfId="518" priority="3386">
      <formula>LEN(TRIM(AK217))&gt;0</formula>
    </cfRule>
  </conditionalFormatting>
  <conditionalFormatting sqref="AK224:AK266">
    <cfRule type="notContainsBlanks" dxfId="517" priority="3387">
      <formula>LEN(TRIM(AK224))&gt;0</formula>
    </cfRule>
    <cfRule type="notContainsBlanks" dxfId="516" priority="3421">
      <formula>LEN(TRIM(AK224))&gt;0</formula>
    </cfRule>
  </conditionalFormatting>
  <conditionalFormatting sqref="AK230 AK232:AK234">
    <cfRule type="notContainsBlanks" priority="4368">
      <formula>LEN(TRIM(AK230))&gt;0</formula>
    </cfRule>
  </conditionalFormatting>
  <conditionalFormatting sqref="AK271:AK272">
    <cfRule type="notContainsBlanks" dxfId="515" priority="1426">
      <formula>LEN(TRIM(AK271))&gt;0</formula>
    </cfRule>
  </conditionalFormatting>
  <conditionalFormatting sqref="AK274:AK276">
    <cfRule type="notContainsBlanks" dxfId="514" priority="892">
      <formula>LEN(TRIM(AK274))&gt;0</formula>
    </cfRule>
  </conditionalFormatting>
  <conditionalFormatting sqref="AK277">
    <cfRule type="notContainsBlanks" dxfId="513" priority="646">
      <formula>LEN(TRIM(AK277))&gt;0</formula>
    </cfRule>
  </conditionalFormatting>
  <conditionalFormatting sqref="AK282:AK283">
    <cfRule type="notContainsBlanks" dxfId="512" priority="4397">
      <formula>LEN(TRIM(AK282))&gt;0</formula>
    </cfRule>
  </conditionalFormatting>
  <conditionalFormatting sqref="AK285:AK288">
    <cfRule type="notContainsBlanks" dxfId="511" priority="863">
      <formula>LEN(TRIM(AK285))&gt;0</formula>
    </cfRule>
  </conditionalFormatting>
  <conditionalFormatting sqref="AK293">
    <cfRule type="notContainsBlanks" dxfId="510" priority="4394">
      <formula>LEN(TRIM(AK293))&gt;0</formula>
    </cfRule>
  </conditionalFormatting>
  <conditionalFormatting sqref="AK302">
    <cfRule type="notContainsBlanks" dxfId="509" priority="1563">
      <formula>LEN(TRIM(AK302))&gt;0</formula>
    </cfRule>
  </conditionalFormatting>
  <conditionalFormatting sqref="AK311">
    <cfRule type="notContainsBlanks" dxfId="508" priority="1562">
      <formula>LEN(TRIM(AK311))&gt;0</formula>
    </cfRule>
  </conditionalFormatting>
  <conditionalFormatting sqref="AK322">
    <cfRule type="notContainsBlanks" dxfId="507" priority="3100">
      <formula>LEN(TRIM(AK322))&gt;0</formula>
    </cfRule>
  </conditionalFormatting>
  <conditionalFormatting sqref="AK325:AK327">
    <cfRule type="notContainsBlanks" dxfId="506" priority="1214">
      <formula>LEN(TRIM(AK325))&gt;0</formula>
    </cfRule>
  </conditionalFormatting>
  <conditionalFormatting sqref="AK329">
    <cfRule type="notContainsBlanks" dxfId="505" priority="4391">
      <formula>LEN(TRIM(AK329))&gt;0</formula>
    </cfRule>
  </conditionalFormatting>
  <conditionalFormatting sqref="AK331:AK332">
    <cfRule type="notContainsBlanks" dxfId="504" priority="4388">
      <formula>LEN(TRIM(AK331))&gt;0</formula>
    </cfRule>
  </conditionalFormatting>
  <conditionalFormatting sqref="AK333:AK336">
    <cfRule type="notContainsBlanks" dxfId="503" priority="1162">
      <formula>LEN(TRIM(AK333))&gt;0</formula>
    </cfRule>
  </conditionalFormatting>
  <conditionalFormatting sqref="AL100 AL250">
    <cfRule type="notContainsBlanks" dxfId="502" priority="1451">
      <formula>LEN(TRIM(AL100))&gt;0</formula>
    </cfRule>
  </conditionalFormatting>
  <conditionalFormatting sqref="AL185">
    <cfRule type="notContainsBlanks" dxfId="501" priority="1414">
      <formula>LEN(TRIM(AL185))&gt;0</formula>
    </cfRule>
  </conditionalFormatting>
  <conditionalFormatting sqref="AL197 AL8 AL107 AL150 AL224 AL271 AL292 AL322 AL202:AL204 AL216:AL217 AL249 AL220:AL221">
    <cfRule type="notContainsBlanks" dxfId="500" priority="4585">
      <formula>LEN(TRIM(AL8))&gt;0</formula>
    </cfRule>
  </conditionalFormatting>
  <conditionalFormatting sqref="AL204">
    <cfRule type="notContainsBlanks" dxfId="499" priority="3405">
      <formula>LEN(TRIM(AL204))&gt;0</formula>
    </cfRule>
  </conditionalFormatting>
  <conditionalFormatting sqref="AL274">
    <cfRule type="notContainsBlanks" dxfId="498" priority="893">
      <formula>LEN(TRIM(AL274))&gt;0</formula>
    </cfRule>
  </conditionalFormatting>
  <conditionalFormatting sqref="AL280 AL285">
    <cfRule type="notContainsBlanks" dxfId="497" priority="1164">
      <formula>LEN(TRIM(AL280))&gt;0</formula>
    </cfRule>
  </conditionalFormatting>
  <conditionalFormatting sqref="AM9:AM98">
    <cfRule type="notContainsBlanks" dxfId="496" priority="1064">
      <formula>LEN(TRIM(AM9))&gt;0</formula>
    </cfRule>
  </conditionalFormatting>
  <conditionalFormatting sqref="AM27">
    <cfRule type="notContainsBlanks" dxfId="495" priority="4359">
      <formula>LEN(TRIM(AM27))&gt;0</formula>
    </cfRule>
  </conditionalFormatting>
  <conditionalFormatting sqref="AM33">
    <cfRule type="notContainsBlanks" dxfId="494" priority="4355">
      <formula>LEN(TRIM(AM33))&gt;0</formula>
    </cfRule>
  </conditionalFormatting>
  <conditionalFormatting sqref="AM39">
    <cfRule type="notContainsBlanks" dxfId="493" priority="4354">
      <formula>LEN(TRIM(AM39))&gt;0</formula>
    </cfRule>
  </conditionalFormatting>
  <conditionalFormatting sqref="AM45">
    <cfRule type="notContainsBlanks" dxfId="492" priority="4353">
      <formula>LEN(TRIM(AM45))&gt;0</formula>
    </cfRule>
  </conditionalFormatting>
  <conditionalFormatting sqref="AM51">
    <cfRule type="notContainsBlanks" dxfId="491" priority="4352">
      <formula>LEN(TRIM(AM51))&gt;0</formula>
    </cfRule>
  </conditionalFormatting>
  <conditionalFormatting sqref="AM72">
    <cfRule type="notContainsBlanks" dxfId="490" priority="4350">
      <formula>LEN(TRIM(AM72))&gt;0</formula>
    </cfRule>
  </conditionalFormatting>
  <conditionalFormatting sqref="AM87">
    <cfRule type="notContainsBlanks" dxfId="489" priority="4351">
      <formula>LEN(TRIM(AM87))&gt;0</formula>
    </cfRule>
  </conditionalFormatting>
  <conditionalFormatting sqref="AM100">
    <cfRule type="notContainsBlanks" dxfId="488" priority="1459">
      <formula>LEN(TRIM(AM100))&gt;0</formula>
    </cfRule>
  </conditionalFormatting>
  <conditionalFormatting sqref="AM100:AM103">
    <cfRule type="notContainsBlanks" dxfId="487" priority="1449">
      <formula>LEN(TRIM(AM100))&gt;0</formula>
    </cfRule>
  </conditionalFormatting>
  <conditionalFormatting sqref="AM102">
    <cfRule type="notContainsBlanks" dxfId="486" priority="1448">
      <formula>LEN(TRIM(AM102))&gt;0</formula>
    </cfRule>
  </conditionalFormatting>
  <conditionalFormatting sqref="AM116:AM266">
    <cfRule type="notContainsBlanks" dxfId="485" priority="566">
      <formula>LEN(TRIM(AM116))&gt;0</formula>
    </cfRule>
  </conditionalFormatting>
  <conditionalFormatting sqref="AM151">
    <cfRule type="notContainsBlanks" dxfId="484" priority="4357">
      <formula>LEN(TRIM(AM151))&gt;0</formula>
    </cfRule>
  </conditionalFormatting>
  <conditionalFormatting sqref="AM179:AM180">
    <cfRule type="notContainsBlanks" dxfId="483" priority="4480">
      <formula>LEN(TRIM(AM179))&gt;0</formula>
    </cfRule>
  </conditionalFormatting>
  <conditionalFormatting sqref="AM217">
    <cfRule type="notContainsBlanks" dxfId="482" priority="4501">
      <formula>LEN(TRIM(AM217))&gt;0</formula>
    </cfRule>
  </conditionalFormatting>
  <conditionalFormatting sqref="AM323:AM336">
    <cfRule type="notContainsBlanks" dxfId="481" priority="1161">
      <formula>LEN(TRIM(AM323))&gt;0</formula>
    </cfRule>
  </conditionalFormatting>
  <conditionalFormatting sqref="AM8:AN8 AM107:AN107 AM108:AM112 AM185:AN185 AM224:AN224 AM280:AM283 AM285:AM288 AM292:AN292 AM293:AM318 AM322:AN322">
    <cfRule type="notContainsBlanks" dxfId="480" priority="4356">
      <formula>LEN(TRIM(AM8))&gt;0</formula>
    </cfRule>
  </conditionalFormatting>
  <conditionalFormatting sqref="AM150:AN150">
    <cfRule type="notContainsBlanks" dxfId="479" priority="4358">
      <formula>LEN(TRIM(AM150))&gt;0</formula>
    </cfRule>
  </conditionalFormatting>
  <conditionalFormatting sqref="AM271:AN271 AM272">
    <cfRule type="notContainsBlanks" dxfId="478" priority="1424">
      <formula>LEN(TRIM(AM271))&gt;0</formula>
    </cfRule>
  </conditionalFormatting>
  <conditionalFormatting sqref="AM274:AN277">
    <cfRule type="notContainsBlanks" dxfId="477" priority="891">
      <formula>LEN(TRIM(AM274))&gt;0</formula>
    </cfRule>
  </conditionalFormatting>
  <conditionalFormatting sqref="AN250">
    <cfRule type="notContainsBlanks" dxfId="476" priority="3042">
      <formula>LEN(TRIM(AN250))&gt;0</formula>
    </cfRule>
  </conditionalFormatting>
  <conditionalFormatting sqref="AN204">
    <cfRule type="notContainsBlanks" dxfId="475" priority="3389">
      <formula>LEN(TRIM(AN204))&gt;0</formula>
    </cfRule>
  </conditionalFormatting>
  <conditionalFormatting sqref="F68:Y71">
    <cfRule type="expression" dxfId="474" priority="545">
      <formula>F68=0</formula>
    </cfRule>
  </conditionalFormatting>
  <conditionalFormatting sqref="AB68:AB71">
    <cfRule type="expression" dxfId="473" priority="544">
      <formula>AB66&lt;&gt;AB67+AB68+AB69+AB71</formula>
    </cfRule>
  </conditionalFormatting>
  <conditionalFormatting sqref="AB68:AB71">
    <cfRule type="expression" dxfId="472" priority="543">
      <formula>AB68=0</formula>
    </cfRule>
  </conditionalFormatting>
  <conditionalFormatting sqref="AC68:AC71">
    <cfRule type="expression" dxfId="471" priority="542">
      <formula>AC66&lt;&gt;AC67+AC68+AC69+AC71</formula>
    </cfRule>
  </conditionalFormatting>
  <conditionalFormatting sqref="AC68:AC71">
    <cfRule type="expression" dxfId="470" priority="541">
      <formula>AC68=0</formula>
    </cfRule>
  </conditionalFormatting>
  <conditionalFormatting sqref="AD68:AI71">
    <cfRule type="expression" dxfId="469" priority="540">
      <formula>AD66&lt;&gt;AD67+AD68+AD69+AD71</formula>
    </cfRule>
  </conditionalFormatting>
  <conditionalFormatting sqref="AD68:AI71">
    <cfRule type="expression" dxfId="468" priority="539">
      <formula>AD68=0</formula>
    </cfRule>
  </conditionalFormatting>
  <conditionalFormatting sqref="F14:Y14">
    <cfRule type="expression" dxfId="467" priority="537">
      <formula>F14&lt;&gt;SUM(F15,F16,F17,F18)</formula>
    </cfRule>
  </conditionalFormatting>
  <conditionalFormatting sqref="F15:Y15">
    <cfRule type="expression" dxfId="466" priority="536">
      <formula>F14&lt;&gt;SUM(F15,F16,F17,F18)</formula>
    </cfRule>
  </conditionalFormatting>
  <conditionalFormatting sqref="F16:Y16">
    <cfRule type="expression" dxfId="465" priority="535">
      <formula>F14&lt;&gt;SUM(F15,F16,F17,F18)</formula>
    </cfRule>
  </conditionalFormatting>
  <conditionalFormatting sqref="F17:Y17">
    <cfRule type="expression" dxfId="464" priority="534">
      <formula>F14&lt;&gt;SUM(F15,F16,F17,F18)</formula>
    </cfRule>
  </conditionalFormatting>
  <conditionalFormatting sqref="F18:Y18">
    <cfRule type="expression" dxfId="463" priority="533">
      <formula>F14&lt;&gt;SUM(F15,F16,F17,F18)</formula>
    </cfRule>
  </conditionalFormatting>
  <conditionalFormatting sqref="AB14:AI14">
    <cfRule type="expression" dxfId="462" priority="532">
      <formula>AB14&lt;&gt;SUM(AB15,AB16,AB17,AB18)</formula>
    </cfRule>
  </conditionalFormatting>
  <conditionalFormatting sqref="AB15:AI15">
    <cfRule type="expression" dxfId="461" priority="531">
      <formula>AB14&lt;&gt;SUM(AB15,AB16,AB17,AB18)</formula>
    </cfRule>
  </conditionalFormatting>
  <conditionalFormatting sqref="AB16:AI16">
    <cfRule type="expression" dxfId="460" priority="530">
      <formula>AB14&lt;&gt;SUM(AB15,AB16,AB17,AB18)</formula>
    </cfRule>
  </conditionalFormatting>
  <conditionalFormatting sqref="AB17:AI17">
    <cfRule type="expression" dxfId="459" priority="529">
      <formula>AB14&lt;&gt;SUM(AB15,AB16,AB17,AB18)</formula>
    </cfRule>
  </conditionalFormatting>
  <conditionalFormatting sqref="AB18:AI18">
    <cfRule type="expression" dxfId="458" priority="528">
      <formula>AB14&lt;&gt;SUM(AB15,AB16,AB17,AB18)</formula>
    </cfRule>
  </conditionalFormatting>
  <conditionalFormatting sqref="F22:Y22">
    <cfRule type="expression" dxfId="457" priority="527">
      <formula>F22&lt;&gt;SUM(F23,F24,F25,F26)</formula>
    </cfRule>
  </conditionalFormatting>
  <conditionalFormatting sqref="F23:Y23">
    <cfRule type="expression" dxfId="456" priority="526">
      <formula>F22&lt;&gt;SUM(F23,F24,F25,F26)</formula>
    </cfRule>
  </conditionalFormatting>
  <conditionalFormatting sqref="F24:Y24">
    <cfRule type="expression" dxfId="455" priority="525">
      <formula>F22&lt;&gt;SUM(F23,F24,F25,F26)</formula>
    </cfRule>
  </conditionalFormatting>
  <conditionalFormatting sqref="F25:Y25">
    <cfRule type="expression" dxfId="454" priority="524">
      <formula>F22&lt;&gt;SUM(F23,F24,F25,F26)</formula>
    </cfRule>
  </conditionalFormatting>
  <conditionalFormatting sqref="F26:Y26">
    <cfRule type="expression" dxfId="453" priority="523">
      <formula>F22&lt;&gt;SUM(F23,F24,F25,F26)</formula>
    </cfRule>
  </conditionalFormatting>
  <conditionalFormatting sqref="AB22">
    <cfRule type="expression" dxfId="452" priority="522">
      <formula>AB22&lt;&gt;SUM(AB23,AB24,AB25,AB26)</formula>
    </cfRule>
  </conditionalFormatting>
  <conditionalFormatting sqref="AB23">
    <cfRule type="expression" dxfId="451" priority="521">
      <formula>AB22&lt;&gt;SUM(AB23,AB24,AB25,AB26)</formula>
    </cfRule>
  </conditionalFormatting>
  <conditionalFormatting sqref="AB24">
    <cfRule type="expression" dxfId="450" priority="520">
      <formula>AB22&lt;&gt;SUM(AB23,AB24,AB25,AB26)</formula>
    </cfRule>
  </conditionalFormatting>
  <conditionalFormatting sqref="AB25">
    <cfRule type="expression" dxfId="449" priority="519">
      <formula>AB22&lt;&gt;SUM(AB23,AB24,AB25,AB26)</formula>
    </cfRule>
  </conditionalFormatting>
  <conditionalFormatting sqref="AB26">
    <cfRule type="expression" dxfId="448" priority="518">
      <formula>AB22&lt;&gt;SUM(AB23,AB24,AB25,AB26)</formula>
    </cfRule>
  </conditionalFormatting>
  <conditionalFormatting sqref="AC22:AI22">
    <cfRule type="expression" dxfId="447" priority="517">
      <formula>AC22&lt;&gt;SUM(AC23,AC24,AC25,AC26)</formula>
    </cfRule>
  </conditionalFormatting>
  <conditionalFormatting sqref="AC23:AI23">
    <cfRule type="expression" dxfId="446" priority="516">
      <formula>AC22&lt;&gt;SUM(AC23,AC24,AC25,AC26)</formula>
    </cfRule>
  </conditionalFormatting>
  <conditionalFormatting sqref="AC24:AI24">
    <cfRule type="expression" dxfId="445" priority="515">
      <formula>AC22&lt;&gt;SUM(AC23,AC24,AC25,AC26)</formula>
    </cfRule>
  </conditionalFormatting>
  <conditionalFormatting sqref="AC25:AI25">
    <cfRule type="expression" dxfId="444" priority="514">
      <formula>AC22&lt;&gt;SUM(AC23,AC24,AC25,AC26)</formula>
    </cfRule>
  </conditionalFormatting>
  <conditionalFormatting sqref="AC26:AI26">
    <cfRule type="expression" dxfId="443" priority="513">
      <formula>AC22&lt;&gt;SUM(AC23,AC24,AC25,AC26)</formula>
    </cfRule>
  </conditionalFormatting>
  <conditionalFormatting sqref="F28:Y28">
    <cfRule type="expression" dxfId="442" priority="512">
      <formula>F28&lt;&gt;SUM(F29,F30,F31,F32)</formula>
    </cfRule>
  </conditionalFormatting>
  <conditionalFormatting sqref="F29:Y29">
    <cfRule type="expression" dxfId="441" priority="511">
      <formula>F28&lt;&gt;SUM(F29,F30,F31,F32)</formula>
    </cfRule>
  </conditionalFormatting>
  <conditionalFormatting sqref="F30:Y30">
    <cfRule type="expression" dxfId="440" priority="510">
      <formula>F28&lt;&gt;SUM(F29,F30,F31,F32)</formula>
    </cfRule>
  </conditionalFormatting>
  <conditionalFormatting sqref="F31:Y31">
    <cfRule type="expression" dxfId="439" priority="509">
      <formula>F28&lt;&gt;SUM(F29,F30,F31,F32)</formula>
    </cfRule>
  </conditionalFormatting>
  <conditionalFormatting sqref="F32:Y32">
    <cfRule type="expression" dxfId="438" priority="508">
      <formula>F28&lt;&gt;SUM(F29,F30,F31,F32)</formula>
    </cfRule>
  </conditionalFormatting>
  <conditionalFormatting sqref="AB28:AI28">
    <cfRule type="expression" dxfId="437" priority="507">
      <formula>AB28&lt;&gt;SUM(AB29,AB30,AB31,AB32)</formula>
    </cfRule>
  </conditionalFormatting>
  <conditionalFormatting sqref="AB29:AI29">
    <cfRule type="expression" dxfId="436" priority="506">
      <formula>AB28&lt;&gt;SUM(AB29,AB30,AB31,AB32)</formula>
    </cfRule>
  </conditionalFormatting>
  <conditionalFormatting sqref="AB30:AI30">
    <cfRule type="expression" dxfId="435" priority="505">
      <formula>AB28&lt;&gt;SUM(AB29,AB30,AB31,AB32)</formula>
    </cfRule>
  </conditionalFormatting>
  <conditionalFormatting sqref="AB31:AI31">
    <cfRule type="expression" dxfId="434" priority="504">
      <formula>AB28&lt;&gt;SUM(AB29,AB30,AB31,AB32)</formula>
    </cfRule>
  </conditionalFormatting>
  <conditionalFormatting sqref="AB32:AI32">
    <cfRule type="expression" dxfId="433" priority="503">
      <formula>AB28&lt;&gt;SUM(AB29,AB30,AB31,AB32)</formula>
    </cfRule>
  </conditionalFormatting>
  <conditionalFormatting sqref="F34:G34">
    <cfRule type="expression" dxfId="432" priority="502">
      <formula>F34&lt;&gt;SUM(F35,F36,F37,F38)</formula>
    </cfRule>
  </conditionalFormatting>
  <conditionalFormatting sqref="F35:G35">
    <cfRule type="expression" dxfId="431" priority="501">
      <formula>F34&lt;&gt;SUM(F35,F36,F37,F38)</formula>
    </cfRule>
  </conditionalFormatting>
  <conditionalFormatting sqref="F36:G36">
    <cfRule type="expression" dxfId="430" priority="500">
      <formula>F34&lt;&gt;SUM(F35,F36,F37,F38)</formula>
    </cfRule>
  </conditionalFormatting>
  <conditionalFormatting sqref="F37:G37">
    <cfRule type="expression" dxfId="429" priority="499">
      <formula>F34&lt;&gt;SUM(F35,F36,F37,F38)</formula>
    </cfRule>
  </conditionalFormatting>
  <conditionalFormatting sqref="F38:G38">
    <cfRule type="expression" dxfId="428" priority="498">
      <formula>F34&lt;&gt;SUM(F35,F36,F37,F38)</formula>
    </cfRule>
  </conditionalFormatting>
  <conditionalFormatting sqref="F40">
    <cfRule type="expression" dxfId="427" priority="497">
      <formula>F40&lt;&gt;SUM(F41,F42,F43,F44)</formula>
    </cfRule>
  </conditionalFormatting>
  <conditionalFormatting sqref="F41">
    <cfRule type="expression" dxfId="426" priority="496">
      <formula>F40&lt;&gt;SUM(F41,F42,F43,F44)</formula>
    </cfRule>
  </conditionalFormatting>
  <conditionalFormatting sqref="F42">
    <cfRule type="expression" dxfId="425" priority="495">
      <formula>F40&lt;&gt;SUM(F41,F42,F43,F44)</formula>
    </cfRule>
  </conditionalFormatting>
  <conditionalFormatting sqref="F43">
    <cfRule type="expression" dxfId="424" priority="494">
      <formula>F40&lt;&gt;SUM(F41,F42,F43,F44)</formula>
    </cfRule>
  </conditionalFormatting>
  <conditionalFormatting sqref="F44">
    <cfRule type="expression" dxfId="423" priority="493">
      <formula>F40&lt;&gt;SUM(F41,F42,F43,F44)</formula>
    </cfRule>
  </conditionalFormatting>
  <conditionalFormatting sqref="G40">
    <cfRule type="expression" dxfId="422" priority="492">
      <formula>G40&lt;&gt;SUM(G41,G42,G43,G44)</formula>
    </cfRule>
  </conditionalFormatting>
  <conditionalFormatting sqref="G41">
    <cfRule type="expression" dxfId="421" priority="491">
      <formula>G40&lt;&gt;SUM(G41,G42,G43,G44)</formula>
    </cfRule>
  </conditionalFormatting>
  <conditionalFormatting sqref="G42">
    <cfRule type="expression" dxfId="420" priority="490">
      <formula>G40&lt;&gt;SUM(G41,G42,G43,G44)</formula>
    </cfRule>
  </conditionalFormatting>
  <conditionalFormatting sqref="G43">
    <cfRule type="expression" dxfId="419" priority="489">
      <formula>G40&lt;&gt;SUM(G41,G42,G43,G44)</formula>
    </cfRule>
  </conditionalFormatting>
  <conditionalFormatting sqref="G44">
    <cfRule type="expression" dxfId="418" priority="488">
      <formula>G40&lt;&gt;SUM(G41,G42,G43,G44)</formula>
    </cfRule>
  </conditionalFormatting>
  <conditionalFormatting sqref="F46:Y46">
    <cfRule type="expression" dxfId="417" priority="487">
      <formula>F46&lt;&gt;SUM(F47,F48,F49,F50)</formula>
    </cfRule>
  </conditionalFormatting>
  <conditionalFormatting sqref="F47:Y47">
    <cfRule type="expression" dxfId="416" priority="486">
      <formula>F46&lt;&gt;SUM(F47,F48,F49,F50)</formula>
    </cfRule>
  </conditionalFormatting>
  <conditionalFormatting sqref="F48:Y48">
    <cfRule type="expression" dxfId="415" priority="485">
      <formula>F46&lt;&gt;SUM(F47,F48,F49,F50)</formula>
    </cfRule>
  </conditionalFormatting>
  <conditionalFormatting sqref="F49:Y49">
    <cfRule type="expression" dxfId="414" priority="484">
      <formula>F46&lt;&gt;SUM(F47,F48,F49,F50)</formula>
    </cfRule>
  </conditionalFormatting>
  <conditionalFormatting sqref="F50:Y50">
    <cfRule type="expression" dxfId="413" priority="483">
      <formula>F46&lt;&gt;SUM(F47,F48,F49,F50)</formula>
    </cfRule>
  </conditionalFormatting>
  <conditionalFormatting sqref="AB46">
    <cfRule type="expression" dxfId="412" priority="482">
      <formula>AB46&lt;&gt;SUM(AB47,AB48,AB49,AB50)</formula>
    </cfRule>
  </conditionalFormatting>
  <conditionalFormatting sqref="AB47">
    <cfRule type="expression" dxfId="411" priority="481">
      <formula>AB46&lt;&gt;SUM(AB47,AB48,AB49,AB50)</formula>
    </cfRule>
  </conditionalFormatting>
  <conditionalFormatting sqref="AB48">
    <cfRule type="expression" dxfId="410" priority="480">
      <formula>AB46&lt;&gt;SUM(AB47,AB48,AB49,AB50)</formula>
    </cfRule>
  </conditionalFormatting>
  <conditionalFormatting sqref="AB49">
    <cfRule type="expression" dxfId="409" priority="479">
      <formula>AB46&lt;&gt;SUM(AB47,AB48,AB49,AB50)</formula>
    </cfRule>
  </conditionalFormatting>
  <conditionalFormatting sqref="AB50">
    <cfRule type="expression" dxfId="408" priority="478">
      <formula>AB46&lt;&gt;SUM(AB47,AB48,AB49,AB50)</formula>
    </cfRule>
  </conditionalFormatting>
  <conditionalFormatting sqref="AC46:AI46">
    <cfRule type="expression" dxfId="407" priority="477">
      <formula>AC46&lt;&gt;SUM(AC47,AC48,AC49,AC50)</formula>
    </cfRule>
  </conditionalFormatting>
  <conditionalFormatting sqref="AC47:AI47">
    <cfRule type="expression" dxfId="406" priority="476">
      <formula>AC46&lt;&gt;SUM(AC47,AC48,AC49,AC50)</formula>
    </cfRule>
  </conditionalFormatting>
  <conditionalFormatting sqref="AC48:AI48">
    <cfRule type="expression" dxfId="405" priority="475">
      <formula>AC46&lt;&gt;SUM(AC47,AC48,AC49,AC50)</formula>
    </cfRule>
  </conditionalFormatting>
  <conditionalFormatting sqref="AC49:AI49">
    <cfRule type="expression" dxfId="404" priority="474">
      <formula>AC46&lt;&gt;SUM(AC47,AC48,AC49,AC50)</formula>
    </cfRule>
  </conditionalFormatting>
  <conditionalFormatting sqref="AC50:AI50">
    <cfRule type="expression" dxfId="403" priority="473">
      <formula>AC46&lt;&gt;SUM(AC47,AC48,AC49,AC50)</formula>
    </cfRule>
  </conditionalFormatting>
  <conditionalFormatting sqref="F53:Y53">
    <cfRule type="expression" dxfId="402" priority="472">
      <formula>F52&lt;&gt;SUM(F53,F54,F55,F56)</formula>
    </cfRule>
  </conditionalFormatting>
  <conditionalFormatting sqref="F54:Y54">
    <cfRule type="expression" dxfId="401" priority="471">
      <formula>F52&lt;&gt;SUM(F53,F54,F55,F56)</formula>
    </cfRule>
  </conditionalFormatting>
  <conditionalFormatting sqref="F55:Y55">
    <cfRule type="expression" dxfId="400" priority="470">
      <formula>F52&lt;&gt;SUM(F53,F54,F55,F56)</formula>
    </cfRule>
  </conditionalFormatting>
  <conditionalFormatting sqref="F56:Y56">
    <cfRule type="expression" dxfId="399" priority="469">
      <formula>F52&lt;&gt;SUM(F53,F54,F55,F56)</formula>
    </cfRule>
  </conditionalFormatting>
  <conditionalFormatting sqref="F52:Y52">
    <cfRule type="expression" dxfId="398" priority="468">
      <formula>F52&lt;&gt;SUM(F53,F54,F55,F56)</formula>
    </cfRule>
  </conditionalFormatting>
  <conditionalFormatting sqref="AB52">
    <cfRule type="cellIs" dxfId="397" priority="467" operator="equal">
      <formula>0</formula>
    </cfRule>
  </conditionalFormatting>
  <conditionalFormatting sqref="AB53">
    <cfRule type="expression" dxfId="396" priority="466">
      <formula>AB52&lt;&gt;SUM(AB53,AB54,AB55,AB56)</formula>
    </cfRule>
  </conditionalFormatting>
  <conditionalFormatting sqref="AB54">
    <cfRule type="expression" dxfId="395" priority="465">
      <formula>AB52&lt;&gt;SUM(AB53,AB54,AB55,AB56)</formula>
    </cfRule>
  </conditionalFormatting>
  <conditionalFormatting sqref="AB55">
    <cfRule type="expression" dxfId="394" priority="464">
      <formula>AB52&lt;&gt;SUM(AB53,AB54,AB55,AB56)</formula>
    </cfRule>
  </conditionalFormatting>
  <conditionalFormatting sqref="AB56">
    <cfRule type="expression" dxfId="393" priority="463">
      <formula>AB52&lt;&gt;SUM(AB53,AB54,AB55,AB56)</formula>
    </cfRule>
  </conditionalFormatting>
  <conditionalFormatting sqref="AB52">
    <cfRule type="expression" dxfId="392" priority="462">
      <formula>AB52&lt;&gt;SUM(AB53,AB54,AB55,AB56)</formula>
    </cfRule>
  </conditionalFormatting>
  <conditionalFormatting sqref="AC52:AI52">
    <cfRule type="cellIs" dxfId="391" priority="461" operator="equal">
      <formula>0</formula>
    </cfRule>
  </conditionalFormatting>
  <conditionalFormatting sqref="AC53:AI53">
    <cfRule type="expression" dxfId="390" priority="460">
      <formula>AC52&lt;&gt;SUM(AC53,AC54,AC55,AC56)</formula>
    </cfRule>
  </conditionalFormatting>
  <conditionalFormatting sqref="AC54:AI54">
    <cfRule type="expression" dxfId="389" priority="459">
      <formula>AC52&lt;&gt;SUM(AC53,AC54,AC55,AC56)</formula>
    </cfRule>
  </conditionalFormatting>
  <conditionalFormatting sqref="AC55:AI55">
    <cfRule type="expression" dxfId="388" priority="458">
      <formula>AC52&lt;&gt;SUM(AC53,AC54,AC55,AC56)</formula>
    </cfRule>
  </conditionalFormatting>
  <conditionalFormatting sqref="AC56:AI56">
    <cfRule type="expression" dxfId="387" priority="457">
      <formula>AC52&lt;&gt;SUM(AC53,AC54,AC55,AC56)</formula>
    </cfRule>
  </conditionalFormatting>
  <conditionalFormatting sqref="AC52:AI52">
    <cfRule type="expression" dxfId="386" priority="456">
      <formula>AC52&lt;&gt;SUM(AC53,AC54,AC55,AC56)</formula>
    </cfRule>
  </conditionalFormatting>
  <conditionalFormatting sqref="AB59:AB62">
    <cfRule type="cellIs" dxfId="385" priority="454" operator="equal">
      <formula>0</formula>
    </cfRule>
    <cfRule type="expression" dxfId="384" priority="455">
      <formula>AB60&gt;AB59</formula>
    </cfRule>
  </conditionalFormatting>
  <conditionalFormatting sqref="AC59:AC62 AE59:AE62 AG59:AG62 AI59:AI62">
    <cfRule type="cellIs" dxfId="383" priority="452" operator="equal">
      <formula>0</formula>
    </cfRule>
    <cfRule type="expression" dxfId="382" priority="453">
      <formula>AC60&gt;AC59</formula>
    </cfRule>
  </conditionalFormatting>
  <conditionalFormatting sqref="AD59:AD62 AF59:AF62 AH59:AH62">
    <cfRule type="cellIs" dxfId="381" priority="450" operator="equal">
      <formula>0</formula>
    </cfRule>
    <cfRule type="expression" dxfId="380" priority="451">
      <formula>AD60&gt;AD59</formula>
    </cfRule>
  </conditionalFormatting>
  <conditionalFormatting sqref="L73:Y73">
    <cfRule type="expression" dxfId="379" priority="449">
      <formula>L73&lt;&gt;SUM(L74,L75,L76,L77)</formula>
    </cfRule>
  </conditionalFormatting>
  <conditionalFormatting sqref="L74:Y74">
    <cfRule type="expression" dxfId="378" priority="448">
      <formula>L73&lt;&gt;SUM(L74,L75,L76,L77)</formula>
    </cfRule>
  </conditionalFormatting>
  <conditionalFormatting sqref="L75:Y75">
    <cfRule type="expression" dxfId="377" priority="447">
      <formula>L73&lt;&gt;SUM(L74,L75,L76,L77)</formula>
    </cfRule>
  </conditionalFormatting>
  <conditionalFormatting sqref="L76:Y76">
    <cfRule type="expression" dxfId="376" priority="446">
      <formula>L73&lt;&gt;SUM(L74,L75,L76,L77)</formula>
    </cfRule>
  </conditionalFormatting>
  <conditionalFormatting sqref="L77:Y77">
    <cfRule type="expression" dxfId="375" priority="445">
      <formula>L73&lt;&gt;SUM(L74,L75,L76,L77)</formula>
    </cfRule>
  </conditionalFormatting>
  <conditionalFormatting sqref="AB73">
    <cfRule type="expression" dxfId="374" priority="444">
      <formula>AB73&lt;&gt;SUM(AB74,AB75,AB76,AB77)</formula>
    </cfRule>
  </conditionalFormatting>
  <conditionalFormatting sqref="AB74">
    <cfRule type="expression" dxfId="373" priority="443">
      <formula>AB73&lt;&gt;SUM(AB74,AB75,AB76,AB77)</formula>
    </cfRule>
  </conditionalFormatting>
  <conditionalFormatting sqref="AB75">
    <cfRule type="expression" dxfId="372" priority="442">
      <formula>AB73&lt;&gt;SUM(AB74,AB75,AB76,AB77)</formula>
    </cfRule>
  </conditionalFormatting>
  <conditionalFormatting sqref="AB76">
    <cfRule type="expression" dxfId="371" priority="441">
      <formula>AB73&lt;&gt;SUM(AB74,AB75,AB76,AB77)</formula>
    </cfRule>
  </conditionalFormatting>
  <conditionalFormatting sqref="AB77">
    <cfRule type="expression" dxfId="370" priority="440">
      <formula>AB73&lt;&gt;SUM(AB74,AB75,AB76,AB77)</formula>
    </cfRule>
  </conditionalFormatting>
  <conditionalFormatting sqref="AC73:AI73">
    <cfRule type="expression" dxfId="369" priority="439">
      <formula>AC73&lt;&gt;SUM(AC74,AC75,AC76,AC77)</formula>
    </cfRule>
  </conditionalFormatting>
  <conditionalFormatting sqref="AC74:AI74">
    <cfRule type="expression" dxfId="368" priority="438">
      <formula>AC73&lt;&gt;SUM(AC74,AC75,AC76,AC77)</formula>
    </cfRule>
  </conditionalFormatting>
  <conditionalFormatting sqref="AC75:AI75">
    <cfRule type="expression" dxfId="367" priority="437">
      <formula>AC73&lt;&gt;SUM(AC74,AC75,AC76,AC77)</formula>
    </cfRule>
  </conditionalFormatting>
  <conditionalFormatting sqref="AC76:AI76">
    <cfRule type="expression" dxfId="366" priority="436">
      <formula>AC73&lt;&gt;SUM(AC74,AC75,AC76,AC77)</formula>
    </cfRule>
  </conditionalFormatting>
  <conditionalFormatting sqref="AC77:AI77">
    <cfRule type="expression" dxfId="365" priority="435">
      <formula>AC73&lt;&gt;SUM(AC74,AC75,AC76,AC77)</formula>
    </cfRule>
  </conditionalFormatting>
  <conditionalFormatting sqref="F80:Y80">
    <cfRule type="expression" dxfId="364" priority="434">
      <formula>F80&lt;&gt;SUM(F81,F82,F83,F84)</formula>
    </cfRule>
  </conditionalFormatting>
  <conditionalFormatting sqref="F81:Y81">
    <cfRule type="expression" dxfId="363" priority="433">
      <formula>F80&lt;&gt;SUM(F81,F82,F83,F84)</formula>
    </cfRule>
  </conditionalFormatting>
  <conditionalFormatting sqref="F82:Y82">
    <cfRule type="expression" dxfId="362" priority="432">
      <formula>F80&lt;&gt;SUM(F81,F82,F83,F84)</formula>
    </cfRule>
  </conditionalFormatting>
  <conditionalFormatting sqref="F83:Y83">
    <cfRule type="expression" dxfId="361" priority="431">
      <formula>F80&lt;&gt;SUM(F81,F82,F83,F84)</formula>
    </cfRule>
  </conditionalFormatting>
  <conditionalFormatting sqref="F84:Y84">
    <cfRule type="expression" dxfId="360" priority="430">
      <formula>F80&lt;&gt;SUM(F81,F82,F83,F84)</formula>
    </cfRule>
  </conditionalFormatting>
  <conditionalFormatting sqref="AB80">
    <cfRule type="expression" dxfId="359" priority="429">
      <formula>AB80&lt;&gt;SUM(AB81,AB82,AB83,AB84)</formula>
    </cfRule>
  </conditionalFormatting>
  <conditionalFormatting sqref="AB81">
    <cfRule type="expression" dxfId="358" priority="428">
      <formula>AB80&lt;&gt;SUM(AB81,AB82,AB83,AB84)</formula>
    </cfRule>
  </conditionalFormatting>
  <conditionalFormatting sqref="AB82">
    <cfRule type="expression" dxfId="357" priority="427">
      <formula>AB80&lt;&gt;SUM(AB81,AB82,AB83,AB84)</formula>
    </cfRule>
  </conditionalFormatting>
  <conditionalFormatting sqref="AB83">
    <cfRule type="expression" dxfId="356" priority="426">
      <formula>AB80&lt;&gt;SUM(AB81,AB82,AB83,AB84)</formula>
    </cfRule>
  </conditionalFormatting>
  <conditionalFormatting sqref="AB84">
    <cfRule type="expression" dxfId="355" priority="425">
      <formula>AB80&lt;&gt;SUM(AB81,AB82,AB83,AB84)</formula>
    </cfRule>
  </conditionalFormatting>
  <conditionalFormatting sqref="AC80 AE80 AG80 AI80">
    <cfRule type="expression" dxfId="354" priority="424">
      <formula>AC80&lt;&gt;SUM(AC81,AC82,AC83,AC84)</formula>
    </cfRule>
  </conditionalFormatting>
  <conditionalFormatting sqref="AC81 AE81 AG81 AI81">
    <cfRule type="expression" dxfId="353" priority="423">
      <formula>AC80&lt;&gt;SUM(AC81,AC82,AC83,AC84)</formula>
    </cfRule>
  </conditionalFormatting>
  <conditionalFormatting sqref="AC82 AE82 AG82 AI82">
    <cfRule type="expression" dxfId="352" priority="422">
      <formula>AC80&lt;&gt;SUM(AC81,AC82,AC83,AC84)</formula>
    </cfRule>
  </conditionalFormatting>
  <conditionalFormatting sqref="AC83 AE83 AG83 AI83">
    <cfRule type="expression" dxfId="351" priority="421">
      <formula>AC80&lt;&gt;SUM(AC81,AC82,AC83,AC84)</formula>
    </cfRule>
  </conditionalFormatting>
  <conditionalFormatting sqref="AC84 AE84 AG84 AI84">
    <cfRule type="expression" dxfId="350" priority="420">
      <formula>AC80&lt;&gt;SUM(AC81,AC82,AC83,AC84)</formula>
    </cfRule>
  </conditionalFormatting>
  <conditionalFormatting sqref="AD80 AF80 AH80">
    <cfRule type="expression" dxfId="349" priority="419">
      <formula>AD80&lt;&gt;SUM(AD81,AD82,AD83,AD84)</formula>
    </cfRule>
  </conditionalFormatting>
  <conditionalFormatting sqref="AD81 AF81 AH81">
    <cfRule type="expression" dxfId="348" priority="418">
      <formula>AD80&lt;&gt;SUM(AD81,AD82,AD83,AD84)</formula>
    </cfRule>
  </conditionalFormatting>
  <conditionalFormatting sqref="AD82 AF82 AH82">
    <cfRule type="expression" dxfId="347" priority="417">
      <formula>AD80&lt;&gt;SUM(AD81,AD82,AD83,AD84)</formula>
    </cfRule>
  </conditionalFormatting>
  <conditionalFormatting sqref="AD83 AF83 AH83">
    <cfRule type="expression" dxfId="346" priority="416">
      <formula>AD80&lt;&gt;SUM(AD81,AD82,AD83,AD84)</formula>
    </cfRule>
  </conditionalFormatting>
  <conditionalFormatting sqref="AD84 AF84 AH84">
    <cfRule type="expression" dxfId="345" priority="415">
      <formula>AD80&lt;&gt;SUM(AD81,AD82,AD83,AD84)</formula>
    </cfRule>
  </conditionalFormatting>
  <conditionalFormatting sqref="AB85">
    <cfRule type="expression" dxfId="344" priority="414">
      <formula>AB85&lt;0</formula>
    </cfRule>
  </conditionalFormatting>
  <conditionalFormatting sqref="AC85:AI85">
    <cfRule type="expression" dxfId="343" priority="413">
      <formula>AC85&lt;0</formula>
    </cfRule>
  </conditionalFormatting>
  <conditionalFormatting sqref="F88:Y88">
    <cfRule type="expression" dxfId="342" priority="412">
      <formula>F88&lt;&gt;SUM(F89,F90,F91,F92)</formula>
    </cfRule>
  </conditionalFormatting>
  <conditionalFormatting sqref="F89:Y89">
    <cfRule type="expression" dxfId="341" priority="411">
      <formula>F88&lt;&gt;SUM(F89,F90,F91,F92)</formula>
    </cfRule>
  </conditionalFormatting>
  <conditionalFormatting sqref="F90:Y90">
    <cfRule type="expression" dxfId="340" priority="410">
      <formula>F88&lt;&gt;SUM(F89,F90,F91,F92)</formula>
    </cfRule>
  </conditionalFormatting>
  <conditionalFormatting sqref="F91:Y91">
    <cfRule type="expression" dxfId="339" priority="409">
      <formula>F88&lt;&gt;SUM(F89,F90,F91,F92)</formula>
    </cfRule>
  </conditionalFormatting>
  <conditionalFormatting sqref="F92:Y92">
    <cfRule type="expression" dxfId="338" priority="408">
      <formula>F88&lt;&gt;SUM(F89,F90,F91,F92)</formula>
    </cfRule>
  </conditionalFormatting>
  <conditionalFormatting sqref="AB88">
    <cfRule type="expression" dxfId="337" priority="407">
      <formula>AB88&lt;&gt;SUM(AB89,AB90,AB91,AB92)</formula>
    </cfRule>
  </conditionalFormatting>
  <conditionalFormatting sqref="AB89">
    <cfRule type="expression" dxfId="336" priority="406">
      <formula>AB88&lt;&gt;SUM(AB89,AB90,AB91,AB92)</formula>
    </cfRule>
  </conditionalFormatting>
  <conditionalFormatting sqref="AB90">
    <cfRule type="expression" dxfId="335" priority="405">
      <formula>AB88&lt;&gt;SUM(AB89,AB90,AB91,AB92)</formula>
    </cfRule>
  </conditionalFormatting>
  <conditionalFormatting sqref="AB91">
    <cfRule type="expression" dxfId="334" priority="404">
      <formula>AB88&lt;&gt;SUM(AB89,AB90,AB91,AB92)</formula>
    </cfRule>
  </conditionalFormatting>
  <conditionalFormatting sqref="AB92">
    <cfRule type="expression" dxfId="333" priority="403">
      <formula>AB88&lt;&gt;SUM(AB89,AB90,AB91,AB92)</formula>
    </cfRule>
  </conditionalFormatting>
  <conditionalFormatting sqref="AC88:AI88">
    <cfRule type="expression" dxfId="332" priority="402">
      <formula>AC88&lt;&gt;SUM(AC89,AC90,AC91,AC92)</formula>
    </cfRule>
  </conditionalFormatting>
  <conditionalFormatting sqref="AC89:AI89">
    <cfRule type="expression" dxfId="331" priority="401">
      <formula>AC88&lt;&gt;SUM(AC89,AC90,AC91,AC92)</formula>
    </cfRule>
  </conditionalFormatting>
  <conditionalFormatting sqref="AC90:AI90">
    <cfRule type="expression" dxfId="330" priority="400">
      <formula>AC88&lt;&gt;SUM(AC89,AC90,AC91,AC92)</formula>
    </cfRule>
  </conditionalFormatting>
  <conditionalFormatting sqref="AC91:AI91">
    <cfRule type="expression" dxfId="329" priority="399">
      <formula>AC88&lt;&gt;SUM(AC89,AC90,AC91,AC92)</formula>
    </cfRule>
  </conditionalFormatting>
  <conditionalFormatting sqref="AC92:AI92">
    <cfRule type="expression" dxfId="328" priority="398">
      <formula>AC88&lt;&gt;SUM(AC89,AC90,AC91,AC92)</formula>
    </cfRule>
  </conditionalFormatting>
  <conditionalFormatting sqref="L134:AA134">
    <cfRule type="expression" dxfId="327" priority="397">
      <formula>L134&gt;L133</formula>
    </cfRule>
  </conditionalFormatting>
  <conditionalFormatting sqref="AL116:AL145">
    <cfRule type="notContainsBlanks" dxfId="326" priority="396">
      <formula>LEN(TRIM(AL116))&gt;0</formula>
    </cfRule>
  </conditionalFormatting>
  <conditionalFormatting sqref="M138">
    <cfRule type="expression" dxfId="325" priority="395">
      <formula>M138+M139&gt;M133</formula>
    </cfRule>
  </conditionalFormatting>
  <conditionalFormatting sqref="L139">
    <cfRule type="expression" dxfId="324" priority="394">
      <formula>L138+L139&gt;L133</formula>
    </cfRule>
  </conditionalFormatting>
  <conditionalFormatting sqref="N139">
    <cfRule type="expression" dxfId="323" priority="393">
      <formula>N138+N139&gt;N133</formula>
    </cfRule>
  </conditionalFormatting>
  <conditionalFormatting sqref="P139">
    <cfRule type="expression" dxfId="322" priority="392">
      <formula>P138+P139&gt;P133</formula>
    </cfRule>
  </conditionalFormatting>
  <conditionalFormatting sqref="R139">
    <cfRule type="expression" dxfId="321" priority="391">
      <formula>R138+R139&gt;R133</formula>
    </cfRule>
  </conditionalFormatting>
  <conditionalFormatting sqref="T139">
    <cfRule type="expression" dxfId="320" priority="390">
      <formula>T138+T139&gt;T133</formula>
    </cfRule>
  </conditionalFormatting>
  <conditionalFormatting sqref="V139">
    <cfRule type="expression" dxfId="319" priority="389">
      <formula>V138+V139&gt;V133</formula>
    </cfRule>
  </conditionalFormatting>
  <conditionalFormatting sqref="X139">
    <cfRule type="expression" dxfId="318" priority="388">
      <formula>X138+X139&gt;X133</formula>
    </cfRule>
  </conditionalFormatting>
  <conditionalFormatting sqref="Z139">
    <cfRule type="expression" dxfId="317" priority="387">
      <formula>Z138+Z139&gt;Z133</formula>
    </cfRule>
  </conditionalFormatting>
  <conditionalFormatting sqref="O138">
    <cfRule type="expression" dxfId="316" priority="386">
      <formula>O138+O139&gt;O133</formula>
    </cfRule>
  </conditionalFormatting>
  <conditionalFormatting sqref="Q138">
    <cfRule type="expression" dxfId="315" priority="385">
      <formula>Q138+Q139&gt;Q133</formula>
    </cfRule>
  </conditionalFormatting>
  <conditionalFormatting sqref="S138">
    <cfRule type="expression" dxfId="314" priority="384">
      <formula>S138+S139&gt;S133</formula>
    </cfRule>
  </conditionalFormatting>
  <conditionalFormatting sqref="U138">
    <cfRule type="expression" dxfId="313" priority="383">
      <formula>U138+U139&gt;U133</formula>
    </cfRule>
  </conditionalFormatting>
  <conditionalFormatting sqref="W138">
    <cfRule type="expression" dxfId="312" priority="382">
      <formula>W138+W139&gt;W133</formula>
    </cfRule>
  </conditionalFormatting>
  <conditionalFormatting sqref="Y138">
    <cfRule type="expression" dxfId="311" priority="381">
      <formula>Y138+Y139&gt;Y133</formula>
    </cfRule>
  </conditionalFormatting>
  <conditionalFormatting sqref="AA138">
    <cfRule type="expression" dxfId="310" priority="380">
      <formula>AA138+AA139&gt;AA133</formula>
    </cfRule>
  </conditionalFormatting>
  <conditionalFormatting sqref="L133:M133">
    <cfRule type="expression" dxfId="309" priority="379">
      <formula>L138+L139&gt;L133</formula>
    </cfRule>
  </conditionalFormatting>
  <conditionalFormatting sqref="N133">
    <cfRule type="expression" dxfId="308" priority="378">
      <formula>N138+N139&gt;N133</formula>
    </cfRule>
  </conditionalFormatting>
  <conditionalFormatting sqref="O133">
    <cfRule type="expression" dxfId="307" priority="377">
      <formula>O138+O139&gt;O133</formula>
    </cfRule>
  </conditionalFormatting>
  <conditionalFormatting sqref="P133">
    <cfRule type="expression" dxfId="306" priority="376">
      <formula>P138+P139&gt;P133</formula>
    </cfRule>
  </conditionalFormatting>
  <conditionalFormatting sqref="Q133:AA133">
    <cfRule type="expression" dxfId="305" priority="375">
      <formula>Q138+Q139&gt;Q133</formula>
    </cfRule>
  </conditionalFormatting>
  <conditionalFormatting sqref="K153">
    <cfRule type="expression" dxfId="304" priority="374">
      <formula>K153&lt;&gt;K154+K155+K156+K157</formula>
    </cfRule>
  </conditionalFormatting>
  <conditionalFormatting sqref="M154">
    <cfRule type="expression" dxfId="303" priority="371">
      <formula>M153&lt;&gt;M154+M155+M156+M157</formula>
    </cfRule>
  </conditionalFormatting>
  <conditionalFormatting sqref="M155">
    <cfRule type="expression" dxfId="302" priority="370">
      <formula>M153&lt;&gt;M154+M155+M156+M157</formula>
    </cfRule>
  </conditionalFormatting>
  <conditionalFormatting sqref="M156">
    <cfRule type="expression" dxfId="301" priority="369">
      <formula>M153&lt;&gt;M154+M155+M156+M157</formula>
    </cfRule>
  </conditionalFormatting>
  <conditionalFormatting sqref="M157">
    <cfRule type="expression" dxfId="300" priority="368">
      <formula>M153&lt;&gt;M154+M155+M156+M157</formula>
    </cfRule>
  </conditionalFormatting>
  <conditionalFormatting sqref="O154">
    <cfRule type="expression" dxfId="299" priority="364">
      <formula>O153&lt;&gt;O154+O155+O156+O157</formula>
    </cfRule>
  </conditionalFormatting>
  <conditionalFormatting sqref="O155">
    <cfRule type="expression" dxfId="298" priority="363">
      <formula>O153&lt;&gt;O154+O155+O156+O157</formula>
    </cfRule>
  </conditionalFormatting>
  <conditionalFormatting sqref="O156">
    <cfRule type="expression" dxfId="297" priority="362">
      <formula>O153&lt;&gt;O154+O155+O156+O157</formula>
    </cfRule>
  </conditionalFormatting>
  <conditionalFormatting sqref="O157">
    <cfRule type="expression" dxfId="296" priority="361">
      <formula>O153&lt;&gt;O154+O155+O156+O157</formula>
    </cfRule>
  </conditionalFormatting>
  <conditionalFormatting sqref="Q154">
    <cfRule type="expression" dxfId="295" priority="357">
      <formula>Q153&lt;&gt;Q154+Q155+Q156+Q157</formula>
    </cfRule>
  </conditionalFormatting>
  <conditionalFormatting sqref="Q155">
    <cfRule type="expression" dxfId="294" priority="356">
      <formula>Q153&lt;&gt;Q154+Q155+Q156+Q157</formula>
    </cfRule>
  </conditionalFormatting>
  <conditionalFormatting sqref="Q156">
    <cfRule type="expression" dxfId="293" priority="355">
      <formula>Q153&lt;&gt;Q154+Q155+Q156+Q157</formula>
    </cfRule>
  </conditionalFormatting>
  <conditionalFormatting sqref="Q157">
    <cfRule type="expression" dxfId="292" priority="354">
      <formula>Q153&lt;&gt;Q154+Q155+Q156+Q157</formula>
    </cfRule>
  </conditionalFormatting>
  <conditionalFormatting sqref="S154">
    <cfRule type="expression" dxfId="291" priority="350">
      <formula>S153&lt;&gt;S154+S155+S156+S157</formula>
    </cfRule>
  </conditionalFormatting>
  <conditionalFormatting sqref="S155">
    <cfRule type="expression" dxfId="290" priority="349">
      <formula>S153&lt;&gt;S154+S155+S156+S157</formula>
    </cfRule>
  </conditionalFormatting>
  <conditionalFormatting sqref="S156">
    <cfRule type="expression" dxfId="289" priority="348">
      <formula>S153&lt;&gt;S154+S155+S156+S157</formula>
    </cfRule>
  </conditionalFormatting>
  <conditionalFormatting sqref="S157">
    <cfRule type="expression" dxfId="288" priority="347">
      <formula>S153&lt;&gt;S154+S155+S156+S157</formula>
    </cfRule>
  </conditionalFormatting>
  <conditionalFormatting sqref="U154">
    <cfRule type="expression" dxfId="287" priority="343">
      <formula>U153&lt;&gt;U154+U155+U156+U157</formula>
    </cfRule>
  </conditionalFormatting>
  <conditionalFormatting sqref="U155">
    <cfRule type="expression" dxfId="286" priority="342">
      <formula>U153&lt;&gt;U154+U155+U156+U157</formula>
    </cfRule>
  </conditionalFormatting>
  <conditionalFormatting sqref="U156">
    <cfRule type="expression" dxfId="285" priority="341">
      <formula>U153&lt;&gt;U154+U155+U156+U157</formula>
    </cfRule>
  </conditionalFormatting>
  <conditionalFormatting sqref="U157">
    <cfRule type="expression" dxfId="284" priority="340">
      <formula>U153&lt;&gt;U154+U155+U156+U157</formula>
    </cfRule>
  </conditionalFormatting>
  <conditionalFormatting sqref="W154">
    <cfRule type="expression" dxfId="283" priority="336">
      <formula>W153&lt;&gt;W154+W155+W156+W157</formula>
    </cfRule>
  </conditionalFormatting>
  <conditionalFormatting sqref="W155">
    <cfRule type="expression" dxfId="282" priority="335">
      <formula>W153&lt;&gt;W154+W155+W156+W157</formula>
    </cfRule>
  </conditionalFormatting>
  <conditionalFormatting sqref="W156">
    <cfRule type="expression" dxfId="281" priority="334">
      <formula>W153&lt;&gt;W154+W155+W156+W157</formula>
    </cfRule>
  </conditionalFormatting>
  <conditionalFormatting sqref="W157">
    <cfRule type="expression" dxfId="280" priority="333">
      <formula>W153&lt;&gt;W154+W155+W156+W157</formula>
    </cfRule>
  </conditionalFormatting>
  <conditionalFormatting sqref="Y154">
    <cfRule type="expression" dxfId="279" priority="329">
      <formula>Y153&lt;&gt;Y154+Y155+Y156+Y157</formula>
    </cfRule>
  </conditionalFormatting>
  <conditionalFormatting sqref="Y155">
    <cfRule type="expression" dxfId="278" priority="328">
      <formula>Y153&lt;&gt;Y154+Y155+Y156+Y157</formula>
    </cfRule>
  </conditionalFormatting>
  <conditionalFormatting sqref="Y156">
    <cfRule type="expression" dxfId="277" priority="327">
      <formula>Y153&lt;&gt;Y154+Y155+Y156+Y157</formula>
    </cfRule>
  </conditionalFormatting>
  <conditionalFormatting sqref="Y157">
    <cfRule type="expression" dxfId="276" priority="326">
      <formula>Y153&lt;&gt;Y154+Y155+Y156+Y157</formula>
    </cfRule>
  </conditionalFormatting>
  <conditionalFormatting sqref="K197">
    <cfRule type="expression" dxfId="275" priority="324">
      <formula>K197&gt;(K153+K151)</formula>
    </cfRule>
  </conditionalFormatting>
  <conditionalFormatting sqref="M153">
    <cfRule type="expression" dxfId="274" priority="321">
      <formula>M153&gt;M152</formula>
    </cfRule>
  </conditionalFormatting>
  <conditionalFormatting sqref="M153">
    <cfRule type="expression" dxfId="273" priority="319">
      <formula>M197&gt;(M153+M151)</formula>
    </cfRule>
    <cfRule type="expression" dxfId="272" priority="322">
      <formula>M186&gt;M153</formula>
    </cfRule>
  </conditionalFormatting>
  <conditionalFormatting sqref="M153">
    <cfRule type="expression" dxfId="271" priority="320">
      <formula>M153&lt;&gt;M154+M155+M156+M157</formula>
    </cfRule>
  </conditionalFormatting>
  <conditionalFormatting sqref="O153">
    <cfRule type="expression" dxfId="270" priority="317">
      <formula>O153&gt;O152</formula>
    </cfRule>
  </conditionalFormatting>
  <conditionalFormatting sqref="O153">
    <cfRule type="expression" dxfId="269" priority="315">
      <formula>O197&gt;(O153+O151)</formula>
    </cfRule>
    <cfRule type="expression" dxfId="268" priority="318">
      <formula>O186&gt;O153</formula>
    </cfRule>
  </conditionalFormatting>
  <conditionalFormatting sqref="O153">
    <cfRule type="expression" dxfId="267" priority="316">
      <formula>O153&lt;&gt;O154+O155+O156+O157</formula>
    </cfRule>
  </conditionalFormatting>
  <conditionalFormatting sqref="Q153">
    <cfRule type="expression" dxfId="266" priority="313">
      <formula>Q153&gt;Q152</formula>
    </cfRule>
  </conditionalFormatting>
  <conditionalFormatting sqref="Q153">
    <cfRule type="expression" dxfId="265" priority="311">
      <formula>Q197&gt;(Q153+Q151)</formula>
    </cfRule>
    <cfRule type="expression" dxfId="264" priority="314">
      <formula>Q186&gt;Q153</formula>
    </cfRule>
  </conditionalFormatting>
  <conditionalFormatting sqref="Q153">
    <cfRule type="expression" dxfId="263" priority="312">
      <formula>Q153&lt;&gt;Q154+Q155+Q156+Q157</formula>
    </cfRule>
  </conditionalFormatting>
  <conditionalFormatting sqref="S153">
    <cfRule type="expression" dxfId="262" priority="309">
      <formula>S153&gt;S152</formula>
    </cfRule>
  </conditionalFormatting>
  <conditionalFormatting sqref="S153">
    <cfRule type="expression" dxfId="261" priority="307">
      <formula>S197&gt;(S153+S151)</formula>
    </cfRule>
    <cfRule type="expression" dxfId="260" priority="310">
      <formula>S186&gt;S153</formula>
    </cfRule>
  </conditionalFormatting>
  <conditionalFormatting sqref="S153">
    <cfRule type="expression" dxfId="259" priority="308">
      <formula>S153&lt;&gt;S154+S155+S156+S157</formula>
    </cfRule>
  </conditionalFormatting>
  <conditionalFormatting sqref="U153">
    <cfRule type="expression" dxfId="258" priority="305">
      <formula>U153&gt;U152</formula>
    </cfRule>
  </conditionalFormatting>
  <conditionalFormatting sqref="U153">
    <cfRule type="expression" dxfId="257" priority="303">
      <formula>U197&gt;(U153+U151)</formula>
    </cfRule>
    <cfRule type="expression" dxfId="256" priority="306">
      <formula>U186&gt;U153</formula>
    </cfRule>
  </conditionalFormatting>
  <conditionalFormatting sqref="U153">
    <cfRule type="expression" dxfId="255" priority="304">
      <formula>U153&lt;&gt;U154+U155+U156+U157</formula>
    </cfRule>
  </conditionalFormatting>
  <conditionalFormatting sqref="W153">
    <cfRule type="expression" dxfId="254" priority="301">
      <formula>W153&gt;W152</formula>
    </cfRule>
  </conditionalFormatting>
  <conditionalFormatting sqref="W153">
    <cfRule type="expression" dxfId="253" priority="299">
      <formula>W197&gt;(W153+W151)</formula>
    </cfRule>
    <cfRule type="expression" dxfId="252" priority="302">
      <formula>W186&gt;W153</formula>
    </cfRule>
  </conditionalFormatting>
  <conditionalFormatting sqref="W153">
    <cfRule type="expression" dxfId="251" priority="300">
      <formula>W153&lt;&gt;W154+W155+W156+W157</formula>
    </cfRule>
  </conditionalFormatting>
  <conditionalFormatting sqref="Y153">
    <cfRule type="expression" dxfId="250" priority="297">
      <formula>Y153&gt;Y152</formula>
    </cfRule>
  </conditionalFormatting>
  <conditionalFormatting sqref="Y153">
    <cfRule type="expression" dxfId="249" priority="295">
      <formula>Y197&gt;(Y153+Y151)</formula>
    </cfRule>
    <cfRule type="expression" dxfId="248" priority="298">
      <formula>Y186&gt;Y153</formula>
    </cfRule>
  </conditionalFormatting>
  <conditionalFormatting sqref="Y153">
    <cfRule type="expression" dxfId="247" priority="296">
      <formula>Y153&lt;&gt;Y154+Y155+Y156+Y157</formula>
    </cfRule>
  </conditionalFormatting>
  <conditionalFormatting sqref="M197">
    <cfRule type="expression" dxfId="246" priority="294">
      <formula>M197&gt;(M153+M151)</formula>
    </cfRule>
  </conditionalFormatting>
  <conditionalFormatting sqref="O197">
    <cfRule type="expression" dxfId="245" priority="293">
      <formula>O197&gt;(O153+O151)</formula>
    </cfRule>
  </conditionalFormatting>
  <conditionalFormatting sqref="Q197">
    <cfRule type="expression" dxfId="244" priority="292">
      <formula>Q197&gt;(Q153+Q151)</formula>
    </cfRule>
  </conditionalFormatting>
  <conditionalFormatting sqref="S197">
    <cfRule type="expression" dxfId="243" priority="291">
      <formula>S197&gt;(S153+S151)</formula>
    </cfRule>
  </conditionalFormatting>
  <conditionalFormatting sqref="U197">
    <cfRule type="expression" dxfId="242" priority="290">
      <formula>U197&gt;(U153+U151)</formula>
    </cfRule>
  </conditionalFormatting>
  <conditionalFormatting sqref="W197">
    <cfRule type="expression" dxfId="241" priority="289">
      <formula>W197&gt;(W153+W151)</formula>
    </cfRule>
  </conditionalFormatting>
  <conditionalFormatting sqref="Y197">
    <cfRule type="expression" dxfId="240" priority="288">
      <formula>Y197&gt;(Y153+Y151)</formula>
    </cfRule>
  </conditionalFormatting>
  <conditionalFormatting sqref="K198">
    <cfRule type="expression" dxfId="239" priority="287">
      <formula>K198&gt;(K163+K161)</formula>
    </cfRule>
  </conditionalFormatting>
  <conditionalFormatting sqref="K163">
    <cfRule type="expression" dxfId="238" priority="286">
      <formula>K198&gt;(K163+K161)</formula>
    </cfRule>
  </conditionalFormatting>
  <conditionalFormatting sqref="K161">
    <cfRule type="expression" dxfId="237" priority="285">
      <formula>K198&gt;(K163+K161)</formula>
    </cfRule>
  </conditionalFormatting>
  <conditionalFormatting sqref="M161">
    <cfRule type="expression" dxfId="236" priority="282">
      <formula>M161&gt;M160</formula>
    </cfRule>
  </conditionalFormatting>
  <conditionalFormatting sqref="M162">
    <cfRule type="expression" dxfId="235" priority="280">
      <formula>M163&gt;M162</formula>
    </cfRule>
  </conditionalFormatting>
  <conditionalFormatting sqref="M163">
    <cfRule type="expression" dxfId="234" priority="284">
      <formula>M163&gt;M162</formula>
    </cfRule>
  </conditionalFormatting>
  <conditionalFormatting sqref="M161">
    <cfRule type="expression" dxfId="233" priority="281">
      <formula>M188&lt;&gt;M161</formula>
    </cfRule>
  </conditionalFormatting>
  <conditionalFormatting sqref="M163">
    <cfRule type="expression" dxfId="232" priority="283">
      <formula>M189&lt;&gt;M163</formula>
    </cfRule>
  </conditionalFormatting>
  <conditionalFormatting sqref="M163">
    <cfRule type="expression" dxfId="231" priority="279">
      <formula>M198&gt;(M163+M161)</formula>
    </cfRule>
  </conditionalFormatting>
  <conditionalFormatting sqref="M161">
    <cfRule type="expression" dxfId="230" priority="278">
      <formula>M198&gt;(M163+M161)</formula>
    </cfRule>
  </conditionalFormatting>
  <conditionalFormatting sqref="O161">
    <cfRule type="expression" dxfId="229" priority="275">
      <formula>O161&gt;O160</formula>
    </cfRule>
  </conditionalFormatting>
  <conditionalFormatting sqref="O162">
    <cfRule type="expression" dxfId="228" priority="273">
      <formula>O163&gt;O162</formula>
    </cfRule>
  </conditionalFormatting>
  <conditionalFormatting sqref="O163">
    <cfRule type="expression" dxfId="227" priority="277">
      <formula>O163&gt;O162</formula>
    </cfRule>
  </conditionalFormatting>
  <conditionalFormatting sqref="O161">
    <cfRule type="expression" dxfId="226" priority="274">
      <formula>O188&lt;&gt;O161</formula>
    </cfRule>
  </conditionalFormatting>
  <conditionalFormatting sqref="O163">
    <cfRule type="expression" dxfId="225" priority="276">
      <formula>O189&lt;&gt;O163</formula>
    </cfRule>
  </conditionalFormatting>
  <conditionalFormatting sqref="O163">
    <cfRule type="expression" dxfId="224" priority="272">
      <formula>O198&gt;(O163+O161)</formula>
    </cfRule>
  </conditionalFormatting>
  <conditionalFormatting sqref="O161">
    <cfRule type="expression" dxfId="223" priority="271">
      <formula>O198&gt;(O163+O161)</formula>
    </cfRule>
  </conditionalFormatting>
  <conditionalFormatting sqref="Q161">
    <cfRule type="expression" dxfId="222" priority="268">
      <formula>Q161&gt;Q160</formula>
    </cfRule>
  </conditionalFormatting>
  <conditionalFormatting sqref="Q162">
    <cfRule type="expression" dxfId="221" priority="266">
      <formula>Q163&gt;Q162</formula>
    </cfRule>
  </conditionalFormatting>
  <conditionalFormatting sqref="Q163">
    <cfRule type="expression" dxfId="220" priority="270">
      <formula>Q163&gt;Q162</formula>
    </cfRule>
  </conditionalFormatting>
  <conditionalFormatting sqref="Q161">
    <cfRule type="expression" dxfId="219" priority="267">
      <formula>Q188&lt;&gt;Q161</formula>
    </cfRule>
  </conditionalFormatting>
  <conditionalFormatting sqref="Q163">
    <cfRule type="expression" dxfId="218" priority="269">
      <formula>Q189&lt;&gt;Q163</formula>
    </cfRule>
  </conditionalFormatting>
  <conditionalFormatting sqref="Q163">
    <cfRule type="expression" dxfId="217" priority="265">
      <formula>Q198&gt;(Q163+Q161)</formula>
    </cfRule>
  </conditionalFormatting>
  <conditionalFormatting sqref="Q161">
    <cfRule type="expression" dxfId="216" priority="264">
      <formula>Q198&gt;(Q163+Q161)</formula>
    </cfRule>
  </conditionalFormatting>
  <conditionalFormatting sqref="S161">
    <cfRule type="expression" dxfId="215" priority="261">
      <formula>S161&gt;S160</formula>
    </cfRule>
  </conditionalFormatting>
  <conditionalFormatting sqref="S162">
    <cfRule type="expression" dxfId="214" priority="259">
      <formula>S163&gt;S162</formula>
    </cfRule>
  </conditionalFormatting>
  <conditionalFormatting sqref="S163">
    <cfRule type="expression" dxfId="213" priority="263">
      <formula>S163&gt;S162</formula>
    </cfRule>
  </conditionalFormatting>
  <conditionalFormatting sqref="S161">
    <cfRule type="expression" dxfId="212" priority="260">
      <formula>S188&lt;&gt;S161</formula>
    </cfRule>
  </conditionalFormatting>
  <conditionalFormatting sqref="S163">
    <cfRule type="expression" dxfId="211" priority="262">
      <formula>S189&lt;&gt;S163</formula>
    </cfRule>
  </conditionalFormatting>
  <conditionalFormatting sqref="S163">
    <cfRule type="expression" dxfId="210" priority="258">
      <formula>S198&gt;(S163+S161)</formula>
    </cfRule>
  </conditionalFormatting>
  <conditionalFormatting sqref="S161">
    <cfRule type="expression" dxfId="209" priority="257">
      <formula>S198&gt;(S163+S161)</formula>
    </cfRule>
  </conditionalFormatting>
  <conditionalFormatting sqref="U161">
    <cfRule type="expression" dxfId="208" priority="254">
      <formula>U161&gt;U160</formula>
    </cfRule>
  </conditionalFormatting>
  <conditionalFormatting sqref="U162">
    <cfRule type="expression" dxfId="207" priority="252">
      <formula>U163&gt;U162</formula>
    </cfRule>
  </conditionalFormatting>
  <conditionalFormatting sqref="U163">
    <cfRule type="expression" dxfId="206" priority="256">
      <formula>U163&gt;U162</formula>
    </cfRule>
  </conditionalFormatting>
  <conditionalFormatting sqref="U161">
    <cfRule type="expression" dxfId="205" priority="253">
      <formula>U188&lt;&gt;U161</formula>
    </cfRule>
  </conditionalFormatting>
  <conditionalFormatting sqref="U163">
    <cfRule type="expression" dxfId="204" priority="255">
      <formula>U189&lt;&gt;U163</formula>
    </cfRule>
  </conditionalFormatting>
  <conditionalFormatting sqref="U163">
    <cfRule type="expression" dxfId="203" priority="251">
      <formula>U198&gt;(U163+U161)</formula>
    </cfRule>
  </conditionalFormatting>
  <conditionalFormatting sqref="U161">
    <cfRule type="expression" dxfId="202" priority="250">
      <formula>U198&gt;(U163+U161)</formula>
    </cfRule>
  </conditionalFormatting>
  <conditionalFormatting sqref="W161">
    <cfRule type="expression" dxfId="201" priority="247">
      <formula>W161&gt;W160</formula>
    </cfRule>
  </conditionalFormatting>
  <conditionalFormatting sqref="W162">
    <cfRule type="expression" dxfId="200" priority="245">
      <formula>W163&gt;W162</formula>
    </cfRule>
  </conditionalFormatting>
  <conditionalFormatting sqref="W163">
    <cfRule type="expression" dxfId="199" priority="249">
      <formula>W163&gt;W162</formula>
    </cfRule>
  </conditionalFormatting>
  <conditionalFormatting sqref="W161">
    <cfRule type="expression" dxfId="198" priority="246">
      <formula>W188&lt;&gt;W161</formula>
    </cfRule>
  </conditionalFormatting>
  <conditionalFormatting sqref="W163">
    <cfRule type="expression" dxfId="197" priority="248">
      <formula>W189&lt;&gt;W163</formula>
    </cfRule>
  </conditionalFormatting>
  <conditionalFormatting sqref="W163">
    <cfRule type="expression" dxfId="196" priority="244">
      <formula>W198&gt;(W163+W161)</formula>
    </cfRule>
  </conditionalFormatting>
  <conditionalFormatting sqref="W161">
    <cfRule type="expression" dxfId="195" priority="243">
      <formula>W198&gt;(W163+W161)</formula>
    </cfRule>
  </conditionalFormatting>
  <conditionalFormatting sqref="Y161">
    <cfRule type="expression" dxfId="194" priority="240">
      <formula>Y161&gt;Y160</formula>
    </cfRule>
  </conditionalFormatting>
  <conditionalFormatting sqref="Y162">
    <cfRule type="expression" dxfId="193" priority="238">
      <formula>Y163&gt;Y162</formula>
    </cfRule>
  </conditionalFormatting>
  <conditionalFormatting sqref="Y163">
    <cfRule type="expression" dxfId="192" priority="242">
      <formula>Y163&gt;Y162</formula>
    </cfRule>
  </conditionalFormatting>
  <conditionalFormatting sqref="Y161">
    <cfRule type="expression" dxfId="191" priority="239">
      <formula>Y188&lt;&gt;Y161</formula>
    </cfRule>
  </conditionalFormatting>
  <conditionalFormatting sqref="Y163">
    <cfRule type="expression" dxfId="190" priority="241">
      <formula>Y189&lt;&gt;Y163</formula>
    </cfRule>
  </conditionalFormatting>
  <conditionalFormatting sqref="Y163">
    <cfRule type="expression" dxfId="189" priority="237">
      <formula>Y198&gt;(Y163+Y161)</formula>
    </cfRule>
  </conditionalFormatting>
  <conditionalFormatting sqref="Y161">
    <cfRule type="expression" dxfId="188" priority="236">
      <formula>Y198&gt;(Y163+Y161)</formula>
    </cfRule>
  </conditionalFormatting>
  <conditionalFormatting sqref="M198">
    <cfRule type="expression" dxfId="187" priority="235">
      <formula>M198&gt;(M163+M161)</formula>
    </cfRule>
  </conditionalFormatting>
  <conditionalFormatting sqref="O198">
    <cfRule type="expression" dxfId="186" priority="234">
      <formula>O198&gt;(O163+O161)</formula>
    </cfRule>
  </conditionalFormatting>
  <conditionalFormatting sqref="Q198">
    <cfRule type="expression" dxfId="185" priority="233">
      <formula>Q198&gt;(Q163+Q161)</formula>
    </cfRule>
  </conditionalFormatting>
  <conditionalFormatting sqref="S198">
    <cfRule type="expression" dxfId="184" priority="232">
      <formula>S198&gt;(S163+S161)</formula>
    </cfRule>
  </conditionalFormatting>
  <conditionalFormatting sqref="U198">
    <cfRule type="expression" dxfId="183" priority="231">
      <formula>U198&gt;(U163+U161)</formula>
    </cfRule>
  </conditionalFormatting>
  <conditionalFormatting sqref="W198">
    <cfRule type="expression" dxfId="182" priority="230">
      <formula>W198&gt;(W163+W161)</formula>
    </cfRule>
  </conditionalFormatting>
  <conditionalFormatting sqref="Y198">
    <cfRule type="expression" dxfId="181" priority="229">
      <formula>Y198&gt;(Y163+Y161)</formula>
    </cfRule>
  </conditionalFormatting>
  <conditionalFormatting sqref="K201">
    <cfRule type="expression" dxfId="180" priority="228">
      <formula>K201&gt;(K175+K173)</formula>
    </cfRule>
  </conditionalFormatting>
  <conditionalFormatting sqref="K171">
    <cfRule type="expression" dxfId="179" priority="180">
      <formula>K230&gt;(K175+K173+K171+K169)</formula>
    </cfRule>
  </conditionalFormatting>
  <conditionalFormatting sqref="M169">
    <cfRule type="expression" dxfId="178" priority="177">
      <formula>M200&gt;M171+M169</formula>
    </cfRule>
  </conditionalFormatting>
  <conditionalFormatting sqref="M169">
    <cfRule type="expression" dxfId="177" priority="158">
      <formula>M230&gt;(M175+M173+M171+M169)</formula>
    </cfRule>
    <cfRule type="expression" dxfId="176" priority="174">
      <formula>M169&gt;M168</formula>
    </cfRule>
    <cfRule type="expression" dxfId="175" priority="175">
      <formula>M192&gt;M169</formula>
    </cfRule>
  </conditionalFormatting>
  <conditionalFormatting sqref="M170">
    <cfRule type="expression" dxfId="174" priority="173">
      <formula>M171&gt;M170</formula>
    </cfRule>
  </conditionalFormatting>
  <conditionalFormatting sqref="M171">
    <cfRule type="expression" dxfId="173" priority="170">
      <formula>M193&gt;M171</formula>
    </cfRule>
    <cfRule type="expression" dxfId="172" priority="171">
      <formula>M171&gt;M170</formula>
    </cfRule>
    <cfRule type="expression" dxfId="171" priority="178">
      <formula>M200&gt;M171+M169</formula>
    </cfRule>
  </conditionalFormatting>
  <conditionalFormatting sqref="M172">
    <cfRule type="expression" dxfId="170" priority="172">
      <formula>M173&gt;M172</formula>
    </cfRule>
    <cfRule type="expression" dxfId="169" priority="176">
      <formula>#REF!&gt;M172</formula>
    </cfRule>
  </conditionalFormatting>
  <conditionalFormatting sqref="M173">
    <cfRule type="expression" dxfId="168" priority="160">
      <formula>M230&gt;(M175+M173+M171+M169)</formula>
    </cfRule>
    <cfRule type="expression" dxfId="167" priority="162">
      <formula>M201&gt;(M175+M173)</formula>
    </cfRule>
    <cfRule type="expression" dxfId="166" priority="168">
      <formula>M194&gt;M173</formula>
    </cfRule>
    <cfRule type="expression" dxfId="165" priority="169">
      <formula>M173&gt;M172</formula>
    </cfRule>
  </conditionalFormatting>
  <conditionalFormatting sqref="M174">
    <cfRule type="expression" dxfId="164" priority="166">
      <formula>M175&gt;M174</formula>
    </cfRule>
    <cfRule type="expression" dxfId="163" priority="167">
      <formula>M199&gt;M174</formula>
    </cfRule>
  </conditionalFormatting>
  <conditionalFormatting sqref="M175">
    <cfRule type="expression" dxfId="162" priority="161">
      <formula>M230&gt;(M175+M173+M171+M169)</formula>
    </cfRule>
    <cfRule type="expression" dxfId="161" priority="163">
      <formula>M201&gt;(M175+M173)</formula>
    </cfRule>
    <cfRule type="expression" dxfId="160" priority="164">
      <formula>M197&gt;M175</formula>
    </cfRule>
    <cfRule type="expression" dxfId="159" priority="165">
      <formula>M175&gt;M174</formula>
    </cfRule>
  </conditionalFormatting>
  <conditionalFormatting sqref="M171">
    <cfRule type="expression" dxfId="158" priority="159">
      <formula>M230&gt;(M175+M173+M171+M169)</formula>
    </cfRule>
  </conditionalFormatting>
  <conditionalFormatting sqref="O169">
    <cfRule type="expression" dxfId="157" priority="156">
      <formula>O200&gt;O171+O169</formula>
    </cfRule>
  </conditionalFormatting>
  <conditionalFormatting sqref="O169">
    <cfRule type="expression" dxfId="156" priority="137">
      <formula>O230&gt;(O175+O173+O171+O169)</formula>
    </cfRule>
    <cfRule type="expression" dxfId="155" priority="153">
      <formula>O169&gt;O168</formula>
    </cfRule>
    <cfRule type="expression" dxfId="154" priority="154">
      <formula>O192&gt;O169</formula>
    </cfRule>
  </conditionalFormatting>
  <conditionalFormatting sqref="O170">
    <cfRule type="expression" dxfId="153" priority="152">
      <formula>O171&gt;O170</formula>
    </cfRule>
  </conditionalFormatting>
  <conditionalFormatting sqref="O171">
    <cfRule type="expression" dxfId="152" priority="149">
      <formula>O193&gt;O171</formula>
    </cfRule>
    <cfRule type="expression" dxfId="151" priority="150">
      <formula>O171&gt;O170</formula>
    </cfRule>
    <cfRule type="expression" dxfId="150" priority="157">
      <formula>O200&gt;O171+O169</formula>
    </cfRule>
  </conditionalFormatting>
  <conditionalFormatting sqref="O172">
    <cfRule type="expression" dxfId="149" priority="151">
      <formula>O173&gt;O172</formula>
    </cfRule>
    <cfRule type="expression" dxfId="148" priority="155">
      <formula>#REF!&gt;O172</formula>
    </cfRule>
  </conditionalFormatting>
  <conditionalFormatting sqref="O173">
    <cfRule type="expression" dxfId="147" priority="139">
      <formula>O230&gt;(O175+O173+O171+O169)</formula>
    </cfRule>
    <cfRule type="expression" dxfId="146" priority="141">
      <formula>O201&gt;(O175+O173)</formula>
    </cfRule>
    <cfRule type="expression" dxfId="145" priority="147">
      <formula>O194&gt;O173</formula>
    </cfRule>
    <cfRule type="expression" dxfId="144" priority="148">
      <formula>O173&gt;O172</formula>
    </cfRule>
  </conditionalFormatting>
  <conditionalFormatting sqref="O174">
    <cfRule type="expression" dxfId="143" priority="145">
      <formula>O175&gt;O174</formula>
    </cfRule>
    <cfRule type="expression" dxfId="142" priority="146">
      <formula>O199&gt;O174</formula>
    </cfRule>
  </conditionalFormatting>
  <conditionalFormatting sqref="O175">
    <cfRule type="expression" dxfId="141" priority="140">
      <formula>O230&gt;(O175+O173+O171+O169)</formula>
    </cfRule>
    <cfRule type="expression" dxfId="140" priority="142">
      <formula>O201&gt;(O175+O173)</formula>
    </cfRule>
    <cfRule type="expression" dxfId="139" priority="143">
      <formula>O197&gt;O175</formula>
    </cfRule>
    <cfRule type="expression" dxfId="138" priority="144">
      <formula>O175&gt;O174</formula>
    </cfRule>
  </conditionalFormatting>
  <conditionalFormatting sqref="O171">
    <cfRule type="expression" dxfId="137" priority="138">
      <formula>O230&gt;(O175+O173+O171+O169)</formula>
    </cfRule>
  </conditionalFormatting>
  <conditionalFormatting sqref="Q169">
    <cfRule type="expression" dxfId="136" priority="135">
      <formula>Q200&gt;Q171+Q169</formula>
    </cfRule>
  </conditionalFormatting>
  <conditionalFormatting sqref="Q169">
    <cfRule type="expression" dxfId="135" priority="116">
      <formula>Q230&gt;(Q175+Q173+Q171+Q169)</formula>
    </cfRule>
    <cfRule type="expression" dxfId="134" priority="132">
      <formula>Q169&gt;Q168</formula>
    </cfRule>
    <cfRule type="expression" dxfId="133" priority="133">
      <formula>Q192&gt;Q169</formula>
    </cfRule>
  </conditionalFormatting>
  <conditionalFormatting sqref="Q170">
    <cfRule type="expression" dxfId="132" priority="131">
      <formula>Q171&gt;Q170</formula>
    </cfRule>
  </conditionalFormatting>
  <conditionalFormatting sqref="Q171">
    <cfRule type="expression" dxfId="131" priority="128">
      <formula>Q193&gt;Q171</formula>
    </cfRule>
    <cfRule type="expression" dxfId="130" priority="129">
      <formula>Q171&gt;Q170</formula>
    </cfRule>
    <cfRule type="expression" dxfId="129" priority="136">
      <formula>Q200&gt;Q171+Q169</formula>
    </cfRule>
  </conditionalFormatting>
  <conditionalFormatting sqref="Q172">
    <cfRule type="expression" dxfId="128" priority="130">
      <formula>Q173&gt;Q172</formula>
    </cfRule>
    <cfRule type="expression" dxfId="127" priority="134">
      <formula>#REF!&gt;Q172</formula>
    </cfRule>
  </conditionalFormatting>
  <conditionalFormatting sqref="Q173">
    <cfRule type="expression" dxfId="126" priority="118">
      <formula>Q230&gt;(Q175+Q173+Q171+Q169)</formula>
    </cfRule>
    <cfRule type="expression" dxfId="125" priority="120">
      <formula>Q201&gt;(Q175+Q173)</formula>
    </cfRule>
    <cfRule type="expression" dxfId="124" priority="126">
      <formula>Q194&gt;Q173</formula>
    </cfRule>
    <cfRule type="expression" dxfId="123" priority="127">
      <formula>Q173&gt;Q172</formula>
    </cfRule>
  </conditionalFormatting>
  <conditionalFormatting sqref="Q174">
    <cfRule type="expression" dxfId="122" priority="124">
      <formula>Q175&gt;Q174</formula>
    </cfRule>
    <cfRule type="expression" dxfId="121" priority="125">
      <formula>Q199&gt;Q174</formula>
    </cfRule>
  </conditionalFormatting>
  <conditionalFormatting sqref="Q175">
    <cfRule type="expression" dxfId="120" priority="119">
      <formula>Q230&gt;(Q175+Q173+Q171+Q169)</formula>
    </cfRule>
    <cfRule type="expression" dxfId="119" priority="121">
      <formula>Q201&gt;(Q175+Q173)</formula>
    </cfRule>
    <cfRule type="expression" dxfId="118" priority="122">
      <formula>Q197&gt;Q175</formula>
    </cfRule>
    <cfRule type="expression" dxfId="117" priority="123">
      <formula>Q175&gt;Q174</formula>
    </cfRule>
  </conditionalFormatting>
  <conditionalFormatting sqref="Q171">
    <cfRule type="expression" dxfId="116" priority="117">
      <formula>Q230&gt;(Q175+Q173+Q171+Q169)</formula>
    </cfRule>
  </conditionalFormatting>
  <conditionalFormatting sqref="S169">
    <cfRule type="expression" dxfId="115" priority="114">
      <formula>S200&gt;S171+S169</formula>
    </cfRule>
  </conditionalFormatting>
  <conditionalFormatting sqref="S169">
    <cfRule type="expression" dxfId="114" priority="95">
      <formula>S230&gt;(S175+S173+S171+S169)</formula>
    </cfRule>
    <cfRule type="expression" dxfId="113" priority="111">
      <formula>S169&gt;S168</formula>
    </cfRule>
    <cfRule type="expression" dxfId="112" priority="112">
      <formula>S192&gt;S169</formula>
    </cfRule>
  </conditionalFormatting>
  <conditionalFormatting sqref="S170">
    <cfRule type="expression" dxfId="111" priority="110">
      <formula>S171&gt;S170</formula>
    </cfRule>
  </conditionalFormatting>
  <conditionalFormatting sqref="S171">
    <cfRule type="expression" dxfId="110" priority="107">
      <formula>S193&gt;S171</formula>
    </cfRule>
    <cfRule type="expression" dxfId="109" priority="108">
      <formula>S171&gt;S170</formula>
    </cfRule>
    <cfRule type="expression" dxfId="108" priority="115">
      <formula>S200&gt;S171+S169</formula>
    </cfRule>
  </conditionalFormatting>
  <conditionalFormatting sqref="S172">
    <cfRule type="expression" dxfId="107" priority="109">
      <formula>S173&gt;S172</formula>
    </cfRule>
    <cfRule type="expression" dxfId="106" priority="113">
      <formula>#REF!&gt;S172</formula>
    </cfRule>
  </conditionalFormatting>
  <conditionalFormatting sqref="S173">
    <cfRule type="expression" dxfId="105" priority="97">
      <formula>S230&gt;(S175+S173+S171+S169)</formula>
    </cfRule>
    <cfRule type="expression" dxfId="104" priority="99">
      <formula>S201&gt;(S175+S173)</formula>
    </cfRule>
    <cfRule type="expression" dxfId="103" priority="105">
      <formula>S194&gt;S173</formula>
    </cfRule>
    <cfRule type="expression" dxfId="102" priority="106">
      <formula>S173&gt;S172</formula>
    </cfRule>
  </conditionalFormatting>
  <conditionalFormatting sqref="S174">
    <cfRule type="expression" dxfId="101" priority="103">
      <formula>S175&gt;S174</formula>
    </cfRule>
    <cfRule type="expression" dxfId="100" priority="104">
      <formula>S199&gt;S174</formula>
    </cfRule>
  </conditionalFormatting>
  <conditionalFormatting sqref="S175">
    <cfRule type="expression" dxfId="99" priority="98">
      <formula>S230&gt;(S175+S173+S171+S169)</formula>
    </cfRule>
    <cfRule type="expression" dxfId="98" priority="100">
      <formula>S201&gt;(S175+S173)</formula>
    </cfRule>
    <cfRule type="expression" dxfId="97" priority="101">
      <formula>S197&gt;S175</formula>
    </cfRule>
    <cfRule type="expression" dxfId="96" priority="102">
      <formula>S175&gt;S174</formula>
    </cfRule>
  </conditionalFormatting>
  <conditionalFormatting sqref="S171">
    <cfRule type="expression" dxfId="95" priority="96">
      <formula>S230&gt;(S175+S173+S171+S169)</formula>
    </cfRule>
  </conditionalFormatting>
  <conditionalFormatting sqref="U169">
    <cfRule type="expression" dxfId="94" priority="93">
      <formula>U200&gt;U171+U169</formula>
    </cfRule>
  </conditionalFormatting>
  <conditionalFormatting sqref="U169">
    <cfRule type="expression" dxfId="93" priority="74">
      <formula>U230&gt;(U175+U173+U171+U169)</formula>
    </cfRule>
    <cfRule type="expression" dxfId="92" priority="90">
      <formula>U169&gt;U168</formula>
    </cfRule>
    <cfRule type="expression" dxfId="91" priority="91">
      <formula>U192&gt;U169</formula>
    </cfRule>
  </conditionalFormatting>
  <conditionalFormatting sqref="U170">
    <cfRule type="expression" dxfId="90" priority="89">
      <formula>U171&gt;U170</formula>
    </cfRule>
  </conditionalFormatting>
  <conditionalFormatting sqref="U171">
    <cfRule type="expression" dxfId="89" priority="86">
      <formula>U193&gt;U171</formula>
    </cfRule>
    <cfRule type="expression" dxfId="88" priority="87">
      <formula>U171&gt;U170</formula>
    </cfRule>
    <cfRule type="expression" dxfId="87" priority="94">
      <formula>U200&gt;U171+U169</formula>
    </cfRule>
  </conditionalFormatting>
  <conditionalFormatting sqref="U172">
    <cfRule type="expression" dxfId="86" priority="88">
      <formula>U173&gt;U172</formula>
    </cfRule>
    <cfRule type="expression" dxfId="85" priority="92">
      <formula>#REF!&gt;U172</formula>
    </cfRule>
  </conditionalFormatting>
  <conditionalFormatting sqref="U173">
    <cfRule type="expression" dxfId="84" priority="76">
      <formula>U230&gt;(U175+U173+U171+U169)</formula>
    </cfRule>
    <cfRule type="expression" dxfId="83" priority="78">
      <formula>U201&gt;(U175+U173)</formula>
    </cfRule>
    <cfRule type="expression" dxfId="82" priority="84">
      <formula>U194&gt;U173</formula>
    </cfRule>
    <cfRule type="expression" dxfId="81" priority="85">
      <formula>U173&gt;U172</formula>
    </cfRule>
  </conditionalFormatting>
  <conditionalFormatting sqref="U174">
    <cfRule type="expression" dxfId="80" priority="82">
      <formula>U175&gt;U174</formula>
    </cfRule>
    <cfRule type="expression" dxfId="79" priority="83">
      <formula>U199&gt;U174</formula>
    </cfRule>
  </conditionalFormatting>
  <conditionalFormatting sqref="U175">
    <cfRule type="expression" dxfId="78" priority="77">
      <formula>U230&gt;(U175+U173+U171+U169)</formula>
    </cfRule>
    <cfRule type="expression" dxfId="77" priority="79">
      <formula>U201&gt;(U175+U173)</formula>
    </cfRule>
    <cfRule type="expression" dxfId="76" priority="80">
      <formula>U197&gt;U175</formula>
    </cfRule>
    <cfRule type="expression" dxfId="75" priority="81">
      <formula>U175&gt;U174</formula>
    </cfRule>
  </conditionalFormatting>
  <conditionalFormatting sqref="U171">
    <cfRule type="expression" dxfId="74" priority="75">
      <formula>U230&gt;(U175+U173+U171+U169)</formula>
    </cfRule>
  </conditionalFormatting>
  <conditionalFormatting sqref="W169">
    <cfRule type="expression" dxfId="73" priority="72">
      <formula>W200&gt;W171+W169</formula>
    </cfRule>
  </conditionalFormatting>
  <conditionalFormatting sqref="W169">
    <cfRule type="expression" dxfId="72" priority="53">
      <formula>W230&gt;(W175+W173+W171+W169)</formula>
    </cfRule>
    <cfRule type="expression" dxfId="71" priority="69">
      <formula>W169&gt;W168</formula>
    </cfRule>
    <cfRule type="expression" dxfId="70" priority="70">
      <formula>W192&gt;W169</formula>
    </cfRule>
  </conditionalFormatting>
  <conditionalFormatting sqref="W170">
    <cfRule type="expression" dxfId="69" priority="68">
      <formula>W171&gt;W170</formula>
    </cfRule>
  </conditionalFormatting>
  <conditionalFormatting sqref="W171">
    <cfRule type="expression" dxfId="68" priority="65">
      <formula>W193&gt;W171</formula>
    </cfRule>
    <cfRule type="expression" dxfId="67" priority="66">
      <formula>W171&gt;W170</formula>
    </cfRule>
    <cfRule type="expression" dxfId="66" priority="73">
      <formula>W200&gt;W171+W169</formula>
    </cfRule>
  </conditionalFormatting>
  <conditionalFormatting sqref="W172">
    <cfRule type="expression" dxfId="65" priority="67">
      <formula>W173&gt;W172</formula>
    </cfRule>
    <cfRule type="expression" dxfId="64" priority="71">
      <formula>#REF!&gt;W172</formula>
    </cfRule>
  </conditionalFormatting>
  <conditionalFormatting sqref="W173">
    <cfRule type="expression" dxfId="63" priority="55">
      <formula>W230&gt;(W175+W173+W171+W169)</formula>
    </cfRule>
    <cfRule type="expression" dxfId="62" priority="57">
      <formula>W201&gt;(W175+W173)</formula>
    </cfRule>
    <cfRule type="expression" dxfId="61" priority="63">
      <formula>W194&gt;W173</formula>
    </cfRule>
    <cfRule type="expression" dxfId="60" priority="64">
      <formula>W173&gt;W172</formula>
    </cfRule>
  </conditionalFormatting>
  <conditionalFormatting sqref="W174">
    <cfRule type="expression" dxfId="59" priority="61">
      <formula>W175&gt;W174</formula>
    </cfRule>
    <cfRule type="expression" dxfId="58" priority="62">
      <formula>W199&gt;W174</formula>
    </cfRule>
  </conditionalFormatting>
  <conditionalFormatting sqref="W175">
    <cfRule type="expression" dxfId="57" priority="56">
      <formula>W230&gt;(W175+W173+W171+W169)</formula>
    </cfRule>
    <cfRule type="expression" dxfId="56" priority="58">
      <formula>W201&gt;(W175+W173)</formula>
    </cfRule>
    <cfRule type="expression" dxfId="55" priority="59">
      <formula>W197&gt;W175</formula>
    </cfRule>
    <cfRule type="expression" dxfId="54" priority="60">
      <formula>W175&gt;W174</formula>
    </cfRule>
  </conditionalFormatting>
  <conditionalFormatting sqref="W171">
    <cfRule type="expression" dxfId="53" priority="54">
      <formula>W230&gt;(W175+W173+W171+W169)</formula>
    </cfRule>
  </conditionalFormatting>
  <conditionalFormatting sqref="Y169">
    <cfRule type="expression" dxfId="52" priority="51">
      <formula>Y200&gt;Y171+Y169</formula>
    </cfRule>
  </conditionalFormatting>
  <conditionalFormatting sqref="Y169">
    <cfRule type="expression" dxfId="51" priority="32">
      <formula>Y230&gt;(Y175+Y173+Y171+Y169)</formula>
    </cfRule>
    <cfRule type="expression" dxfId="50" priority="48">
      <formula>Y169&gt;Y168</formula>
    </cfRule>
    <cfRule type="expression" dxfId="49" priority="49">
      <formula>Y192&gt;Y169</formula>
    </cfRule>
  </conditionalFormatting>
  <conditionalFormatting sqref="Y170">
    <cfRule type="expression" dxfId="48" priority="47">
      <formula>Y171&gt;Y170</formula>
    </cfRule>
  </conditionalFormatting>
  <conditionalFormatting sqref="Y171">
    <cfRule type="expression" dxfId="47" priority="44">
      <formula>Y193&gt;Y171</formula>
    </cfRule>
    <cfRule type="expression" dxfId="46" priority="45">
      <formula>Y171&gt;Y170</formula>
    </cfRule>
    <cfRule type="expression" dxfId="45" priority="52">
      <formula>Y200&gt;Y171+Y169</formula>
    </cfRule>
  </conditionalFormatting>
  <conditionalFormatting sqref="Y172">
    <cfRule type="expression" dxfId="44" priority="46">
      <formula>Y173&gt;Y172</formula>
    </cfRule>
    <cfRule type="expression" dxfId="43" priority="50">
      <formula>#REF!&gt;Y172</formula>
    </cfRule>
  </conditionalFormatting>
  <conditionalFormatting sqref="Y173">
    <cfRule type="expression" dxfId="42" priority="34">
      <formula>Y230&gt;(Y175+Y173+Y171+Y169)</formula>
    </cfRule>
    <cfRule type="expression" dxfId="41" priority="36">
      <formula>Y201&gt;(Y175+Y173)</formula>
    </cfRule>
    <cfRule type="expression" dxfId="40" priority="42">
      <formula>Y194&gt;Y173</formula>
    </cfRule>
    <cfRule type="expression" dxfId="39" priority="43">
      <formula>Y173&gt;Y172</formula>
    </cfRule>
  </conditionalFormatting>
  <conditionalFormatting sqref="Y174">
    <cfRule type="expression" dxfId="38" priority="40">
      <formula>Y175&gt;Y174</formula>
    </cfRule>
    <cfRule type="expression" dxfId="37" priority="41">
      <formula>Y199&gt;Y174</formula>
    </cfRule>
  </conditionalFormatting>
  <conditionalFormatting sqref="Y175">
    <cfRule type="expression" dxfId="36" priority="35">
      <formula>Y230&gt;(Y175+Y173+Y171+Y169)</formula>
    </cfRule>
    <cfRule type="expression" dxfId="35" priority="37">
      <formula>Y201&gt;(Y175+Y173)</formula>
    </cfRule>
    <cfRule type="expression" dxfId="34" priority="38">
      <formula>Y197&gt;Y175</formula>
    </cfRule>
    <cfRule type="expression" dxfId="33" priority="39">
      <formula>Y175&gt;Y174</formula>
    </cfRule>
  </conditionalFormatting>
  <conditionalFormatting sqref="Y171">
    <cfRule type="expression" dxfId="32" priority="33">
      <formula>Y230&gt;(Y175+Y173+Y171+Y169)</formula>
    </cfRule>
  </conditionalFormatting>
  <conditionalFormatting sqref="M230">
    <cfRule type="expression" dxfId="31" priority="30">
      <formula>M230&gt;(M175+M173+M171+M169)</formula>
    </cfRule>
    <cfRule type="expression" dxfId="30" priority="31">
      <formula>M230&lt;&gt;M66</formula>
    </cfRule>
  </conditionalFormatting>
  <conditionalFormatting sqref="O230">
    <cfRule type="expression" dxfId="29" priority="28">
      <formula>O230&gt;(O175+O173+O171+O169)</formula>
    </cfRule>
    <cfRule type="expression" dxfId="28" priority="29">
      <formula>O230&lt;&gt;O66</formula>
    </cfRule>
  </conditionalFormatting>
  <conditionalFormatting sqref="Q230">
    <cfRule type="expression" dxfId="27" priority="26">
      <formula>Q230&gt;(Q175+Q173+Q171+Q169)</formula>
    </cfRule>
    <cfRule type="expression" dxfId="26" priority="27">
      <formula>Q230&lt;&gt;Q66</formula>
    </cfRule>
  </conditionalFormatting>
  <conditionalFormatting sqref="S230">
    <cfRule type="expression" dxfId="25" priority="24">
      <formula>S230&gt;(S175+S173+S171+S169)</formula>
    </cfRule>
    <cfRule type="expression" dxfId="24" priority="25">
      <formula>S230&lt;&gt;S66</formula>
    </cfRule>
  </conditionalFormatting>
  <conditionalFormatting sqref="U230">
    <cfRule type="expression" dxfId="23" priority="22">
      <formula>U230&gt;(U175+U173+U171+U169)</formula>
    </cfRule>
    <cfRule type="expression" dxfId="22" priority="23">
      <formula>U230&lt;&gt;U66</formula>
    </cfRule>
  </conditionalFormatting>
  <conditionalFormatting sqref="W230">
    <cfRule type="expression" dxfId="21" priority="20">
      <formula>W230&gt;(W175+W173+W171+W169)</formula>
    </cfRule>
    <cfRule type="expression" dxfId="20" priority="21">
      <formula>W230&lt;&gt;W66</formula>
    </cfRule>
  </conditionalFormatting>
  <conditionalFormatting sqref="Y230">
    <cfRule type="expression" dxfId="19" priority="18">
      <formula>Y230&gt;(Y175+Y173+Y171+Y169)</formula>
    </cfRule>
    <cfRule type="expression" dxfId="18" priority="19">
      <formula>Y230&lt;&gt;Y66</formula>
    </cfRule>
  </conditionalFormatting>
  <conditionalFormatting sqref="K235">
    <cfRule type="expression" dxfId="17" priority="17">
      <formula>K248&gt;K235</formula>
    </cfRule>
  </conditionalFormatting>
  <conditionalFormatting sqref="M235">
    <cfRule type="expression" dxfId="16" priority="16">
      <formula>M248&gt;M235</formula>
    </cfRule>
  </conditionalFormatting>
  <conditionalFormatting sqref="O235">
    <cfRule type="expression" dxfId="15" priority="15">
      <formula>O248&gt;O235</formula>
    </cfRule>
  </conditionalFormatting>
  <conditionalFormatting sqref="Q235">
    <cfRule type="expression" dxfId="14" priority="14">
      <formula>Q248&gt;Q235</formula>
    </cfRule>
  </conditionalFormatting>
  <conditionalFormatting sqref="S235">
    <cfRule type="expression" dxfId="13" priority="13">
      <formula>S248&gt;S235</formula>
    </cfRule>
  </conditionalFormatting>
  <conditionalFormatting sqref="U235">
    <cfRule type="expression" dxfId="12" priority="12">
      <formula>U248&gt;U235</formula>
    </cfRule>
  </conditionalFormatting>
  <conditionalFormatting sqref="W235">
    <cfRule type="expression" dxfId="11" priority="11">
      <formula>W248&gt;W235</formula>
    </cfRule>
  </conditionalFormatting>
  <conditionalFormatting sqref="Y235">
    <cfRule type="expression" dxfId="10" priority="10">
      <formula>Y248&gt;Y235</formula>
    </cfRule>
  </conditionalFormatting>
  <conditionalFormatting sqref="D277:AA277">
    <cfRule type="expression" dxfId="9" priority="9">
      <formula>D277&gt;D276</formula>
    </cfRule>
  </conditionalFormatting>
  <conditionalFormatting sqref="D276:AA276">
    <cfRule type="expression" dxfId="8" priority="8">
      <formula>D277&gt;D276</formula>
    </cfRule>
  </conditionalFormatting>
  <conditionalFormatting sqref="D285:AA286">
    <cfRule type="expression" dxfId="7" priority="7">
      <formula>D285&gt;D280</formula>
    </cfRule>
  </conditionalFormatting>
  <conditionalFormatting sqref="D280:AA281">
    <cfRule type="expression" dxfId="6" priority="6">
      <formula>D285&gt;D280</formula>
    </cfRule>
  </conditionalFormatting>
  <conditionalFormatting sqref="K326:AA326">
    <cfRule type="expression" dxfId="5" priority="5">
      <formula>$K$326&gt;$K$325</formula>
    </cfRule>
    <cfRule type="expression" dxfId="4" priority="4">
      <formula>K326&gt;K325</formula>
    </cfRule>
  </conditionalFormatting>
  <conditionalFormatting sqref="K325:AA325">
    <cfRule type="expression" dxfId="3" priority="3">
      <formula>K326&gt;K325</formula>
    </cfRule>
  </conditionalFormatting>
  <conditionalFormatting sqref="L130:AA130">
    <cfRule type="expression" dxfId="2" priority="2">
      <formula>(L130+L131+L132)&lt;&gt;L117</formula>
    </cfRule>
  </conditionalFormatting>
  <conditionalFormatting sqref="L143:AA143">
    <cfRule type="expression" dxfId="0" priority="1">
      <formula>(L143+L144+L145)&lt;&gt;L134</formula>
    </cfRule>
  </conditionalFormatting>
  <dataValidations count="2">
    <dataValidation type="whole" allowBlank="1" showInputMessage="1" showErrorMessage="1" errorTitle="Non-Numeric or abnormal value" error="Enter Numbers only between 0 and 99999" sqref="Z12:AA12 M19:AI19 D322:AI336 AJ116 AJ235 D107:AI112 D100:AI103 D274:AI277 D116:AI266 D285:AI288 D8:Y18 D292:AI318 D280:AI283 Z39:AA44 Z33:AA34 AB8:AI18 D271:AI272 AJ322:AJ323 G19:L21 M20:Y21 G22:Y92 D19:F92 AB20:AI92" xr:uid="{00000000-0002-0000-0100-000000000000}">
      <formula1>0</formula1>
      <formula2>99999</formula2>
    </dataValidation>
    <dataValidation allowBlank="1" showInputMessage="1" showErrorMessage="1" errorTitle="Non-Numeric or abnormal value" error="Enter Numbers only between 0 and 99999" sqref="Z8:AA11 Z35:AA38 Z13:AA18 Z20:AA32 Z45:AA94" xr:uid="{00000000-0002-0000-0100-000001000000}"/>
  </dataValidations>
  <pageMargins left="0.511811023622047" right="7.8740157480315001E-2" top="0.196850393700787" bottom="0.196850393700787" header="0.2" footer="0.118110236220472"/>
  <pageSetup scale="31" fitToHeight="0" orientation="portrait"/>
  <headerFooter>
    <oddFooter>&amp;R&amp;P</oddFooter>
  </headerFooter>
  <rowBreaks count="1" manualBreakCount="1">
    <brk id="288" max="16383" man="1"/>
  </rowBreaks>
  <ignoredErrors>
    <ignoredError sqref="J320 J268 J114 J105 J6" twoDigitTextYear="1"/>
    <ignoredError sqref="Z209:AA209 AJ230 AM250 AJ284" formula="1"/>
    <ignoredError sqref="M341" unlockedFormula="1"/>
    <ignoredError sqref="F1 Y1"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57ECA-E322-4B4F-A80B-F429838D8BF7}">
  <ds:schemaRefs/>
</ds:datastoreItem>
</file>

<file path=customXml/itemProps2.xml><?xml version="1.0" encoding="utf-8"?>
<ds:datastoreItem xmlns:ds="http://schemas.openxmlformats.org/officeDocument/2006/customXml" ds:itemID="{8F27D016-ED29-4335-8911-6427F4BFA81E}">
  <ds:schemaRefs/>
</ds:datastoreItem>
</file>

<file path=customXml/itemProps3.xml><?xml version="1.0" encoding="utf-8"?>
<ds:datastoreItem xmlns:ds="http://schemas.openxmlformats.org/officeDocument/2006/customXml" ds:itemID="{B4331761-FFFE-4F11-AA2E-B35F1517E21B}">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InstructionsForm1A</vt:lpstr>
      <vt:lpstr>Jul</vt:lpstr>
      <vt:lpstr>ART</vt:lpstr>
      <vt:lpstr>CXCA</vt:lpstr>
      <vt:lpstr>GEND_GBV</vt:lpstr>
      <vt:lpstr>HAART</vt:lpstr>
      <vt:lpstr>HIV_TEST</vt:lpstr>
      <vt:lpstr>HTS_SELF</vt:lpstr>
      <vt:lpstr>IPT</vt:lpstr>
      <vt:lpstr>PMTCT_TST</vt:lpstr>
      <vt:lpstr>Jul!Print_Area</vt:lpstr>
      <vt:lpstr>Jul!Print_Titles</vt:lpstr>
      <vt:lpstr>TB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Emmanuel;Maingi, Emmanuel</dc:creator>
  <cp:lastModifiedBy>Emmanuel Maingi</cp:lastModifiedBy>
  <cp:lastPrinted>2020-06-04T19:13:00Z</cp:lastPrinted>
  <dcterms:created xsi:type="dcterms:W3CDTF">2018-10-31T09:45:00Z</dcterms:created>
  <dcterms:modified xsi:type="dcterms:W3CDTF">2026-04-01T12:15:33Z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y fmtid="{D5CDD505-2E9C-101B-9397-08002B2CF9AE}" pid="5" name="MSIP_Label_ea60d57e-af5b-4752-ac57-3e4f28ca11dc_Enabled">
    <vt:lpwstr>true</vt:lpwstr>
  </property>
  <property fmtid="{D5CDD505-2E9C-101B-9397-08002B2CF9AE}" pid="6" name="MSIP_Label_ea60d57e-af5b-4752-ac57-3e4f28ca11dc_SetDate">
    <vt:lpwstr>2021-08-26T06:21:48Z</vt:lpwstr>
  </property>
  <property fmtid="{D5CDD505-2E9C-101B-9397-08002B2CF9AE}" pid="7" name="MSIP_Label_ea60d57e-af5b-4752-ac57-3e4f28ca11dc_Method">
    <vt:lpwstr>Standard</vt:lpwstr>
  </property>
  <property fmtid="{D5CDD505-2E9C-101B-9397-08002B2CF9AE}" pid="8" name="MSIP_Label_ea60d57e-af5b-4752-ac57-3e4f28ca11dc_Name">
    <vt:lpwstr>ea60d57e-af5b-4752-ac57-3e4f28ca11dc</vt:lpwstr>
  </property>
  <property fmtid="{D5CDD505-2E9C-101B-9397-08002B2CF9AE}" pid="9" name="MSIP_Label_ea60d57e-af5b-4752-ac57-3e4f28ca11dc_SiteId">
    <vt:lpwstr>36da45f1-dd2c-4d1f-af13-5abe46b99921</vt:lpwstr>
  </property>
  <property fmtid="{D5CDD505-2E9C-101B-9397-08002B2CF9AE}" pid="10" name="MSIP_Label_ea60d57e-af5b-4752-ac57-3e4f28ca11dc_ActionId">
    <vt:lpwstr>53bd1c79-e735-4871-8540-e453fe37e373</vt:lpwstr>
  </property>
  <property fmtid="{D5CDD505-2E9C-101B-9397-08002B2CF9AE}" pid="11" name="MSIP_Label_ea60d57e-af5b-4752-ac57-3e4f28ca11dc_ContentBits">
    <vt:lpwstr>0</vt:lpwstr>
  </property>
  <property fmtid="{D5CDD505-2E9C-101B-9397-08002B2CF9AE}" pid="12" name="ICV">
    <vt:lpwstr>ED4F56C9A32043ADBF8A19C60C25308C_13</vt:lpwstr>
  </property>
  <property fmtid="{D5CDD505-2E9C-101B-9397-08002B2CF9AE}" pid="13" name="KSOProductBuildVer">
    <vt:lpwstr>1033-12.2.0.22549</vt:lpwstr>
  </property>
</Properties>
</file>