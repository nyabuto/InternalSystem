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66925"/>
  <mc:AlternateContent xmlns:mc="http://schemas.openxmlformats.org/markup-compatibility/2006">
    <mc:Choice Requires="x15">
      <x15ac:absPath xmlns:x15ac="http://schemas.microsoft.com/office/spreadsheetml/2010/11/ac" url="C:\projects\InternalSystem\web\"/>
    </mc:Choice>
  </mc:AlternateContent>
  <xr:revisionPtr revIDLastSave="0" documentId="13_ncr:1_{19AD4B8C-2CD5-4D09-901F-FF3447FFB2E9}" xr6:coauthVersionLast="47" xr6:coauthVersionMax="47" xr10:uidLastSave="{00000000-0000-0000-0000-000000000000}"/>
  <bookViews>
    <workbookView xWindow="-28920" yWindow="-120" windowWidth="29040" windowHeight="15720" activeTab="1" xr2:uid="{00000000-000D-0000-FFFF-FFFF00000000}"/>
  </bookViews>
  <sheets>
    <sheet name="InstructionsForm1A" sheetId="9" r:id="rId1"/>
    <sheet name="Jul" sheetId="1" r:id="rId2"/>
  </sheets>
  <definedNames>
    <definedName name="_xlnm._FilterDatabase" localSheetId="0" hidden="1">InstructionsForm1A!$A$3:$H$295</definedName>
    <definedName name="ART">Jul!$D$225</definedName>
    <definedName name="CXCA">Jul!$M$292</definedName>
    <definedName name="GEND_GBV">Jul!$D$325</definedName>
    <definedName name="HAART">Jul!$K$185</definedName>
    <definedName name="HIV_TEST">Jul!$F$8</definedName>
    <definedName name="HTS_SELF">Jul!$J$107</definedName>
    <definedName name="IPT">Jul!$D$282</definedName>
    <definedName name="PMTCT_TST">Jul!$K$150</definedName>
    <definedName name="PREP">Jul!#REF!</definedName>
    <definedName name="_xlnm.Print_Area" localSheetId="1">Jul!$A$1:$AJ$337</definedName>
    <definedName name="_xlnm.Print_Titles" localSheetId="1">Jul!$1:$4</definedName>
    <definedName name="TB">Jul!$D$204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66" i="1" l="1"/>
  <c r="V66" i="1"/>
  <c r="W66" i="1"/>
  <c r="X66" i="1"/>
  <c r="Y66" i="1"/>
  <c r="O66" i="1"/>
  <c r="P66" i="1"/>
  <c r="Q66" i="1"/>
  <c r="R66" i="1"/>
  <c r="S66" i="1"/>
  <c r="T66" i="1"/>
  <c r="L66" i="1"/>
  <c r="M66" i="1"/>
  <c r="N66" i="1"/>
  <c r="AB284" i="1"/>
  <c r="AC284" i="1"/>
  <c r="AD284" i="1"/>
  <c r="AE284" i="1"/>
  <c r="AF284" i="1"/>
  <c r="AG284" i="1"/>
  <c r="AH284" i="1"/>
  <c r="AI284" i="1"/>
  <c r="W284" i="1"/>
  <c r="X284" i="1"/>
  <c r="Y284" i="1"/>
  <c r="Z284" i="1"/>
  <c r="AA284" i="1"/>
  <c r="S284" i="1"/>
  <c r="T284" i="1"/>
  <c r="U284" i="1"/>
  <c r="V284" i="1"/>
  <c r="O284" i="1"/>
  <c r="P284" i="1"/>
  <c r="Q284" i="1"/>
  <c r="R284" i="1"/>
  <c r="F284" i="1"/>
  <c r="G284" i="1"/>
  <c r="H284" i="1"/>
  <c r="I284" i="1"/>
  <c r="J284" i="1"/>
  <c r="K284" i="1"/>
  <c r="L284" i="1"/>
  <c r="M284" i="1"/>
  <c r="N284" i="1"/>
  <c r="D284" i="1"/>
  <c r="E284" i="1"/>
  <c r="AB279" i="1"/>
  <c r="AC279" i="1"/>
  <c r="AD279" i="1"/>
  <c r="AE279" i="1"/>
  <c r="AF279" i="1"/>
  <c r="AG279" i="1"/>
  <c r="AH279" i="1"/>
  <c r="AI279" i="1"/>
  <c r="E279" i="1"/>
  <c r="F279" i="1"/>
  <c r="G279" i="1"/>
  <c r="H279" i="1"/>
  <c r="I279" i="1"/>
  <c r="J279" i="1"/>
  <c r="K279" i="1"/>
  <c r="L279" i="1"/>
  <c r="M279" i="1"/>
  <c r="N279" i="1"/>
  <c r="O279" i="1"/>
  <c r="P279" i="1"/>
  <c r="Q279" i="1"/>
  <c r="R279" i="1"/>
  <c r="S279" i="1"/>
  <c r="T279" i="1"/>
  <c r="U279" i="1"/>
  <c r="V279" i="1"/>
  <c r="W279" i="1"/>
  <c r="X279" i="1"/>
  <c r="Y279" i="1"/>
  <c r="Z279" i="1"/>
  <c r="AA279" i="1"/>
  <c r="D279" i="1"/>
  <c r="AJ279" i="1" s="1"/>
  <c r="AA214" i="1" l="1"/>
  <c r="Z214" i="1"/>
  <c r="AA213" i="1"/>
  <c r="Z213" i="1"/>
  <c r="AA212" i="1"/>
  <c r="Z212" i="1"/>
  <c r="AA211" i="1"/>
  <c r="Z211" i="1"/>
  <c r="AJ212" i="1" l="1"/>
  <c r="AJ214" i="1"/>
  <c r="AJ213" i="1"/>
  <c r="AJ211" i="1"/>
  <c r="AK277" i="1" l="1"/>
  <c r="AJ248" i="1"/>
  <c r="AA176" i="1" l="1"/>
  <c r="Y176" i="1"/>
  <c r="W176" i="1"/>
  <c r="U176" i="1"/>
  <c r="S176" i="1"/>
  <c r="Q176" i="1"/>
  <c r="O176" i="1"/>
  <c r="M176" i="1"/>
  <c r="K176" i="1"/>
  <c r="AA180" i="1"/>
  <c r="AJ180" i="1" s="1"/>
  <c r="AA179" i="1"/>
  <c r="AJ179" i="1" s="1"/>
  <c r="AA178" i="1"/>
  <c r="AJ178" i="1" s="1"/>
  <c r="AA177" i="1"/>
  <c r="AJ177" i="1" s="1"/>
  <c r="G57" i="1"/>
  <c r="H57" i="1"/>
  <c r="I57" i="1"/>
  <c r="J57" i="1"/>
  <c r="K57" i="1"/>
  <c r="L57" i="1"/>
  <c r="M57" i="1"/>
  <c r="N57" i="1"/>
  <c r="O57" i="1"/>
  <c r="P57" i="1"/>
  <c r="Q57" i="1"/>
  <c r="R57" i="1"/>
  <c r="S57" i="1"/>
  <c r="T57" i="1"/>
  <c r="U57" i="1"/>
  <c r="V57" i="1"/>
  <c r="W57" i="1"/>
  <c r="X57" i="1"/>
  <c r="Y57" i="1"/>
  <c r="G58" i="1"/>
  <c r="H58" i="1"/>
  <c r="I58" i="1"/>
  <c r="J58" i="1"/>
  <c r="K58" i="1"/>
  <c r="L58" i="1"/>
  <c r="M58" i="1"/>
  <c r="N58" i="1"/>
  <c r="O58" i="1"/>
  <c r="P58" i="1"/>
  <c r="Q58" i="1"/>
  <c r="R58" i="1"/>
  <c r="S58" i="1"/>
  <c r="T58" i="1"/>
  <c r="U58" i="1"/>
  <c r="V58" i="1"/>
  <c r="W58" i="1"/>
  <c r="X58" i="1"/>
  <c r="Y58" i="1"/>
  <c r="G59" i="1"/>
  <c r="H59" i="1"/>
  <c r="I59" i="1"/>
  <c r="J59" i="1"/>
  <c r="K59" i="1"/>
  <c r="L59" i="1"/>
  <c r="M59" i="1"/>
  <c r="N59" i="1"/>
  <c r="O59" i="1"/>
  <c r="P59" i="1"/>
  <c r="Q59" i="1"/>
  <c r="R59" i="1"/>
  <c r="S59" i="1"/>
  <c r="T59" i="1"/>
  <c r="U59" i="1"/>
  <c r="V59" i="1"/>
  <c r="W59" i="1"/>
  <c r="X59" i="1"/>
  <c r="Y59" i="1"/>
  <c r="G60" i="1"/>
  <c r="H60" i="1"/>
  <c r="I60" i="1"/>
  <c r="J60" i="1"/>
  <c r="K60" i="1"/>
  <c r="L60" i="1"/>
  <c r="M60" i="1"/>
  <c r="N60" i="1"/>
  <c r="O60" i="1"/>
  <c r="P60" i="1"/>
  <c r="Q60" i="1"/>
  <c r="R60" i="1"/>
  <c r="S60" i="1"/>
  <c r="T60" i="1"/>
  <c r="U60" i="1"/>
  <c r="V60" i="1"/>
  <c r="W60" i="1"/>
  <c r="X60" i="1"/>
  <c r="Y60" i="1"/>
  <c r="G61" i="1"/>
  <c r="H61" i="1"/>
  <c r="I61" i="1"/>
  <c r="J61" i="1"/>
  <c r="K61" i="1"/>
  <c r="L61" i="1"/>
  <c r="M61" i="1"/>
  <c r="N61" i="1"/>
  <c r="O61" i="1"/>
  <c r="P61" i="1"/>
  <c r="Q61" i="1"/>
  <c r="R61" i="1"/>
  <c r="S61" i="1"/>
  <c r="T61" i="1"/>
  <c r="U61" i="1"/>
  <c r="V61" i="1"/>
  <c r="W61" i="1"/>
  <c r="X61" i="1"/>
  <c r="Y61" i="1"/>
  <c r="G62" i="1"/>
  <c r="H62" i="1"/>
  <c r="I62" i="1"/>
  <c r="J62" i="1"/>
  <c r="K62" i="1"/>
  <c r="L62" i="1"/>
  <c r="M62" i="1"/>
  <c r="N62" i="1"/>
  <c r="O62" i="1"/>
  <c r="P62" i="1"/>
  <c r="Q62" i="1"/>
  <c r="R62" i="1"/>
  <c r="S62" i="1"/>
  <c r="T62" i="1"/>
  <c r="U62" i="1"/>
  <c r="V62" i="1"/>
  <c r="W62" i="1"/>
  <c r="X62" i="1"/>
  <c r="Y62" i="1"/>
  <c r="F58" i="1"/>
  <c r="F59" i="1"/>
  <c r="F60" i="1"/>
  <c r="F61" i="1"/>
  <c r="F62" i="1"/>
  <c r="F57" i="1"/>
  <c r="AK153" i="1"/>
  <c r="AJ157" i="1"/>
  <c r="AJ156" i="1"/>
  <c r="AJ155" i="1"/>
  <c r="AJ154" i="1"/>
  <c r="AN322" i="1"/>
  <c r="AL322" i="1"/>
  <c r="AB322" i="1"/>
  <c r="AC322" i="1"/>
  <c r="AD322" i="1"/>
  <c r="AE322" i="1"/>
  <c r="AF322" i="1"/>
  <c r="AG322" i="1"/>
  <c r="AH322" i="1"/>
  <c r="AI322" i="1"/>
  <c r="E322" i="1"/>
  <c r="F322" i="1"/>
  <c r="G322" i="1"/>
  <c r="H322" i="1"/>
  <c r="I322" i="1"/>
  <c r="J322" i="1"/>
  <c r="K322" i="1"/>
  <c r="L322" i="1"/>
  <c r="M322" i="1"/>
  <c r="N322" i="1"/>
  <c r="O322" i="1"/>
  <c r="P322" i="1"/>
  <c r="Q322" i="1"/>
  <c r="R322" i="1"/>
  <c r="S322" i="1"/>
  <c r="T322" i="1"/>
  <c r="U322" i="1"/>
  <c r="V322" i="1"/>
  <c r="W322" i="1"/>
  <c r="X322" i="1"/>
  <c r="Y322" i="1"/>
  <c r="Z322" i="1"/>
  <c r="AA322" i="1"/>
  <c r="D322" i="1"/>
  <c r="AJ324" i="1"/>
  <c r="AA300" i="1"/>
  <c r="AJ300" i="1" s="1"/>
  <c r="AK287" i="1"/>
  <c r="AK286" i="1"/>
  <c r="AK285" i="1"/>
  <c r="AJ281" i="1"/>
  <c r="AJ280" i="1"/>
  <c r="AJ286" i="1"/>
  <c r="AJ285" i="1"/>
  <c r="AJ322" i="1" l="1"/>
  <c r="AJ275" i="1" l="1"/>
  <c r="AJ274" i="1"/>
  <c r="AL107" i="1"/>
  <c r="AC65" i="1"/>
  <c r="AD65" i="1"/>
  <c r="AE65" i="1"/>
  <c r="AF65" i="1"/>
  <c r="AG65" i="1"/>
  <c r="AH65" i="1"/>
  <c r="AI65" i="1"/>
  <c r="AC66" i="1"/>
  <c r="AD66" i="1"/>
  <c r="AE66" i="1"/>
  <c r="AF66" i="1"/>
  <c r="AG66" i="1"/>
  <c r="AH66" i="1"/>
  <c r="AI66" i="1"/>
  <c r="AB66" i="1"/>
  <c r="AB65" i="1"/>
  <c r="G65" i="1"/>
  <c r="H65" i="1"/>
  <c r="I65" i="1"/>
  <c r="J65" i="1"/>
  <c r="K65" i="1"/>
  <c r="L65" i="1"/>
  <c r="M65" i="1"/>
  <c r="N65" i="1"/>
  <c r="O65" i="1"/>
  <c r="P65" i="1"/>
  <c r="Q65" i="1"/>
  <c r="R65" i="1"/>
  <c r="S65" i="1"/>
  <c r="T65" i="1"/>
  <c r="U65" i="1"/>
  <c r="V65" i="1"/>
  <c r="W65" i="1"/>
  <c r="X65" i="1"/>
  <c r="Y65" i="1"/>
  <c r="G66" i="1"/>
  <c r="H66" i="1"/>
  <c r="I66" i="1"/>
  <c r="J66" i="1"/>
  <c r="K66" i="1"/>
  <c r="F66" i="1"/>
  <c r="F65" i="1"/>
  <c r="AC64" i="1"/>
  <c r="AD64" i="1"/>
  <c r="AE64" i="1"/>
  <c r="AF64" i="1"/>
  <c r="AG64" i="1"/>
  <c r="AH64" i="1"/>
  <c r="AI64" i="1"/>
  <c r="AB64" i="1"/>
  <c r="G64" i="1"/>
  <c r="H64" i="1"/>
  <c r="I64" i="1"/>
  <c r="J64" i="1"/>
  <c r="K64" i="1"/>
  <c r="L64" i="1"/>
  <c r="M64" i="1"/>
  <c r="N64" i="1"/>
  <c r="O64" i="1"/>
  <c r="P64" i="1"/>
  <c r="Q64" i="1"/>
  <c r="R64" i="1"/>
  <c r="S64" i="1"/>
  <c r="T64" i="1"/>
  <c r="U64" i="1"/>
  <c r="V64" i="1"/>
  <c r="W64" i="1"/>
  <c r="X64" i="1"/>
  <c r="Y64" i="1"/>
  <c r="F64" i="1"/>
  <c r="AG63" i="1"/>
  <c r="AH63" i="1"/>
  <c r="AI63" i="1"/>
  <c r="AC63" i="1"/>
  <c r="AD63" i="1"/>
  <c r="AE63" i="1"/>
  <c r="AF63" i="1"/>
  <c r="AB63" i="1"/>
  <c r="G63" i="1"/>
  <c r="H63" i="1"/>
  <c r="I63" i="1"/>
  <c r="J63" i="1"/>
  <c r="K63" i="1"/>
  <c r="L63" i="1"/>
  <c r="M63" i="1"/>
  <c r="N63" i="1"/>
  <c r="O63" i="1"/>
  <c r="P63" i="1"/>
  <c r="Q63" i="1"/>
  <c r="R63" i="1"/>
  <c r="S63" i="1"/>
  <c r="T63" i="1"/>
  <c r="U63" i="1"/>
  <c r="V63" i="1"/>
  <c r="W63" i="1"/>
  <c r="X63" i="1"/>
  <c r="Y63" i="1"/>
  <c r="F63" i="1"/>
  <c r="E95" i="1"/>
  <c r="F95" i="1"/>
  <c r="G95" i="1"/>
  <c r="H95" i="1"/>
  <c r="I95" i="1"/>
  <c r="J95" i="1"/>
  <c r="K95" i="1"/>
  <c r="L95" i="1"/>
  <c r="M95" i="1"/>
  <c r="N95" i="1"/>
  <c r="O95" i="1"/>
  <c r="P95" i="1"/>
  <c r="Q95" i="1"/>
  <c r="R95" i="1"/>
  <c r="S95" i="1"/>
  <c r="T95" i="1"/>
  <c r="U95" i="1"/>
  <c r="V95" i="1"/>
  <c r="W95" i="1"/>
  <c r="X95" i="1"/>
  <c r="Y95" i="1"/>
  <c r="AB95" i="1"/>
  <c r="AC95" i="1"/>
  <c r="AD95" i="1"/>
  <c r="AE95" i="1"/>
  <c r="AF95" i="1"/>
  <c r="AG95" i="1"/>
  <c r="AH95" i="1"/>
  <c r="AI95" i="1"/>
  <c r="E96" i="1"/>
  <c r="F96" i="1"/>
  <c r="G96" i="1"/>
  <c r="H96" i="1"/>
  <c r="I96" i="1"/>
  <c r="J96" i="1"/>
  <c r="K96" i="1"/>
  <c r="L96" i="1"/>
  <c r="M96" i="1"/>
  <c r="N96" i="1"/>
  <c r="O96" i="1"/>
  <c r="P96" i="1"/>
  <c r="Q96" i="1"/>
  <c r="R96" i="1"/>
  <c r="S96" i="1"/>
  <c r="T96" i="1"/>
  <c r="U96" i="1"/>
  <c r="V96" i="1"/>
  <c r="W96" i="1"/>
  <c r="X96" i="1"/>
  <c r="Y96" i="1"/>
  <c r="AB96" i="1"/>
  <c r="AC96" i="1"/>
  <c r="AD96" i="1"/>
  <c r="AE96" i="1"/>
  <c r="AF96" i="1"/>
  <c r="AG96" i="1"/>
  <c r="AH96" i="1"/>
  <c r="AI96" i="1"/>
  <c r="E97" i="1"/>
  <c r="F97" i="1"/>
  <c r="G97" i="1"/>
  <c r="H97" i="1"/>
  <c r="I97" i="1"/>
  <c r="J97" i="1"/>
  <c r="K97" i="1"/>
  <c r="L97" i="1"/>
  <c r="M97" i="1"/>
  <c r="N97" i="1"/>
  <c r="O97" i="1"/>
  <c r="P97" i="1"/>
  <c r="Q97" i="1"/>
  <c r="R97" i="1"/>
  <c r="S97" i="1"/>
  <c r="T97" i="1"/>
  <c r="U97" i="1"/>
  <c r="V97" i="1"/>
  <c r="W97" i="1"/>
  <c r="X97" i="1"/>
  <c r="Y97" i="1"/>
  <c r="AB97" i="1"/>
  <c r="AC97" i="1"/>
  <c r="AD97" i="1"/>
  <c r="AE97" i="1"/>
  <c r="AF97" i="1"/>
  <c r="AG97" i="1"/>
  <c r="AH97" i="1"/>
  <c r="AI97" i="1"/>
  <c r="E98" i="1"/>
  <c r="F98" i="1"/>
  <c r="G98" i="1"/>
  <c r="H98" i="1"/>
  <c r="I98" i="1"/>
  <c r="J98" i="1"/>
  <c r="K98" i="1"/>
  <c r="L98" i="1"/>
  <c r="M98" i="1"/>
  <c r="N98" i="1"/>
  <c r="O98" i="1"/>
  <c r="P98" i="1"/>
  <c r="Q98" i="1"/>
  <c r="R98" i="1"/>
  <c r="S98" i="1"/>
  <c r="T98" i="1"/>
  <c r="U98" i="1"/>
  <c r="V98" i="1"/>
  <c r="W98" i="1"/>
  <c r="X98" i="1"/>
  <c r="Y98" i="1"/>
  <c r="AB98" i="1"/>
  <c r="AC98" i="1"/>
  <c r="AD98" i="1"/>
  <c r="AE98" i="1"/>
  <c r="AF98" i="1"/>
  <c r="AG98" i="1"/>
  <c r="AH98" i="1"/>
  <c r="AI98" i="1"/>
  <c r="D98" i="1"/>
  <c r="D96" i="1"/>
  <c r="D97" i="1"/>
  <c r="D95" i="1"/>
  <c r="Z86" i="1"/>
  <c r="AA86" i="1"/>
  <c r="E94" i="1"/>
  <c r="D94" i="1"/>
  <c r="E93" i="1"/>
  <c r="D93" i="1"/>
  <c r="AA84" i="1"/>
  <c r="Z84" i="1"/>
  <c r="AA83" i="1"/>
  <c r="Z83" i="1"/>
  <c r="AA82" i="1"/>
  <c r="Z82" i="1"/>
  <c r="AA81" i="1"/>
  <c r="Z81" i="1"/>
  <c r="AJ12" i="1"/>
  <c r="AJ20" i="1"/>
  <c r="AJ33" i="1"/>
  <c r="AJ34" i="1"/>
  <c r="AJ39" i="1"/>
  <c r="AJ40" i="1"/>
  <c r="AJ41" i="1"/>
  <c r="AJ42" i="1"/>
  <c r="AJ43" i="1"/>
  <c r="AJ44" i="1"/>
  <c r="AA77" i="1"/>
  <c r="Z77" i="1"/>
  <c r="AA76" i="1"/>
  <c r="Z76" i="1"/>
  <c r="AA75" i="1"/>
  <c r="Z75" i="1"/>
  <c r="AA74" i="1"/>
  <c r="Z74" i="1"/>
  <c r="AA92" i="1"/>
  <c r="Z92" i="1"/>
  <c r="AA91" i="1"/>
  <c r="Z91" i="1"/>
  <c r="AA90" i="1"/>
  <c r="Z90" i="1"/>
  <c r="AA89" i="1"/>
  <c r="Z89" i="1"/>
  <c r="AA71" i="1"/>
  <c r="Z71" i="1"/>
  <c r="Z68" i="1"/>
  <c r="AA68" i="1"/>
  <c r="Z69" i="1"/>
  <c r="AA69" i="1"/>
  <c r="Z70" i="1"/>
  <c r="AA70" i="1"/>
  <c r="AC58" i="1"/>
  <c r="AD58" i="1"/>
  <c r="AE58" i="1"/>
  <c r="AF58" i="1"/>
  <c r="AG58" i="1"/>
  <c r="AH58" i="1"/>
  <c r="AI58" i="1"/>
  <c r="AB58" i="1"/>
  <c r="Z57" i="1"/>
  <c r="AA57" i="1"/>
  <c r="AB57" i="1"/>
  <c r="AC57" i="1"/>
  <c r="AD57" i="1"/>
  <c r="AE57" i="1"/>
  <c r="AF57" i="1"/>
  <c r="AG57" i="1"/>
  <c r="AH57" i="1"/>
  <c r="AI57" i="1"/>
  <c r="AA62" i="1"/>
  <c r="Z62" i="1"/>
  <c r="AA61" i="1"/>
  <c r="Z61" i="1"/>
  <c r="AA60" i="1"/>
  <c r="Z60" i="1"/>
  <c r="AA59" i="1"/>
  <c r="Z59" i="1"/>
  <c r="AA56" i="1"/>
  <c r="Z56" i="1"/>
  <c r="AA55" i="1"/>
  <c r="Z55" i="1"/>
  <c r="AA54" i="1"/>
  <c r="Z54" i="1"/>
  <c r="AA53" i="1"/>
  <c r="Z53" i="1"/>
  <c r="AA50" i="1"/>
  <c r="Z50" i="1"/>
  <c r="AA49" i="1"/>
  <c r="Z49" i="1"/>
  <c r="AA48" i="1"/>
  <c r="Z48" i="1"/>
  <c r="AA47" i="1"/>
  <c r="Z47" i="1"/>
  <c r="AA38" i="1"/>
  <c r="Z38" i="1"/>
  <c r="AA37" i="1"/>
  <c r="Z37" i="1"/>
  <c r="AA36" i="1"/>
  <c r="Z36" i="1"/>
  <c r="AA35" i="1"/>
  <c r="Z35" i="1"/>
  <c r="AA32" i="1"/>
  <c r="Z32" i="1"/>
  <c r="AA31" i="1"/>
  <c r="Z31" i="1"/>
  <c r="AA30" i="1"/>
  <c r="Z30" i="1"/>
  <c r="AA29" i="1"/>
  <c r="Z29" i="1"/>
  <c r="AA26" i="1"/>
  <c r="Z26" i="1"/>
  <c r="AA25" i="1"/>
  <c r="Z25" i="1"/>
  <c r="AA24" i="1"/>
  <c r="Z24" i="1"/>
  <c r="AA23" i="1"/>
  <c r="Z23" i="1"/>
  <c r="AJ31" i="1" l="1"/>
  <c r="AJ82" i="1"/>
  <c r="AJ83" i="1"/>
  <c r="AJ81" i="1"/>
  <c r="AJ55" i="1"/>
  <c r="AJ86" i="1"/>
  <c r="AJ70" i="1"/>
  <c r="AJ84" i="1"/>
  <c r="AJ23" i="1"/>
  <c r="AJ29" i="1"/>
  <c r="AJ35" i="1"/>
  <c r="AJ47" i="1"/>
  <c r="AJ53" i="1"/>
  <c r="AJ59" i="1"/>
  <c r="AJ89" i="1"/>
  <c r="AJ74" i="1"/>
  <c r="AJ68" i="1"/>
  <c r="AJ77" i="1"/>
  <c r="AJ69" i="1"/>
  <c r="AJ26" i="1"/>
  <c r="AJ32" i="1"/>
  <c r="AJ38" i="1"/>
  <c r="AJ50" i="1"/>
  <c r="AJ56" i="1"/>
  <c r="AJ62" i="1"/>
  <c r="AJ24" i="1"/>
  <c r="AJ30" i="1"/>
  <c r="AJ36" i="1"/>
  <c r="AJ48" i="1"/>
  <c r="AJ54" i="1"/>
  <c r="AJ60" i="1"/>
  <c r="AJ90" i="1"/>
  <c r="AJ25" i="1"/>
  <c r="AJ37" i="1"/>
  <c r="AJ49" i="1"/>
  <c r="AJ61" i="1"/>
  <c r="AJ57" i="1"/>
  <c r="AJ75" i="1"/>
  <c r="AJ76" i="1"/>
  <c r="AJ91" i="1"/>
  <c r="AJ92" i="1"/>
  <c r="Z66" i="1"/>
  <c r="AJ71" i="1"/>
  <c r="AA66" i="1"/>
  <c r="Z58" i="1"/>
  <c r="AA58" i="1"/>
  <c r="AK34" i="1"/>
  <c r="AK40" i="1"/>
  <c r="AK58" i="1" l="1"/>
  <c r="AJ66" i="1"/>
  <c r="AJ58" i="1"/>
  <c r="AA18" i="1" l="1"/>
  <c r="AA98" i="1" s="1"/>
  <c r="Z18" i="1"/>
  <c r="Z98" i="1" s="1"/>
  <c r="AA17" i="1"/>
  <c r="AA97" i="1" s="1"/>
  <c r="Z17" i="1"/>
  <c r="Z97" i="1" s="1"/>
  <c r="AA16" i="1"/>
  <c r="AA96" i="1" s="1"/>
  <c r="Z16" i="1"/>
  <c r="Z96" i="1" s="1"/>
  <c r="AA15" i="1"/>
  <c r="AA95" i="1" s="1"/>
  <c r="Z15" i="1"/>
  <c r="Z95" i="1" s="1"/>
  <c r="AK325" i="1"/>
  <c r="AK329" i="1"/>
  <c r="AJ97" i="1" l="1"/>
  <c r="AJ98" i="1"/>
  <c r="AJ96" i="1"/>
  <c r="AJ95" i="1"/>
  <c r="AJ17" i="1"/>
  <c r="AJ15" i="1"/>
  <c r="AJ16" i="1"/>
  <c r="AJ18" i="1"/>
  <c r="AK335" i="1"/>
  <c r="AJ335" i="1"/>
  <c r="M124" i="1" l="1"/>
  <c r="AC235" i="1" l="1"/>
  <c r="AD235" i="1"/>
  <c r="AE235" i="1"/>
  <c r="AF235" i="1"/>
  <c r="AG235" i="1"/>
  <c r="AH235" i="1"/>
  <c r="AI235" i="1"/>
  <c r="AB235" i="1"/>
  <c r="E235" i="1"/>
  <c r="F235" i="1"/>
  <c r="G235" i="1"/>
  <c r="H235" i="1"/>
  <c r="I235" i="1"/>
  <c r="J235" i="1"/>
  <c r="K235" i="1"/>
  <c r="L235" i="1"/>
  <c r="M235" i="1"/>
  <c r="N235" i="1"/>
  <c r="O235" i="1"/>
  <c r="P235" i="1"/>
  <c r="Q235" i="1"/>
  <c r="R235" i="1"/>
  <c r="S235" i="1"/>
  <c r="T235" i="1"/>
  <c r="U235" i="1"/>
  <c r="V235" i="1"/>
  <c r="W235" i="1"/>
  <c r="X235" i="1"/>
  <c r="Y235" i="1"/>
  <c r="F85" i="1" l="1"/>
  <c r="AI85" i="1"/>
  <c r="AH85" i="1"/>
  <c r="AG85" i="1"/>
  <c r="AF85" i="1"/>
  <c r="AE85" i="1"/>
  <c r="AD85" i="1"/>
  <c r="AC85" i="1"/>
  <c r="AB85" i="1"/>
  <c r="Y85" i="1"/>
  <c r="X85" i="1"/>
  <c r="W85" i="1"/>
  <c r="V85" i="1"/>
  <c r="U85" i="1"/>
  <c r="T85" i="1"/>
  <c r="S85" i="1"/>
  <c r="R85" i="1"/>
  <c r="Q85" i="1"/>
  <c r="P85" i="1"/>
  <c r="O85" i="1"/>
  <c r="N85" i="1"/>
  <c r="M85" i="1"/>
  <c r="L85" i="1"/>
  <c r="K85" i="1"/>
  <c r="J85" i="1"/>
  <c r="I85" i="1"/>
  <c r="H85" i="1"/>
  <c r="G85" i="1"/>
  <c r="AA85" i="1" l="1"/>
  <c r="Z85" i="1"/>
  <c r="AJ327" i="1"/>
  <c r="AJ326" i="1"/>
  <c r="AK326" i="1" l="1"/>
  <c r="AJ272" i="1"/>
  <c r="AC19" i="1" l="1"/>
  <c r="AD19" i="1"/>
  <c r="AE19" i="1"/>
  <c r="AF19" i="1"/>
  <c r="AG19" i="1"/>
  <c r="AH19" i="1"/>
  <c r="AI19" i="1"/>
  <c r="AB19" i="1"/>
  <c r="M19" i="1"/>
  <c r="N19" i="1"/>
  <c r="O19" i="1"/>
  <c r="P19" i="1"/>
  <c r="Q19" i="1"/>
  <c r="R19" i="1"/>
  <c r="S19" i="1"/>
  <c r="T19" i="1"/>
  <c r="U19" i="1"/>
  <c r="V19" i="1"/>
  <c r="W19" i="1"/>
  <c r="X19" i="1"/>
  <c r="Y19" i="1"/>
  <c r="F19" i="1"/>
  <c r="G19" i="1"/>
  <c r="H19" i="1"/>
  <c r="I19" i="1"/>
  <c r="K19" i="1"/>
  <c r="L19" i="1"/>
  <c r="J19" i="1"/>
  <c r="AK330" i="1"/>
  <c r="AJ330" i="1"/>
  <c r="AK331" i="1" l="1"/>
  <c r="AK334" i="1"/>
  <c r="AJ323" i="1"/>
  <c r="AJ325" i="1"/>
  <c r="D215" i="1" l="1"/>
  <c r="E215" i="1"/>
  <c r="AC231" i="1" l="1"/>
  <c r="AD231" i="1"/>
  <c r="AE231" i="1"/>
  <c r="AF231" i="1"/>
  <c r="AG231" i="1"/>
  <c r="AH231" i="1"/>
  <c r="AI231" i="1"/>
  <c r="AB231" i="1"/>
  <c r="E231" i="1"/>
  <c r="F231" i="1"/>
  <c r="G231" i="1"/>
  <c r="H231" i="1"/>
  <c r="I231" i="1"/>
  <c r="J231" i="1"/>
  <c r="K231" i="1"/>
  <c r="L231" i="1"/>
  <c r="M231" i="1"/>
  <c r="N231" i="1"/>
  <c r="O231" i="1"/>
  <c r="P231" i="1"/>
  <c r="Q231" i="1"/>
  <c r="R231" i="1"/>
  <c r="S231" i="1"/>
  <c r="T231" i="1"/>
  <c r="U231" i="1"/>
  <c r="V231" i="1"/>
  <c r="W231" i="1"/>
  <c r="X231" i="1"/>
  <c r="Y231" i="1"/>
  <c r="AA28" i="1" l="1"/>
  <c r="AA296" i="1"/>
  <c r="AA297" i="1"/>
  <c r="AA298" i="1"/>
  <c r="AA299" i="1"/>
  <c r="AA301" i="1"/>
  <c r="AA302" i="1"/>
  <c r="AA303" i="1"/>
  <c r="AA305" i="1"/>
  <c r="AA306" i="1"/>
  <c r="AA307" i="1"/>
  <c r="AA308" i="1"/>
  <c r="AA310" i="1"/>
  <c r="AA311" i="1"/>
  <c r="AA312" i="1"/>
  <c r="AA314" i="1"/>
  <c r="AA315" i="1"/>
  <c r="AA316" i="1"/>
  <c r="AA317" i="1"/>
  <c r="Z261" i="1"/>
  <c r="AA261" i="1"/>
  <c r="Z262" i="1"/>
  <c r="AA262" i="1"/>
  <c r="Z263" i="1"/>
  <c r="AA263" i="1"/>
  <c r="AK142" i="1" l="1"/>
  <c r="Z231" i="1"/>
  <c r="AA231" i="1"/>
  <c r="AA232" i="1"/>
  <c r="D231" i="1"/>
  <c r="AK145" i="1"/>
  <c r="AK140" i="1"/>
  <c r="L116" i="1"/>
  <c r="N116" i="1"/>
  <c r="P116" i="1"/>
  <c r="R116" i="1"/>
  <c r="T116" i="1"/>
  <c r="V116" i="1"/>
  <c r="X116" i="1"/>
  <c r="Z116" i="1"/>
  <c r="J116" i="1"/>
  <c r="J108" i="1"/>
  <c r="AJ111" i="1" l="1"/>
  <c r="AJ112" i="1"/>
  <c r="AJ125" i="1"/>
  <c r="AJ126" i="1"/>
  <c r="AJ127" i="1"/>
  <c r="AJ128" i="1"/>
  <c r="AJ129" i="1"/>
  <c r="AJ130" i="1"/>
  <c r="AJ131" i="1"/>
  <c r="AJ132" i="1"/>
  <c r="AJ138" i="1"/>
  <c r="AJ139" i="1"/>
  <c r="AJ140" i="1"/>
  <c r="AJ141" i="1"/>
  <c r="AJ142" i="1"/>
  <c r="AJ143" i="1"/>
  <c r="AJ144" i="1"/>
  <c r="AJ145" i="1"/>
  <c r="AJ261" i="1" l="1"/>
  <c r="AJ262" i="1"/>
  <c r="AJ263" i="1"/>
  <c r="AA234" i="1"/>
  <c r="Z234" i="1"/>
  <c r="AA233" i="1"/>
  <c r="Z233" i="1"/>
  <c r="Z232" i="1"/>
  <c r="AJ232" i="1" s="1"/>
  <c r="AJ234" i="1" l="1"/>
  <c r="AJ233" i="1"/>
  <c r="AH209" i="1" l="1"/>
  <c r="AD209" i="1"/>
  <c r="AE209" i="1"/>
  <c r="AF209" i="1"/>
  <c r="AG209" i="1"/>
  <c r="AI209" i="1"/>
  <c r="AC209" i="1"/>
  <c r="AB209" i="1"/>
  <c r="G209" i="1"/>
  <c r="H209" i="1"/>
  <c r="I209" i="1"/>
  <c r="J209" i="1"/>
  <c r="K209" i="1"/>
  <c r="L209" i="1"/>
  <c r="M209" i="1"/>
  <c r="N209" i="1"/>
  <c r="O209" i="1"/>
  <c r="P209" i="1"/>
  <c r="Q209" i="1"/>
  <c r="R209" i="1"/>
  <c r="S209" i="1"/>
  <c r="T209" i="1"/>
  <c r="U209" i="1"/>
  <c r="V209" i="1"/>
  <c r="W209" i="1"/>
  <c r="X209" i="1"/>
  <c r="Y209" i="1"/>
  <c r="D209" i="1"/>
  <c r="E209" i="1"/>
  <c r="F209" i="1"/>
  <c r="F207" i="1"/>
  <c r="AA124" i="1" l="1"/>
  <c r="AA116" i="1" s="1"/>
  <c r="Y124" i="1"/>
  <c r="Y116" i="1" s="1"/>
  <c r="W124" i="1"/>
  <c r="W116" i="1" s="1"/>
  <c r="U124" i="1"/>
  <c r="U116" i="1" s="1"/>
  <c r="S124" i="1"/>
  <c r="S116" i="1" s="1"/>
  <c r="Q124" i="1"/>
  <c r="Q116" i="1" s="1"/>
  <c r="O124" i="1"/>
  <c r="O116" i="1" s="1"/>
  <c r="M116" i="1"/>
  <c r="K124" i="1"/>
  <c r="AJ124" i="1" l="1"/>
  <c r="AA80" i="1" l="1"/>
  <c r="Z80" i="1"/>
  <c r="AA79" i="1"/>
  <c r="Z79" i="1"/>
  <c r="AA78" i="1"/>
  <c r="Z78" i="1"/>
  <c r="AA73" i="1"/>
  <c r="Z73" i="1"/>
  <c r="AA72" i="1"/>
  <c r="Z72" i="1"/>
  <c r="AA88" i="1"/>
  <c r="Z88" i="1"/>
  <c r="AA87" i="1"/>
  <c r="Z87" i="1"/>
  <c r="AA46" i="1"/>
  <c r="Z46" i="1"/>
  <c r="AA45" i="1"/>
  <c r="Z45" i="1"/>
  <c r="Z28" i="1"/>
  <c r="AA27" i="1"/>
  <c r="Z27" i="1"/>
  <c r="AA22" i="1"/>
  <c r="Z22" i="1"/>
  <c r="AA21" i="1"/>
  <c r="Z21" i="1"/>
  <c r="AA14" i="1"/>
  <c r="Z14" i="1"/>
  <c r="AA13" i="1"/>
  <c r="Z13" i="1"/>
  <c r="Z9" i="1"/>
  <c r="AA9" i="1"/>
  <c r="Z10" i="1"/>
  <c r="AA10" i="1"/>
  <c r="Z11" i="1"/>
  <c r="AA11" i="1"/>
  <c r="AA8" i="1"/>
  <c r="Z8" i="1"/>
  <c r="Z218" i="1"/>
  <c r="AA218" i="1"/>
  <c r="Z208" i="1"/>
  <c r="AA208" i="1"/>
  <c r="Z210" i="1"/>
  <c r="AK210" i="1" s="1"/>
  <c r="AA210" i="1"/>
  <c r="Z217" i="1"/>
  <c r="AA217" i="1"/>
  <c r="Z206" i="1"/>
  <c r="AA206" i="1"/>
  <c r="Z205" i="1"/>
  <c r="AA205" i="1"/>
  <c r="AA204" i="1"/>
  <c r="Z204" i="1"/>
  <c r="AB207" i="1"/>
  <c r="AC207" i="1"/>
  <c r="AD207" i="1"/>
  <c r="AE207" i="1"/>
  <c r="AF207" i="1"/>
  <c r="AG207" i="1"/>
  <c r="AH207" i="1"/>
  <c r="AI207" i="1"/>
  <c r="AB215" i="1"/>
  <c r="AC215" i="1"/>
  <c r="AD215" i="1"/>
  <c r="AE215" i="1"/>
  <c r="AF215" i="1"/>
  <c r="AG215" i="1"/>
  <c r="AH215" i="1"/>
  <c r="AI215" i="1"/>
  <c r="AB219" i="1"/>
  <c r="AC219" i="1"/>
  <c r="AD219" i="1"/>
  <c r="AE219" i="1"/>
  <c r="AF219" i="1"/>
  <c r="AG219" i="1"/>
  <c r="AH219" i="1"/>
  <c r="AI219" i="1"/>
  <c r="Z253" i="1"/>
  <c r="AA253" i="1"/>
  <c r="Z254" i="1"/>
  <c r="AA254" i="1"/>
  <c r="Z251" i="1"/>
  <c r="AA251" i="1"/>
  <c r="Z252" i="1"/>
  <c r="AA252" i="1"/>
  <c r="Z256" i="1"/>
  <c r="AA256" i="1"/>
  <c r="Z257" i="1"/>
  <c r="AA257" i="1"/>
  <c r="Z258" i="1"/>
  <c r="AA258" i="1"/>
  <c r="Z260" i="1"/>
  <c r="AA260" i="1"/>
  <c r="AB255" i="1"/>
  <c r="AC255" i="1"/>
  <c r="AD255" i="1"/>
  <c r="AD250" i="1" s="1"/>
  <c r="AE255" i="1"/>
  <c r="AE250" i="1" s="1"/>
  <c r="AF255" i="1"/>
  <c r="AF250" i="1" s="1"/>
  <c r="AG255" i="1"/>
  <c r="AG250" i="1" s="1"/>
  <c r="AH255" i="1"/>
  <c r="AH250" i="1" s="1"/>
  <c r="AI255" i="1"/>
  <c r="AI250" i="1" s="1"/>
  <c r="AB259" i="1"/>
  <c r="AC259" i="1"/>
  <c r="AD259" i="1"/>
  <c r="AE259" i="1"/>
  <c r="AF259" i="1"/>
  <c r="AG259" i="1"/>
  <c r="AH259" i="1"/>
  <c r="AI259" i="1"/>
  <c r="AB51" i="1"/>
  <c r="AB93" i="1" s="1"/>
  <c r="AC51" i="1"/>
  <c r="AC93" i="1" s="1"/>
  <c r="AD51" i="1"/>
  <c r="AD93" i="1" s="1"/>
  <c r="AE51" i="1"/>
  <c r="AE93" i="1" s="1"/>
  <c r="AF51" i="1"/>
  <c r="AF93" i="1" s="1"/>
  <c r="AG51" i="1"/>
  <c r="AG93" i="1" s="1"/>
  <c r="AH51" i="1"/>
  <c r="AH93" i="1" s="1"/>
  <c r="AI51" i="1"/>
  <c r="AI93" i="1" s="1"/>
  <c r="AB52" i="1"/>
  <c r="AB94" i="1" s="1"/>
  <c r="AC52" i="1"/>
  <c r="AC94" i="1" s="1"/>
  <c r="AD52" i="1"/>
  <c r="AD94" i="1" s="1"/>
  <c r="AE52" i="1"/>
  <c r="AE94" i="1" s="1"/>
  <c r="AF52" i="1"/>
  <c r="AF94" i="1" s="1"/>
  <c r="AG52" i="1"/>
  <c r="AG94" i="1" s="1"/>
  <c r="AH52" i="1"/>
  <c r="AH94" i="1" s="1"/>
  <c r="AI52" i="1"/>
  <c r="AI94" i="1" s="1"/>
  <c r="AK211" i="1" l="1"/>
  <c r="AA94" i="1"/>
  <c r="AA93" i="1"/>
  <c r="AJ13" i="1"/>
  <c r="AJ27" i="1"/>
  <c r="Z94" i="1"/>
  <c r="Z93" i="1"/>
  <c r="AJ10" i="1"/>
  <c r="AJ87" i="1"/>
  <c r="AJ45" i="1"/>
  <c r="AJ22" i="1"/>
  <c r="AJ14" i="1"/>
  <c r="AJ46" i="1"/>
  <c r="AJ9" i="1"/>
  <c r="AK88" i="1"/>
  <c r="AJ88" i="1"/>
  <c r="AK28" i="1"/>
  <c r="AJ28" i="1"/>
  <c r="AJ11" i="1"/>
  <c r="AJ21" i="1"/>
  <c r="AG67" i="1"/>
  <c r="AF67" i="1"/>
  <c r="AE67" i="1"/>
  <c r="AD67" i="1"/>
  <c r="AI67" i="1"/>
  <c r="AH67" i="1"/>
  <c r="AA63" i="1"/>
  <c r="Z63" i="1"/>
  <c r="AK46" i="1"/>
  <c r="AM10" i="1"/>
  <c r="AK22" i="1"/>
  <c r="AK14" i="1"/>
  <c r="AA19" i="1"/>
  <c r="Z19" i="1"/>
  <c r="Z51" i="1"/>
  <c r="AA219" i="1"/>
  <c r="AA215" i="1"/>
  <c r="AA207" i="1"/>
  <c r="Z259" i="1"/>
  <c r="Z255" i="1"/>
  <c r="Z250" i="1" s="1"/>
  <c r="AB250" i="1"/>
  <c r="Z219" i="1"/>
  <c r="Z215" i="1"/>
  <c r="Z207" i="1"/>
  <c r="AK218" i="1"/>
  <c r="AA259" i="1"/>
  <c r="AA255" i="1"/>
  <c r="AA250" i="1" s="1"/>
  <c r="AC250" i="1"/>
  <c r="AA209" i="1"/>
  <c r="Z52" i="1"/>
  <c r="AA51" i="1"/>
  <c r="Z209" i="1"/>
  <c r="AA52" i="1"/>
  <c r="D219" i="1"/>
  <c r="E219" i="1"/>
  <c r="AJ19" i="1" l="1"/>
  <c r="Z65" i="1"/>
  <c r="Z64" i="1"/>
  <c r="AB67" i="1"/>
  <c r="Z67" i="1" s="1"/>
  <c r="AA65" i="1"/>
  <c r="AA64" i="1"/>
  <c r="AC67" i="1"/>
  <c r="AA67" i="1" s="1"/>
  <c r="AK86" i="1"/>
  <c r="AJ85" i="1"/>
  <c r="AK20" i="1"/>
  <c r="AJ209" i="1"/>
  <c r="AK102" i="1" l="1"/>
  <c r="AK100" i="1"/>
  <c r="AJ78" i="1"/>
  <c r="AH187" i="1" l="1"/>
  <c r="AF187" i="1"/>
  <c r="AD187" i="1"/>
  <c r="AB187" i="1"/>
  <c r="AA186" i="1"/>
  <c r="AA187" i="1"/>
  <c r="AA188" i="1"/>
  <c r="AA189" i="1"/>
  <c r="AA190" i="1"/>
  <c r="AA191" i="1"/>
  <c r="AA192" i="1"/>
  <c r="AA193" i="1"/>
  <c r="AA194" i="1"/>
  <c r="AK194" i="1" s="1"/>
  <c r="AA195" i="1"/>
  <c r="AK195" i="1" s="1"/>
  <c r="AA185" i="1"/>
  <c r="AJ271" i="1"/>
  <c r="AJ195" i="1" l="1"/>
  <c r="AJ136" i="1"/>
  <c r="AJ137" i="1"/>
  <c r="AJ103" i="1" l="1"/>
  <c r="AJ102" i="1"/>
  <c r="AJ101" i="1"/>
  <c r="AJ100" i="1"/>
  <c r="AM102" i="1" l="1"/>
  <c r="AM100" i="1"/>
  <c r="AJ175" i="1" l="1"/>
  <c r="AK174" i="1"/>
  <c r="AJ174" i="1"/>
  <c r="AK78" i="1"/>
  <c r="AA293" i="1" l="1"/>
  <c r="AA294" i="1"/>
  <c r="AJ296" i="1"/>
  <c r="AJ305" i="1"/>
  <c r="AJ314" i="1"/>
  <c r="AA292" i="1"/>
  <c r="AI295" i="1"/>
  <c r="AI304" i="1"/>
  <c r="AI313" i="1"/>
  <c r="AG295" i="1"/>
  <c r="AG304" i="1"/>
  <c r="AG313" i="1"/>
  <c r="AE295" i="1"/>
  <c r="AE304" i="1"/>
  <c r="AE313" i="1"/>
  <c r="AC295" i="1"/>
  <c r="AC304" i="1"/>
  <c r="AC313" i="1"/>
  <c r="AA264" i="1"/>
  <c r="Z264" i="1"/>
  <c r="AA265" i="1"/>
  <c r="Z265" i="1"/>
  <c r="AB266" i="1"/>
  <c r="AC266" i="1"/>
  <c r="AD266" i="1"/>
  <c r="AE266" i="1"/>
  <c r="AF266" i="1"/>
  <c r="AG266" i="1"/>
  <c r="AH266" i="1"/>
  <c r="AI266" i="1"/>
  <c r="Z225" i="1"/>
  <c r="AA225" i="1"/>
  <c r="Z226" i="1"/>
  <c r="AA226" i="1"/>
  <c r="Z227" i="1"/>
  <c r="AA227" i="1"/>
  <c r="Z228" i="1"/>
  <c r="AA228" i="1"/>
  <c r="AA229" i="1"/>
  <c r="Z229" i="1"/>
  <c r="AB224" i="1"/>
  <c r="AC224" i="1"/>
  <c r="AD224" i="1"/>
  <c r="AE224" i="1"/>
  <c r="AF224" i="1"/>
  <c r="AG224" i="1"/>
  <c r="AH224" i="1"/>
  <c r="AI224" i="1"/>
  <c r="AA313" i="1" l="1"/>
  <c r="AA304" i="1"/>
  <c r="AJ231" i="1"/>
  <c r="AA266" i="1"/>
  <c r="AA295" i="1"/>
  <c r="J67" i="1" l="1"/>
  <c r="T67" i="1" l="1"/>
  <c r="L67" i="1"/>
  <c r="S67" i="1"/>
  <c r="K67" i="1"/>
  <c r="R67" i="1"/>
  <c r="I67" i="1"/>
  <c r="Y67" i="1"/>
  <c r="Q67" i="1"/>
  <c r="X67" i="1"/>
  <c r="P67" i="1"/>
  <c r="V67" i="1"/>
  <c r="N67" i="1"/>
  <c r="W67" i="1"/>
  <c r="O67" i="1"/>
  <c r="G67" i="1"/>
  <c r="U67" i="1"/>
  <c r="M67" i="1"/>
  <c r="AJ63" i="1"/>
  <c r="F67" i="1" l="1"/>
  <c r="K116" i="1"/>
  <c r="AK132" i="1" l="1"/>
  <c r="AK127" i="1"/>
  <c r="AK129" i="1"/>
  <c r="AJ65" i="1"/>
  <c r="Z236" i="1" l="1"/>
  <c r="AA236" i="1"/>
  <c r="Z237" i="1"/>
  <c r="AA237" i="1"/>
  <c r="Z238" i="1"/>
  <c r="AA238" i="1"/>
  <c r="Z239" i="1"/>
  <c r="AA239" i="1"/>
  <c r="Z240" i="1"/>
  <c r="AA240" i="1"/>
  <c r="Z241" i="1"/>
  <c r="AA241" i="1"/>
  <c r="Z242" i="1"/>
  <c r="AA242" i="1"/>
  <c r="Z243" i="1"/>
  <c r="AA243" i="1"/>
  <c r="Z244" i="1"/>
  <c r="AA244" i="1"/>
  <c r="Z245" i="1"/>
  <c r="AA245" i="1"/>
  <c r="Z246" i="1"/>
  <c r="AA246" i="1"/>
  <c r="AI247" i="1"/>
  <c r="AH247" i="1"/>
  <c r="H67" i="1" l="1"/>
  <c r="AJ64" i="1"/>
  <c r="AK67" i="1" l="1"/>
  <c r="AJ67" i="1"/>
  <c r="AB247" i="1" l="1"/>
  <c r="AC247" i="1"/>
  <c r="AD247" i="1"/>
  <c r="AE247" i="1"/>
  <c r="AF247" i="1"/>
  <c r="AG247" i="1"/>
  <c r="AA247" i="1" l="1"/>
  <c r="Z247" i="1"/>
  <c r="AA224" i="1"/>
  <c r="Y224" i="1"/>
  <c r="W224" i="1"/>
  <c r="U224" i="1"/>
  <c r="S224" i="1"/>
  <c r="Q224" i="1"/>
  <c r="O224" i="1"/>
  <c r="M224" i="1"/>
  <c r="AK79" i="1" l="1"/>
  <c r="AJ80" i="1"/>
  <c r="AJ79" i="1"/>
  <c r="AA235" i="1" l="1"/>
  <c r="Z235" i="1"/>
  <c r="AJ133" i="1"/>
  <c r="AK200" i="1" l="1"/>
  <c r="AK197" i="1"/>
  <c r="AM197" i="1"/>
  <c r="AM190" i="1"/>
  <c r="AM189" i="1"/>
  <c r="AM188" i="1"/>
  <c r="AJ206" i="1" l="1"/>
  <c r="A3" i="1" l="1"/>
  <c r="G207" i="1" l="1"/>
  <c r="H207" i="1"/>
  <c r="I207" i="1"/>
  <c r="J207" i="1"/>
  <c r="K207" i="1"/>
  <c r="L207" i="1"/>
  <c r="M207" i="1"/>
  <c r="N207" i="1"/>
  <c r="O207" i="1"/>
  <c r="P207" i="1"/>
  <c r="Q207" i="1"/>
  <c r="R207" i="1"/>
  <c r="S207" i="1"/>
  <c r="T207" i="1"/>
  <c r="U207" i="1"/>
  <c r="V207" i="1"/>
  <c r="W207" i="1"/>
  <c r="X207" i="1"/>
  <c r="Y207" i="1"/>
  <c r="Y295" i="1" l="1"/>
  <c r="W295" i="1"/>
  <c r="U295" i="1"/>
  <c r="S295" i="1"/>
  <c r="Q295" i="1"/>
  <c r="O295" i="1"/>
  <c r="M295" i="1"/>
  <c r="Y313" i="1"/>
  <c r="W313" i="1"/>
  <c r="U313" i="1"/>
  <c r="S313" i="1"/>
  <c r="Q313" i="1"/>
  <c r="O313" i="1"/>
  <c r="M313" i="1"/>
  <c r="Y304" i="1"/>
  <c r="W304" i="1"/>
  <c r="U304" i="1"/>
  <c r="S304" i="1"/>
  <c r="Q304" i="1"/>
  <c r="O304" i="1"/>
  <c r="AK293" i="1" l="1"/>
  <c r="AK311" i="1"/>
  <c r="G52" i="1" l="1"/>
  <c r="G94" i="1" s="1"/>
  <c r="H52" i="1"/>
  <c r="H94" i="1" s="1"/>
  <c r="I52" i="1"/>
  <c r="I94" i="1" s="1"/>
  <c r="J52" i="1"/>
  <c r="J94" i="1" s="1"/>
  <c r="K52" i="1"/>
  <c r="K94" i="1" s="1"/>
  <c r="L52" i="1"/>
  <c r="L94" i="1" s="1"/>
  <c r="M52" i="1"/>
  <c r="M94" i="1" s="1"/>
  <c r="N52" i="1"/>
  <c r="N94" i="1" s="1"/>
  <c r="O52" i="1"/>
  <c r="O94" i="1" s="1"/>
  <c r="P52" i="1"/>
  <c r="P94" i="1" s="1"/>
  <c r="Q52" i="1"/>
  <c r="Q94" i="1" s="1"/>
  <c r="R52" i="1"/>
  <c r="R94" i="1" s="1"/>
  <c r="S52" i="1"/>
  <c r="S94" i="1" s="1"/>
  <c r="T52" i="1"/>
  <c r="T94" i="1" s="1"/>
  <c r="U52" i="1"/>
  <c r="U94" i="1" s="1"/>
  <c r="V52" i="1"/>
  <c r="V94" i="1" s="1"/>
  <c r="W52" i="1"/>
  <c r="W94" i="1" s="1"/>
  <c r="X52" i="1"/>
  <c r="X94" i="1" s="1"/>
  <c r="Y52" i="1"/>
  <c r="Y94" i="1" s="1"/>
  <c r="F52" i="1"/>
  <c r="F94" i="1" s="1"/>
  <c r="AJ94" i="1" l="1"/>
  <c r="AJ52" i="1"/>
  <c r="G51" i="1"/>
  <c r="G93" i="1" s="1"/>
  <c r="H51" i="1"/>
  <c r="H93" i="1" s="1"/>
  <c r="I51" i="1"/>
  <c r="I93" i="1" s="1"/>
  <c r="J51" i="1"/>
  <c r="J93" i="1" s="1"/>
  <c r="K51" i="1"/>
  <c r="K93" i="1" s="1"/>
  <c r="L51" i="1"/>
  <c r="L93" i="1" s="1"/>
  <c r="M51" i="1"/>
  <c r="M93" i="1" s="1"/>
  <c r="N51" i="1"/>
  <c r="N93" i="1" s="1"/>
  <c r="O51" i="1"/>
  <c r="O93" i="1" s="1"/>
  <c r="P51" i="1"/>
  <c r="P93" i="1" s="1"/>
  <c r="Q51" i="1"/>
  <c r="Q93" i="1" s="1"/>
  <c r="R51" i="1"/>
  <c r="R93" i="1" s="1"/>
  <c r="S51" i="1"/>
  <c r="S93" i="1" s="1"/>
  <c r="T51" i="1"/>
  <c r="T93" i="1" s="1"/>
  <c r="U51" i="1"/>
  <c r="U93" i="1" s="1"/>
  <c r="V51" i="1"/>
  <c r="V93" i="1" s="1"/>
  <c r="W51" i="1"/>
  <c r="W93" i="1" s="1"/>
  <c r="X51" i="1"/>
  <c r="X93" i="1" s="1"/>
  <c r="Y51" i="1"/>
  <c r="Y93" i="1" s="1"/>
  <c r="F51" i="1"/>
  <c r="F93" i="1" s="1"/>
  <c r="E224" i="1"/>
  <c r="AJ93" i="1" l="1"/>
  <c r="AJ51" i="1"/>
  <c r="F224" i="1" l="1"/>
  <c r="G224" i="1"/>
  <c r="H224" i="1"/>
  <c r="I224" i="1"/>
  <c r="J224" i="1"/>
  <c r="K224" i="1"/>
  <c r="L224" i="1"/>
  <c r="N224" i="1"/>
  <c r="P224" i="1"/>
  <c r="R224" i="1"/>
  <c r="T224" i="1"/>
  <c r="V224" i="1"/>
  <c r="X224" i="1"/>
  <c r="Z224" i="1"/>
  <c r="K108" i="1" l="1"/>
  <c r="L108" i="1"/>
  <c r="M108" i="1"/>
  <c r="N108" i="1"/>
  <c r="O108" i="1"/>
  <c r="P108" i="1"/>
  <c r="Q108" i="1"/>
  <c r="R108" i="1"/>
  <c r="S108" i="1"/>
  <c r="T108" i="1"/>
  <c r="U108" i="1"/>
  <c r="V108" i="1"/>
  <c r="W108" i="1"/>
  <c r="X108" i="1"/>
  <c r="Y108" i="1"/>
  <c r="Z108" i="1"/>
  <c r="AA108" i="1"/>
  <c r="AM254" i="1" l="1"/>
  <c r="AM253" i="1"/>
  <c r="E255" i="1"/>
  <c r="E250" i="1" s="1"/>
  <c r="F255" i="1"/>
  <c r="F250" i="1" s="1"/>
  <c r="G255" i="1"/>
  <c r="G250" i="1" s="1"/>
  <c r="H255" i="1"/>
  <c r="H250" i="1" s="1"/>
  <c r="I255" i="1"/>
  <c r="I250" i="1" s="1"/>
  <c r="J255" i="1"/>
  <c r="J250" i="1" s="1"/>
  <c r="K255" i="1"/>
  <c r="K250" i="1" s="1"/>
  <c r="L255" i="1"/>
  <c r="L250" i="1" s="1"/>
  <c r="M255" i="1"/>
  <c r="M250" i="1" s="1"/>
  <c r="N255" i="1"/>
  <c r="N250" i="1" s="1"/>
  <c r="O255" i="1"/>
  <c r="O250" i="1" s="1"/>
  <c r="P255" i="1"/>
  <c r="P250" i="1" s="1"/>
  <c r="Q255" i="1"/>
  <c r="Q250" i="1" s="1"/>
  <c r="R255" i="1"/>
  <c r="R250" i="1" s="1"/>
  <c r="S255" i="1"/>
  <c r="S250" i="1" s="1"/>
  <c r="T255" i="1"/>
  <c r="T250" i="1" s="1"/>
  <c r="U255" i="1"/>
  <c r="U250" i="1" s="1"/>
  <c r="V255" i="1"/>
  <c r="V250" i="1" s="1"/>
  <c r="W255" i="1"/>
  <c r="W250" i="1" s="1"/>
  <c r="X255" i="1"/>
  <c r="X250" i="1" s="1"/>
  <c r="Y255" i="1"/>
  <c r="Y250" i="1" s="1"/>
  <c r="E259" i="1"/>
  <c r="F259" i="1"/>
  <c r="G259" i="1"/>
  <c r="H259" i="1"/>
  <c r="I259" i="1"/>
  <c r="J259" i="1"/>
  <c r="K259" i="1"/>
  <c r="L259" i="1"/>
  <c r="M259" i="1"/>
  <c r="N259" i="1"/>
  <c r="O259" i="1"/>
  <c r="P259" i="1"/>
  <c r="Q259" i="1"/>
  <c r="R259" i="1"/>
  <c r="S259" i="1"/>
  <c r="T259" i="1"/>
  <c r="U259" i="1"/>
  <c r="V259" i="1"/>
  <c r="W259" i="1"/>
  <c r="X259" i="1"/>
  <c r="Y259" i="1"/>
  <c r="W215" i="1" l="1"/>
  <c r="AJ191" i="1"/>
  <c r="AJ190" i="1"/>
  <c r="AJ194" i="1"/>
  <c r="AJ193" i="1"/>
  <c r="AJ188" i="1"/>
  <c r="AJ189" i="1"/>
  <c r="AJ166" i="1"/>
  <c r="AJ167" i="1"/>
  <c r="AJ122" i="1"/>
  <c r="AJ123" i="1"/>
  <c r="AJ117" i="1"/>
  <c r="AJ118" i="1"/>
  <c r="AJ119" i="1"/>
  <c r="AJ120" i="1"/>
  <c r="AJ121" i="1"/>
  <c r="AJ116" i="1" l="1"/>
  <c r="E266" i="1"/>
  <c r="F266" i="1"/>
  <c r="G266" i="1"/>
  <c r="H266" i="1"/>
  <c r="I266" i="1"/>
  <c r="J266" i="1"/>
  <c r="K266" i="1"/>
  <c r="L266" i="1"/>
  <c r="M266" i="1"/>
  <c r="N266" i="1"/>
  <c r="O266" i="1"/>
  <c r="P266" i="1"/>
  <c r="Q266" i="1"/>
  <c r="R266" i="1"/>
  <c r="S266" i="1"/>
  <c r="T266" i="1"/>
  <c r="U266" i="1"/>
  <c r="V266" i="1"/>
  <c r="W266" i="1"/>
  <c r="X266" i="1"/>
  <c r="Y266" i="1"/>
  <c r="Z266" i="1"/>
  <c r="D259" i="1"/>
  <c r="AK332" i="1" l="1"/>
  <c r="M304" i="1"/>
  <c r="AK302" i="1" s="1"/>
  <c r="AL292" i="1" s="1"/>
  <c r="AJ313" i="1" l="1"/>
  <c r="AJ295" i="1"/>
  <c r="AJ304" i="1"/>
  <c r="AK172" i="1" l="1"/>
  <c r="AM217" i="1" l="1"/>
  <c r="AK208" i="1"/>
  <c r="AK204" i="1"/>
  <c r="AK254" i="1"/>
  <c r="AK253" i="1"/>
  <c r="AJ251" i="1" l="1"/>
  <c r="AJ252" i="1"/>
  <c r="AJ256" i="1"/>
  <c r="AJ257" i="1"/>
  <c r="AJ258" i="1"/>
  <c r="AJ260" i="1"/>
  <c r="AJ253" i="1"/>
  <c r="AJ254" i="1"/>
  <c r="AJ259" i="1" l="1"/>
  <c r="AK259" i="1"/>
  <c r="E247" i="1" l="1"/>
  <c r="F247" i="1"/>
  <c r="G247" i="1"/>
  <c r="H247" i="1"/>
  <c r="I247" i="1"/>
  <c r="J247" i="1"/>
  <c r="K247" i="1"/>
  <c r="L247" i="1"/>
  <c r="M247" i="1"/>
  <c r="N247" i="1"/>
  <c r="O247" i="1"/>
  <c r="P247" i="1"/>
  <c r="Q247" i="1"/>
  <c r="R247" i="1"/>
  <c r="S247" i="1"/>
  <c r="T247" i="1"/>
  <c r="U247" i="1"/>
  <c r="V247" i="1"/>
  <c r="W247" i="1"/>
  <c r="X247" i="1"/>
  <c r="Y247" i="1"/>
  <c r="D235" i="1"/>
  <c r="AJ225" i="1"/>
  <c r="AJ226" i="1"/>
  <c r="AJ227" i="1"/>
  <c r="AJ228" i="1"/>
  <c r="AJ229" i="1"/>
  <c r="AK283" i="1" l="1"/>
  <c r="AK276" i="1"/>
  <c r="AK193" i="1"/>
  <c r="AK191" i="1"/>
  <c r="AK190" i="1"/>
  <c r="AM186" i="1" l="1"/>
  <c r="AM185" i="1"/>
  <c r="AK151" i="1"/>
  <c r="AK170" i="1"/>
  <c r="AK168" i="1"/>
  <c r="AK166" i="1"/>
  <c r="AM151" i="1" l="1"/>
  <c r="AN150" i="1" s="1"/>
  <c r="AK162" i="1"/>
  <c r="AL176" i="1" s="1"/>
  <c r="AK160" i="1"/>
  <c r="AK72" i="1"/>
  <c r="AK87" i="1"/>
  <c r="AK51" i="1"/>
  <c r="AK45" i="1"/>
  <c r="AK39" i="1"/>
  <c r="AK33" i="1"/>
  <c r="AK27" i="1"/>
  <c r="AK13" i="1"/>
  <c r="AK8" i="1"/>
  <c r="D266" i="1" l="1"/>
  <c r="AJ264" i="1"/>
  <c r="D255" i="1"/>
  <c r="AK260" i="1" s="1"/>
  <c r="AJ265" i="1"/>
  <c r="D224" i="1"/>
  <c r="AK265" i="1" l="1"/>
  <c r="AK185" i="1"/>
  <c r="AK224" i="1"/>
  <c r="AK231" i="1"/>
  <c r="D250" i="1"/>
  <c r="AK261" i="1" s="1"/>
  <c r="AJ255" i="1"/>
  <c r="AJ266" i="1"/>
  <c r="AK266" i="1" l="1"/>
  <c r="AJ250" i="1"/>
  <c r="AK250" i="1"/>
  <c r="AM250" i="1"/>
  <c r="AN253" i="1" s="1"/>
  <c r="AJ208" i="1"/>
  <c r="AJ210" i="1"/>
  <c r="AJ217" i="1"/>
  <c r="AJ218" i="1"/>
  <c r="F219" i="1"/>
  <c r="G219" i="1"/>
  <c r="H219" i="1"/>
  <c r="I219" i="1"/>
  <c r="J219" i="1"/>
  <c r="K219" i="1"/>
  <c r="L219" i="1"/>
  <c r="M219" i="1"/>
  <c r="N219" i="1"/>
  <c r="O219" i="1"/>
  <c r="P219" i="1"/>
  <c r="Q219" i="1"/>
  <c r="R219" i="1"/>
  <c r="S219" i="1"/>
  <c r="T219" i="1"/>
  <c r="U219" i="1"/>
  <c r="V219" i="1"/>
  <c r="W219" i="1"/>
  <c r="X219" i="1"/>
  <c r="Y219" i="1"/>
  <c r="F215" i="1"/>
  <c r="G215" i="1"/>
  <c r="H215" i="1"/>
  <c r="I215" i="1"/>
  <c r="J215" i="1"/>
  <c r="K215" i="1"/>
  <c r="L215" i="1"/>
  <c r="M215" i="1"/>
  <c r="N215" i="1"/>
  <c r="O215" i="1"/>
  <c r="P215" i="1"/>
  <c r="Q215" i="1"/>
  <c r="R215" i="1"/>
  <c r="S215" i="1"/>
  <c r="T215" i="1"/>
  <c r="U215" i="1"/>
  <c r="V215" i="1"/>
  <c r="X215" i="1"/>
  <c r="Y215" i="1"/>
  <c r="AK209" i="1"/>
  <c r="AM207" i="1"/>
  <c r="AJ205" i="1"/>
  <c r="AJ204" i="1"/>
  <c r="AJ173" i="1"/>
  <c r="AJ176" i="1"/>
  <c r="AJ162" i="1"/>
  <c r="AJ163" i="1"/>
  <c r="AJ164" i="1"/>
  <c r="AJ165" i="1"/>
  <c r="AJ168" i="1"/>
  <c r="AJ169" i="1"/>
  <c r="AJ170" i="1"/>
  <c r="AJ171" i="1"/>
  <c r="AJ172" i="1"/>
  <c r="AJ160" i="1"/>
  <c r="AN204" i="1" l="1"/>
  <c r="AK219" i="1"/>
  <c r="AL204" i="1" s="1"/>
  <c r="AJ207" i="1"/>
  <c r="AJ219" i="1"/>
  <c r="AJ215" i="1"/>
  <c r="Y187" i="1"/>
  <c r="W187" i="1"/>
  <c r="U187" i="1"/>
  <c r="S187" i="1"/>
  <c r="Q187" i="1"/>
  <c r="O187" i="1"/>
  <c r="M187" i="1"/>
  <c r="K187" i="1"/>
  <c r="AJ187" i="1" l="1"/>
  <c r="Y159" i="1"/>
  <c r="W159" i="1"/>
  <c r="U159" i="1"/>
  <c r="S159" i="1"/>
  <c r="Q159" i="1"/>
  <c r="O159" i="1"/>
  <c r="M159" i="1"/>
  <c r="K159" i="1"/>
  <c r="Y158" i="1"/>
  <c r="W158" i="1"/>
  <c r="U158" i="1"/>
  <c r="S158" i="1"/>
  <c r="Q158" i="1"/>
  <c r="O158" i="1"/>
  <c r="M158" i="1"/>
  <c r="K158" i="1"/>
  <c r="AJ158" i="1" l="1"/>
  <c r="AJ159" i="1"/>
  <c r="AJ230" i="1" l="1"/>
  <c r="AK66" i="1" s="1"/>
  <c r="AJ236" i="1"/>
  <c r="AJ237" i="1"/>
  <c r="AJ238" i="1"/>
  <c r="AJ239" i="1"/>
  <c r="AJ240" i="1"/>
  <c r="AJ241" i="1"/>
  <c r="AJ242" i="1"/>
  <c r="AJ243" i="1"/>
  <c r="AJ244" i="1"/>
  <c r="AJ245" i="1"/>
  <c r="AJ246" i="1"/>
  <c r="D247" i="1"/>
  <c r="AK235" i="1" s="1"/>
  <c r="AJ247" i="1" l="1"/>
  <c r="AJ235" i="1"/>
  <c r="AK252" i="1" l="1"/>
  <c r="AL253" i="1" s="1"/>
  <c r="AK248" i="1"/>
  <c r="AN107" i="1"/>
  <c r="AN292" i="1"/>
  <c r="AM28" i="1"/>
  <c r="AJ224" i="1"/>
  <c r="AJ186" i="1"/>
  <c r="AJ192" i="1"/>
  <c r="AM192" i="1" s="1"/>
  <c r="AJ197" i="1"/>
  <c r="AJ199" i="1"/>
  <c r="AK199" i="1" s="1"/>
  <c r="AJ200" i="1"/>
  <c r="AJ185" i="1"/>
  <c r="AJ151" i="1"/>
  <c r="AJ152" i="1"/>
  <c r="AJ153" i="1"/>
  <c r="AK155" i="1" s="1"/>
  <c r="AJ161" i="1"/>
  <c r="AJ150" i="1"/>
  <c r="AJ329" i="1"/>
  <c r="AJ328" i="1"/>
  <c r="AK327" i="1" s="1"/>
  <c r="AJ333" i="1"/>
  <c r="AJ334" i="1"/>
  <c r="AJ336" i="1"/>
  <c r="AJ331" i="1"/>
  <c r="AJ332" i="1"/>
  <c r="AJ293" i="1"/>
  <c r="AJ294" i="1"/>
  <c r="AJ297" i="1"/>
  <c r="AJ298" i="1"/>
  <c r="AJ299" i="1"/>
  <c r="AJ301" i="1"/>
  <c r="AJ302" i="1"/>
  <c r="AJ303" i="1"/>
  <c r="AJ306" i="1"/>
  <c r="AJ307" i="1"/>
  <c r="AJ308" i="1"/>
  <c r="AJ310" i="1"/>
  <c r="AJ311" i="1"/>
  <c r="AJ312" i="1"/>
  <c r="AJ315" i="1"/>
  <c r="AJ316" i="1"/>
  <c r="AJ317" i="1"/>
  <c r="AJ292" i="1"/>
  <c r="AJ108" i="1"/>
  <c r="AJ109" i="1"/>
  <c r="AJ110" i="1"/>
  <c r="AJ107" i="1"/>
  <c r="AJ134" i="1"/>
  <c r="AJ135" i="1"/>
  <c r="AJ283" i="1"/>
  <c r="AJ287" i="1"/>
  <c r="AJ288" i="1"/>
  <c r="AK288" i="1" s="1"/>
  <c r="AJ282" i="1"/>
  <c r="AJ72" i="1"/>
  <c r="AJ73" i="1"/>
  <c r="AJ8" i="1"/>
  <c r="AK10" i="1"/>
  <c r="AJ284" i="1" l="1"/>
  <c r="AL274" i="1"/>
  <c r="AL271" i="1"/>
  <c r="AM230" i="1"/>
  <c r="AN224" i="1" s="1"/>
  <c r="AL281" i="1"/>
  <c r="AL280" i="1"/>
  <c r="AL282" i="1"/>
  <c r="AM94" i="1"/>
  <c r="AM93" i="1"/>
  <c r="AK336" i="1"/>
  <c r="AK21" i="1"/>
  <c r="AL8" i="1" s="1"/>
  <c r="AK333" i="1"/>
  <c r="AK186" i="1"/>
  <c r="AM199" i="1"/>
  <c r="AM178" i="1"/>
  <c r="AN176" i="1" s="1"/>
  <c r="AK150" i="1"/>
  <c r="AK134" i="1"/>
  <c r="AM21" i="1"/>
  <c r="AK230" i="1"/>
  <c r="AL224" i="1" s="1"/>
  <c r="AM72" i="1"/>
  <c r="AM51" i="1"/>
  <c r="AM39" i="1"/>
  <c r="AM87" i="1"/>
  <c r="AM33" i="1"/>
  <c r="AK164" i="1"/>
  <c r="AK152" i="1"/>
  <c r="AM27" i="1"/>
  <c r="AM13" i="1"/>
  <c r="AM45" i="1"/>
  <c r="AM200" i="1"/>
  <c r="AK192" i="1"/>
  <c r="AN185" i="1" l="1"/>
  <c r="AN8" i="1"/>
  <c r="A363" i="1" s="1"/>
  <c r="AL150" i="1"/>
  <c r="AL185" i="1"/>
  <c r="AL323" i="1"/>
  <c r="A341" i="1" l="1"/>
  <c r="M341" i="1" s="1"/>
  <c r="B2" i="1" l="1"/>
</calcChain>
</file>

<file path=xl/sharedStrings.xml><?xml version="1.0" encoding="utf-8"?>
<sst xmlns="http://schemas.openxmlformats.org/spreadsheetml/2006/main" count="3178" uniqueCount="976">
  <si>
    <t>&lt; 1</t>
  </si>
  <si>
    <t>1-4</t>
  </si>
  <si>
    <t>5-9</t>
  </si>
  <si>
    <t>10-14</t>
  </si>
  <si>
    <t>15-19</t>
  </si>
  <si>
    <t>20-24</t>
  </si>
  <si>
    <t>25-29</t>
  </si>
  <si>
    <t>30-34</t>
  </si>
  <si>
    <t>35-39</t>
  </si>
  <si>
    <t>50+</t>
  </si>
  <si>
    <t>M</t>
  </si>
  <si>
    <t>F</t>
  </si>
  <si>
    <t>1.1 HIV Testing</t>
  </si>
  <si>
    <t>Sub Total</t>
  </si>
  <si>
    <t>Other</t>
  </si>
  <si>
    <t>40-44</t>
  </si>
  <si>
    <t>45-49</t>
  </si>
  <si>
    <t>Data Element Description</t>
  </si>
  <si>
    <t>Indicator</t>
  </si>
  <si>
    <t>Known positive status refers to all those clients, who have documented evidence of their positive HIV status</t>
  </si>
  <si>
    <t>Directly assisted HIVST refers to trained providers or peers giving individuals an in-person demonstration before or during HIVST of how to perform the test and interpret the test result (WHO, 2016).</t>
  </si>
  <si>
    <t>Individual that HIV self-test kit was distributed to intends to use the test kit on him- or herself.</t>
  </si>
  <si>
    <t>Individual that HIV self-test kit was distributed to plans to further distribute the self-test kit for use on his or her sexual partner(s).</t>
  </si>
  <si>
    <t>Individual that HIV self-test kit was distributed to plans to further distribute the test kit to an individual that is not themselves or one of their sex partners (e.g., relative, friend)</t>
  </si>
  <si>
    <t>This is a count of rape survivors that tested positive for STI and were treated</t>
  </si>
  <si>
    <t>“Known positive status” refers to all those women, who at the time of making the first visit to the ANC have documented evidence of their positive status.</t>
  </si>
  <si>
    <t>This is a count of all women who made their first ANC visit during the reporting month regardless of HIV status</t>
  </si>
  <si>
    <t>This refers to women on therapy because they needed HAART for their own health before the current pregnancy. This includes those started on HAART in the CCC setting or those started on HAART during the previous pregnancy.</t>
  </si>
  <si>
    <t>This is a count of women who had not been on HAART before but were commenced on HAART at ANC during this pregnancy.</t>
  </si>
  <si>
    <t>This is a count of women newly started ART for treatment and were breastfeeding at initiation of ART</t>
  </si>
  <si>
    <t>This is a count of PITC testing occurring among those patients admitted in the inpatient and surgery wards</t>
  </si>
  <si>
    <t>This is a count of children tested for HIV in clinics and inpatient wards predominately dedicated to the treatment of malnourished children.</t>
  </si>
  <si>
    <t>This is a count of children testd through PITC in the pediatric &lt;5 clinic only</t>
  </si>
  <si>
    <t>This is a count of persons tested in a designated STI clinic as well as patients seen in the OPD for STI symptoms.</t>
  </si>
  <si>
    <t>This is a count of HIV testing that includes any other provider-initiated testing and counseling that is not captured in one of the other testing modalities listed above (i.e., eye, dental, dermatology, diabetes, etc.).</t>
  </si>
  <si>
    <t>This is a count of HIV testing in a clinic specifically intended for HIV testing services that is co-located within a broader health care facility</t>
  </si>
  <si>
    <t>This is a count of persons tested HIV positive in a designated emergency department or ward for the immediate care and treatment of an unforeseen illness or injury.</t>
  </si>
  <si>
    <t>This is a count of PITC tested HIV posiitve among those patients tested for HIV while admitted in the inpatient and surgery wards</t>
  </si>
  <si>
    <t>This is a count of children tested HIV positive in clinics and inpatient wards predominately dedicated to the treatment of malnourished children.</t>
  </si>
  <si>
    <t>This is a count of children testd HIV positive through PITC in the pediatric &lt;5 clinic only</t>
  </si>
  <si>
    <t>This is a count of persons tested HIV positive in a designated STI clinic as well as patients seen in the OPD for STI symptoms.</t>
  </si>
  <si>
    <t>This is a count of HIV positive clients after testing in any other provider-initiated testing and counseling that is not captured in one of the other testing modalities listed above (i.e., eye, dental, dermatology, diabetes, etc.).</t>
  </si>
  <si>
    <t>This is a count of HIV positive clients in a clinic specifically intended for voluntary HIV testing services that is co-located within a broader health care facility</t>
  </si>
  <si>
    <t>1.2 HTS_SELF</t>
  </si>
  <si>
    <t>Counts all women who first knew their HIV positive status at any time during the pregnancy. This is a subset of initial test at ANC1</t>
  </si>
  <si>
    <t>This is a count of all pregnant women who take a first HIV test during 1st ANC visit  It excludes repeat test during pregnancy for those women who could have tested negative earlier in the pregnancy.</t>
  </si>
  <si>
    <t>This counts all women, who were not tested during pregnancy but undertake a test as result being pregnant, whilst in labour and delivery. It excludes all those who took a test earlier in the pregnancy, and for some reason, a repeat test is done in L&amp;D.</t>
  </si>
  <si>
    <t>This is a count of all women who were not test during ANC or at labour and delivery but take first HIV test for the  pregnancy  at  post natal clinic within 6 weeks post natal</t>
  </si>
  <si>
    <t>This is the count  by age and sex for who have been inititaed on pre-exposure prophylaxis during the reporting period after meeting eligibility criteria for PrEP</t>
  </si>
  <si>
    <t>Unassisted HIVST refers to when individuals self-test for HIV and only use an HIVST kit with manufacturer provided instructions for use.</t>
  </si>
  <si>
    <t>Data source</t>
  </si>
  <si>
    <t>This is a count of women who had not been on HAART before but were commenced on HAART at  L&amp;D during this pregnancy.</t>
  </si>
  <si>
    <t>This data element is a count of infants issued with ARV prophylaxis during labour and delivery in a health facility. Note: If the mother was pre-issued with ARVs during ANC, her infant should not be counted, unless it is a multiple birth, in which case only the additional output of pregnancy should be counted, that is an additional infant if this a twin birth.</t>
  </si>
  <si>
    <t>MFL Code</t>
  </si>
  <si>
    <t>F01-01</t>
  </si>
  <si>
    <t>F01-02</t>
  </si>
  <si>
    <t>Contacts elicited</t>
  </si>
  <si>
    <t>Known Positive</t>
  </si>
  <si>
    <t>F01-04</t>
  </si>
  <si>
    <t>F01-05</t>
  </si>
  <si>
    <t>F01-06</t>
  </si>
  <si>
    <t>Positive</t>
  </si>
  <si>
    <t>F01-10</t>
  </si>
  <si>
    <t>Tested</t>
  </si>
  <si>
    <t>F01-11</t>
  </si>
  <si>
    <t>F01-12</t>
  </si>
  <si>
    <t>F01-13</t>
  </si>
  <si>
    <t>F01-14</t>
  </si>
  <si>
    <t>F01-15</t>
  </si>
  <si>
    <t>F01-16</t>
  </si>
  <si>
    <t>F01-17</t>
  </si>
  <si>
    <t>F01-18</t>
  </si>
  <si>
    <t>F01-19</t>
  </si>
  <si>
    <t>F01-21</t>
  </si>
  <si>
    <t>F01-22</t>
  </si>
  <si>
    <t>F01-23</t>
  </si>
  <si>
    <t>F01-24</t>
  </si>
  <si>
    <t>F01-25</t>
  </si>
  <si>
    <t>F01-30</t>
  </si>
  <si>
    <t>F01-31</t>
  </si>
  <si>
    <t>F01-32</t>
  </si>
  <si>
    <t>F01-33</t>
  </si>
  <si>
    <t>F01-34</t>
  </si>
  <si>
    <t>F05-02</t>
  </si>
  <si>
    <t>F05-01</t>
  </si>
  <si>
    <t>F02-03</t>
  </si>
  <si>
    <t>F02-06</t>
  </si>
  <si>
    <t>F02-07</t>
  </si>
  <si>
    <t>F03-01</t>
  </si>
  <si>
    <t>F03-02</t>
  </si>
  <si>
    <t>F03-03</t>
  </si>
  <si>
    <t>F03-04</t>
  </si>
  <si>
    <t>F04-02</t>
  </si>
  <si>
    <t>F04-04</t>
  </si>
  <si>
    <t>F04-05</t>
  </si>
  <si>
    <t>F04-06</t>
  </si>
  <si>
    <t>F04-09</t>
  </si>
  <si>
    <t>F04-10</t>
  </si>
  <si>
    <t>F04-12</t>
  </si>
  <si>
    <t>F04-16</t>
  </si>
  <si>
    <t>F05-03</t>
  </si>
  <si>
    <t>F05-05</t>
  </si>
  <si>
    <t>F05-06</t>
  </si>
  <si>
    <t>F05-07</t>
  </si>
  <si>
    <t>F05-08</t>
  </si>
  <si>
    <t>F05-09</t>
  </si>
  <si>
    <t>F05-10</t>
  </si>
  <si>
    <t>F05-11</t>
  </si>
  <si>
    <t>SGBV register colm "AG"</t>
  </si>
  <si>
    <t>F06-02</t>
  </si>
  <si>
    <t>F06-03</t>
  </si>
  <si>
    <t>F06-05</t>
  </si>
  <si>
    <t>F06-06</t>
  </si>
  <si>
    <t>F06-09</t>
  </si>
  <si>
    <t>F06-10</t>
  </si>
  <si>
    <t>This is a count of pregnant women and breast feeding mothers who are active on ART at the reporting period</t>
  </si>
  <si>
    <t>F07-01</t>
  </si>
  <si>
    <t>F07-02</t>
  </si>
  <si>
    <t>This is a count of  all PLHIV who are active on ART at the reporting period</t>
  </si>
  <si>
    <t>F07-03</t>
  </si>
  <si>
    <t>DAR MOH 366/EMR</t>
  </si>
  <si>
    <t>F07-04</t>
  </si>
  <si>
    <t>Code</t>
  </si>
  <si>
    <t>Sub-Indicator</t>
  </si>
  <si>
    <t>F01-03</t>
  </si>
  <si>
    <t>F01-20</t>
  </si>
  <si>
    <t>F04-01</t>
  </si>
  <si>
    <t>F04-03</t>
  </si>
  <si>
    <t>F04-07</t>
  </si>
  <si>
    <t>F04-08</t>
  </si>
  <si>
    <t>F04-11</t>
  </si>
  <si>
    <t>F04-13</t>
  </si>
  <si>
    <t>F04-14</t>
  </si>
  <si>
    <t>F04-15</t>
  </si>
  <si>
    <t>F04-17</t>
  </si>
  <si>
    <t>F04-18</t>
  </si>
  <si>
    <t>F06-01</t>
  </si>
  <si>
    <t>F06-04</t>
  </si>
  <si>
    <t>F06-07</t>
  </si>
  <si>
    <t>F06-08</t>
  </si>
  <si>
    <t>F06-13</t>
  </si>
  <si>
    <t>F06-14</t>
  </si>
  <si>
    <t>F06-15</t>
  </si>
  <si>
    <t>F06-16</t>
  </si>
  <si>
    <t>F06-17</t>
  </si>
  <si>
    <t>F06-18</t>
  </si>
  <si>
    <t>F06-19</t>
  </si>
  <si>
    <t>F06-20</t>
  </si>
  <si>
    <t>Errors</t>
  </si>
  <si>
    <t>Sub County</t>
  </si>
  <si>
    <t>Health Facility</t>
  </si>
  <si>
    <t>Month</t>
  </si>
  <si>
    <t>Year</t>
  </si>
  <si>
    <t>WARNINGS &amp; ERRORS</t>
  </si>
  <si>
    <t>Errors per Section</t>
  </si>
  <si>
    <t>Early Warning Service Quality</t>
  </si>
  <si>
    <t>County</t>
  </si>
  <si>
    <t>People who inject drugs (PWID)</t>
  </si>
  <si>
    <t>Men who have sex with men (MSM)</t>
  </si>
  <si>
    <t>Female sex workers (FSW)</t>
  </si>
  <si>
    <t>People in prison and other closed settings</t>
  </si>
  <si>
    <t>General Population</t>
  </si>
  <si>
    <t>F07-05</t>
  </si>
  <si>
    <t>F07-06</t>
  </si>
  <si>
    <t>F07-07</t>
  </si>
  <si>
    <t>F07-09</t>
  </si>
  <si>
    <t>F07-10</t>
  </si>
  <si>
    <t>2 months of ARVs dispensed to patient</t>
  </si>
  <si>
    <t>3 months of ARVs dispensed to patient</t>
  </si>
  <si>
    <t>4 months of ARVs dispensed to patient</t>
  </si>
  <si>
    <t>5 months of ARVs dispensed to patient</t>
  </si>
  <si>
    <t>6 months of ARVs dispensed to patient</t>
  </si>
  <si>
    <t>F07-11</t>
  </si>
  <si>
    <t>F07-12</t>
  </si>
  <si>
    <t>F07-13</t>
  </si>
  <si>
    <t>F07-14</t>
  </si>
  <si>
    <t>F07-15</t>
  </si>
  <si>
    <t>F07-16</t>
  </si>
  <si>
    <t>This is a count of  all PLHIV from the general population who are active on ART at the reporting period</t>
  </si>
  <si>
    <t>This is a count of  all PLHIV who inject drugs who are active on ART at the reporting period</t>
  </si>
  <si>
    <t>This is a count of  all PLHIV from Men who have sex with Men who are active on ART at the reporting period</t>
  </si>
  <si>
    <t>This is a count of  all PLHIV Female Sex Workers (FSW) who are active on ART at the reporting period</t>
  </si>
  <si>
    <t>This is a count of  all PLHIV from People in prison and other closed settings who are active on ART at the reporting period</t>
  </si>
  <si>
    <t>This is a count of all active clients dispensed for drugs for 1 month</t>
  </si>
  <si>
    <t>This is a count of all active clients dispensed for drugs for 2 month</t>
  </si>
  <si>
    <t>This is a count of all active clients dispensed for drugs for 3 month</t>
  </si>
  <si>
    <t>This is a count of all active clients dispensed for drugs for 4 month</t>
  </si>
  <si>
    <t>This is a count of all active clients dispensed for drugs for 5 month</t>
  </si>
  <si>
    <t>This is a count of all active clients dispensed for drugs for 6 month</t>
  </si>
  <si>
    <t>DAR Pharmacy/ADT</t>
  </si>
  <si>
    <t>Total ARVs dispensed</t>
  </si>
  <si>
    <t>F07-17</t>
  </si>
  <si>
    <t>1 month of ARVs dispensed to patient</t>
  </si>
  <si>
    <t>Likii Dispensary</t>
  </si>
  <si>
    <t>15035</t>
  </si>
  <si>
    <t>Laikipia East</t>
  </si>
  <si>
    <t>Laikipia</t>
  </si>
  <si>
    <t>02</t>
  </si>
  <si>
    <t>Prepared By:</t>
  </si>
  <si>
    <t>ANC1 clients with known HIV status (PMTCT_STAT_Num)</t>
  </si>
  <si>
    <t>Initial positive results at ANC 2 and above</t>
  </si>
  <si>
    <t>F06-041</t>
  </si>
  <si>
    <t>Total Positives at ANC1 (PMTCT_STAT_Pos)</t>
  </si>
  <si>
    <t>Retesting at ANC 2 and above</t>
  </si>
  <si>
    <t>Retesting positive result at ANC 2 and above</t>
  </si>
  <si>
    <t>F06-061</t>
  </si>
  <si>
    <t>F06-062</t>
  </si>
  <si>
    <t>Retesting at PNC &lt; = 6 weeks</t>
  </si>
  <si>
    <t>Retesting positive result at PNC &lt; = 6 weeks</t>
  </si>
  <si>
    <t>F06-101</t>
  </si>
  <si>
    <t>F06-102</t>
  </si>
  <si>
    <t>F06-103</t>
  </si>
  <si>
    <t>F06-104</t>
  </si>
  <si>
    <t>F06-042</t>
  </si>
  <si>
    <t>On HAART at ANC1 (PMTCT_ART_Already on ART)</t>
  </si>
  <si>
    <t>Start HAART at ANC1 (PMTCT_ART_New on ART)</t>
  </si>
  <si>
    <t>Total on HAART at ANC1 (PMTCT_ART_Num)</t>
  </si>
  <si>
    <t>Retest Start HAART ANC 2 and above</t>
  </si>
  <si>
    <t>Initial Start HAART at PNC &lt; = 6 weeks</t>
  </si>
  <si>
    <t>Retest Start HAART at PNC &lt; = 6 weeks</t>
  </si>
  <si>
    <t>F06-141</t>
  </si>
  <si>
    <t>F06-142</t>
  </si>
  <si>
    <t>F06-143</t>
  </si>
  <si>
    <t>F06-161</t>
  </si>
  <si>
    <t>F06-162</t>
  </si>
  <si>
    <t>F05-001</t>
  </si>
  <si>
    <t>Total TB cases (new and relapsed) reported in the month (TB_STAT_Den)</t>
  </si>
  <si>
    <t>TB cases eligible for HIV testing</t>
  </si>
  <si>
    <t>TB cases with documented HIV status (TB_STAT_Num)</t>
  </si>
  <si>
    <t>F09-01</t>
  </si>
  <si>
    <t>F09-02</t>
  </si>
  <si>
    <t>F09-03</t>
  </si>
  <si>
    <t>F09-04</t>
  </si>
  <si>
    <t>F09-05</t>
  </si>
  <si>
    <t>F09-06</t>
  </si>
  <si>
    <t>Total TB HIV Positives at TB clinic (TB_STAT_Pos)</t>
  </si>
  <si>
    <t>F09-07</t>
  </si>
  <si>
    <t>F09-08</t>
  </si>
  <si>
    <t>F09-09</t>
  </si>
  <si>
    <t>TB cases tested positive newly started on ART (TB_ART_New on ART)</t>
  </si>
  <si>
    <t>No. newly tested for HIV</t>
  </si>
  <si>
    <t>TB Cases Already on ART at entry in TB clinic (TB_ART_Already on ART)</t>
  </si>
  <si>
    <t>No. newly tested for HIV and turned positive (TB_STAT_New Pos)</t>
  </si>
  <si>
    <t>F09-10</t>
  </si>
  <si>
    <t>Total TB HIV coinfected clients started on ART (TB_ART_Num)</t>
  </si>
  <si>
    <t>F07-041</t>
  </si>
  <si>
    <t>F07-042</t>
  </si>
  <si>
    <t>F07-043</t>
  </si>
  <si>
    <t>F07-044</t>
  </si>
  <si>
    <t>F07-011</t>
  </si>
  <si>
    <t>F07-012</t>
  </si>
  <si>
    <t>F07-013</t>
  </si>
  <si>
    <t>F07-015</t>
  </si>
  <si>
    <t>F07-016</t>
  </si>
  <si>
    <t>F07-045</t>
  </si>
  <si>
    <t>F07-046</t>
  </si>
  <si>
    <t>F07-047</t>
  </si>
  <si>
    <t>F07-048</t>
  </si>
  <si>
    <t>Screening negative for TB Newly enrolled on ART</t>
  </si>
  <si>
    <t>Screening negative for TB Previously enrolled on ART</t>
  </si>
  <si>
    <t>No. of ART patients who had a positive result returned for bacteriologic diagnosis of active TB disease</t>
  </si>
  <si>
    <t>F07-049</t>
  </si>
  <si>
    <t>F07-050</t>
  </si>
  <si>
    <t>F07-051</t>
  </si>
  <si>
    <t>F07-052</t>
  </si>
  <si>
    <t>F07-053</t>
  </si>
  <si>
    <t>This is a count of pregnant women who take first HIV test in the pregnancy either during 2nd, 3rd , 4th visit etc. It excludes repeat test during pregnancy for those women who could have tested negative earlier in the pregnancy.</t>
  </si>
  <si>
    <t>Counts all women who first knew their HIV positive status at any time during the pregnancy post 1st ANC visit, e.g during 2nd, 3rd visit etc.  This is a subset of initial test at ANC2. However, the count includes women who could have taken the test during an earlier antenatal care visit (and results were negative) but tested HIV positive following a re-test in ANC during the reporting month.</t>
  </si>
  <si>
    <t>Index testing register, colm "d"</t>
  </si>
  <si>
    <t>Initiated (new) on PrEP</t>
  </si>
  <si>
    <t>Retest Start HAART at L&amp;D</t>
  </si>
  <si>
    <t>F06-151</t>
  </si>
  <si>
    <t>F06-081</t>
  </si>
  <si>
    <t>F06-082</t>
  </si>
  <si>
    <t>Unassisted: Self</t>
  </si>
  <si>
    <t>Unassisted : Sex partner</t>
  </si>
  <si>
    <t>Unassisted : Other</t>
  </si>
  <si>
    <t>New on ART</t>
  </si>
  <si>
    <t>Negative</t>
  </si>
  <si>
    <t>Suspected cancer</t>
  </si>
  <si>
    <t>Cryotherapy</t>
  </si>
  <si>
    <t>LEEP</t>
  </si>
  <si>
    <t>Thermocoagulation</t>
  </si>
  <si>
    <t>New (1st) ANC clients (PMTCT_STAT_Den)</t>
  </si>
  <si>
    <t>Known Positive at ANC1 (PMTCT_STAT_KP)</t>
  </si>
  <si>
    <t>Initial test at ANC 1</t>
  </si>
  <si>
    <t>Initial test at ANC 2 and above</t>
  </si>
  <si>
    <t>Initial test at  L&amp;D</t>
  </si>
  <si>
    <t>Positive result at L&amp;D</t>
  </si>
  <si>
    <t>Retesting at L&amp;D</t>
  </si>
  <si>
    <t>Retesting Positive result at L&amp;D</t>
  </si>
  <si>
    <t>Initial test at PNC &lt;= 6wks</t>
  </si>
  <si>
    <t>Positive at PNC &lt;=6wks</t>
  </si>
  <si>
    <t>Initial Start HAART at ANC 2 and above</t>
  </si>
  <si>
    <t xml:space="preserve">Known Positive status refers to all women who at the time of making this first visit to the ANC had documented evidence of posivive status. As such these women are not required to take a test at ANC, L&amp;D,or PNC </t>
  </si>
  <si>
    <t xml:space="preserve">Counts all women who first learnt their HIV status at 1st visit during pregnancy. Note: it does not matter at what stage in pregnancy.  What matters is that the woman learnt of her HIV positive status during their first antenatal visit period. </t>
  </si>
  <si>
    <t>This is a count of all women who had a second and above HIV retest done during ANC visit after ANC 1</t>
  </si>
  <si>
    <t xml:space="preserve">This is a count of women who could have taken the test during an earlier antenatal care visit (and results were negative) but testing HIV positive following a retest in ANC during the reporting month. </t>
  </si>
  <si>
    <t>This counts all women, who took a retest at labour and delivery</t>
  </si>
  <si>
    <t>This counts all women, who were retested at labour and delivery and result turned positive.</t>
  </si>
  <si>
    <t>This is a count of all women who had tested HIV negative at any time during ANC and or labour &amp; delivery who undergo another HIV test within 6 weeks postnatal</t>
  </si>
  <si>
    <t xml:space="preserve">This is a count of all women who had tested HIV negative as any time during ANC and or labour &amp; delivery who undergo another HIV test within 6 weeks at postnatal and resut turn out to be positive. </t>
  </si>
  <si>
    <t xml:space="preserve">Counts all women who first knew their HIV positive status at any time during the pregnancy post ANC 1 visit, e.g during 2nd, 3rd visit etc and started on ART.  </t>
  </si>
  <si>
    <t>This is a count of pregnant women started ART after retesting positive during 2nd ANC visit and above</t>
  </si>
  <si>
    <t>This is a count of women who were started on HAART at L&amp;D after a positive HIV retest</t>
  </si>
  <si>
    <t xml:space="preserve">This is a count of women who had an initial test within 6 weeks postnatal, turned HIV positive and were started on HAART </t>
  </si>
  <si>
    <t>This is a count of women who had a HIV retest within 6 weeks postnatal turned positive, and were started on HAART</t>
  </si>
  <si>
    <t>This is a count of women who had a HIV test between 6 week to 6 months postnatal, turned HIV positive and were started on HAART</t>
  </si>
  <si>
    <t xml:space="preserve">This is a count of individuals starting HAART treatment disaggregated by the age and sex within the reporting month. </t>
  </si>
  <si>
    <t xml:space="preserve">This is a count of individuals caterogized as general population starting HAART treatment disaggregated by the age and sex within the reporting month. </t>
  </si>
  <si>
    <t xml:space="preserve">This is a count of individuals caterogized as PWIDs starting HAART treatment disaggregated by the age and sex within the reporting month. </t>
  </si>
  <si>
    <t xml:space="preserve">This is a count of individuals caterogized as MSM starting HAART treatment disaggregated by the age and sex within the reporting month. </t>
  </si>
  <si>
    <t xml:space="preserve">This is a count of individuals caterogized as FSW starting HAART treatment disaggregated by the age and sex within the reporting month. </t>
  </si>
  <si>
    <t xml:space="preserve">This is a count of individuals in prison and other closed settings starting HAART treatment disaggregated by the age and sex within the reporting month. </t>
  </si>
  <si>
    <t>This is a count of all HIV infected persons currently on Treatment preparation or on ART who were screened for TB the last time they were seen at the clinic during a scheduled visit within the reporting period.</t>
  </si>
  <si>
    <t>This is a count of all HIV infected persons newly enrolled on ART who screened TB postive the last time they were seen at the clinic during a scheduled visit within the reporting period.</t>
  </si>
  <si>
    <t>This is a count of all HIV infected persons who have been on treatment follow-up who screened TB postive the last time they were seen at the clinic during a scheduled visit within the reporting period.</t>
  </si>
  <si>
    <t>This is a count of all HIV infected persons newly enrolled on ART who screened TB negative the last time they were seen at the clinic during a scheduled visit within the reporting period.</t>
  </si>
  <si>
    <t>This is a count of all HIV infected persons who have been on treatment follow-up who screened TB negative the last time they were seen at the clinic during a scheduled visit within the reporting period.</t>
  </si>
  <si>
    <t>This is a count of PLHIV who screened TB postive whose specimes were sent for Smear test</t>
  </si>
  <si>
    <t>Presumptive DRTB register Column "M"</t>
  </si>
  <si>
    <t>Presumptive DRTB register Column "L"</t>
  </si>
  <si>
    <t xml:space="preserve">Presumptive DRTB register Column "N and O" </t>
  </si>
  <si>
    <t>This is a count of PLHIV who had a positive result returned for bacteriologic diagnosis of active TB disease</t>
  </si>
  <si>
    <t xml:space="preserve">Presumptive DRTB register Column "P" </t>
  </si>
  <si>
    <t>This a count of  Confirmed TB positive started on TB treatment (TX_TB_Num)</t>
  </si>
  <si>
    <t xml:space="preserve">Presumptive DRTB register Column "Q" </t>
  </si>
  <si>
    <t>This is a count of confirmed TB positive newly started on ART who startedTB treatment</t>
  </si>
  <si>
    <t>Presumptive DRTB register Column "Q" CCC DAR Column "AY, Q to Z"/ EMR</t>
  </si>
  <si>
    <t>This is a count of confirmed TB positive already on ART started on TB treatment</t>
  </si>
  <si>
    <t>This is a count of all TB cases (new and relapsed) reported in the month (TB_STAT_Den)</t>
  </si>
  <si>
    <t>This is a count of TB cases with known HIV +ve status (KP) at entry in TB clinic (TB_STAT_KP)</t>
  </si>
  <si>
    <t>This is a count of TB cases eligible for HIV testing</t>
  </si>
  <si>
    <t>This is a count of TB clients newly tested for HIV</t>
  </si>
  <si>
    <t>This is a count of TB cases with documented HIV status (TB_STAT_Num)</t>
  </si>
  <si>
    <t>This is a count of newly tested for HIV and turned positive (TB_STAT_New Pos)</t>
  </si>
  <si>
    <t>This is a count of Total TB HIV Positives at TB clinic (TB_STAT_Pos)</t>
  </si>
  <si>
    <t>This is a count of TB cases tested positive newly started on ART (TB_ART_New on ART)</t>
  </si>
  <si>
    <t>This is a count of TB Cases Already on ART at entry in TB clinic (TB_ART_Already on ART)</t>
  </si>
  <si>
    <t>This is a count of Total TB HIV coinfected clients started on ART (TB_ART_Num)</t>
  </si>
  <si>
    <t>Total Screening positive for TB (presumptive TB clients)</t>
  </si>
  <si>
    <t>Total Screened for TB at last clinic visit (TX_TB_Den)</t>
  </si>
  <si>
    <t>This is a count of PLHIV who screened TB postive whose specimes were sent</t>
  </si>
  <si>
    <t xml:space="preserve">Currently on ART (All)              </t>
  </si>
  <si>
    <t>Total CXCA Screening Positive</t>
  </si>
  <si>
    <t>F04-031</t>
  </si>
  <si>
    <t>F04-091</t>
  </si>
  <si>
    <t>F04-151</t>
  </si>
  <si>
    <t>F05-011</t>
  </si>
  <si>
    <t>Warnings Summaries</t>
  </si>
  <si>
    <t>Errors Justifications</t>
  </si>
  <si>
    <t xml:space="preserve">Type any Justifications on the section below to explain reason for the warnings on the left </t>
  </si>
  <si>
    <t>Errors Summaries</t>
  </si>
  <si>
    <t>Screening positive for TB ( Presumptive TB clients)  Newly enrolled on ART</t>
  </si>
  <si>
    <t xml:space="preserve">Unassisted      </t>
  </si>
  <si>
    <t>F07-021</t>
  </si>
  <si>
    <t>F04-032</t>
  </si>
  <si>
    <t>F04-152</t>
  </si>
  <si>
    <t>F04-092</t>
  </si>
  <si>
    <t>F09-021</t>
  </si>
  <si>
    <t>Note: Please DON'T cut paste any cell, this will interfere with the formulas.</t>
  </si>
  <si>
    <t>Screening positive for TB ( Presumptive TB clients)  Previously enrolled on ART</t>
  </si>
  <si>
    <t>Index clients offered safe index testing services</t>
  </si>
  <si>
    <t>Index accepted safe index testing services</t>
  </si>
  <si>
    <t>F02-058</t>
  </si>
  <si>
    <t>50-54</t>
  </si>
  <si>
    <t>55-59</t>
  </si>
  <si>
    <t>F01-251</t>
  </si>
  <si>
    <t>F01-252</t>
  </si>
  <si>
    <t>F01-045</t>
  </si>
  <si>
    <t>Documented Negative</t>
  </si>
  <si>
    <t>F10-02</t>
  </si>
  <si>
    <t>F10-03</t>
  </si>
  <si>
    <t>Linked in another UTJ Site (inter-facility linkage)</t>
  </si>
  <si>
    <t>F10-04</t>
  </si>
  <si>
    <t>Linked in another non-UTJ Site (inter-facility linkage)</t>
  </si>
  <si>
    <t>F10-05</t>
  </si>
  <si>
    <t>Total Unlinked</t>
  </si>
  <si>
    <t>F10-07</t>
  </si>
  <si>
    <t>F10-09</t>
  </si>
  <si>
    <t>F10-010</t>
  </si>
  <si>
    <t>F10-011</t>
  </si>
  <si>
    <t>F10-013</t>
  </si>
  <si>
    <t>F10-014</t>
  </si>
  <si>
    <t>F10-015</t>
  </si>
  <si>
    <t>F10-016</t>
  </si>
  <si>
    <t>F10-018</t>
  </si>
  <si>
    <t>F10-019</t>
  </si>
  <si>
    <t>F10-020</t>
  </si>
  <si>
    <t>Linked within this site (Intra-facility Linkage)</t>
  </si>
  <si>
    <t>F10-021</t>
  </si>
  <si>
    <t>F10-023</t>
  </si>
  <si>
    <t>F10-024</t>
  </si>
  <si>
    <t>F10-025</t>
  </si>
  <si>
    <t>F10-026</t>
  </si>
  <si>
    <t>F10-028</t>
  </si>
  <si>
    <t>F10-029</t>
  </si>
  <si>
    <t>F10-030</t>
  </si>
  <si>
    <t>F10-031</t>
  </si>
  <si>
    <t>F10-033</t>
  </si>
  <si>
    <t>F10-034</t>
  </si>
  <si>
    <t>F10-035</t>
  </si>
  <si>
    <t>F10-036</t>
  </si>
  <si>
    <t>F10-038</t>
  </si>
  <si>
    <t>F10-039</t>
  </si>
  <si>
    <t>F10-040</t>
  </si>
  <si>
    <t>F10-041</t>
  </si>
  <si>
    <t>F10-043</t>
  </si>
  <si>
    <t>F10-044</t>
  </si>
  <si>
    <t>F10-045</t>
  </si>
  <si>
    <t>F10-046</t>
  </si>
  <si>
    <t>F10-048</t>
  </si>
  <si>
    <t>F10-049</t>
  </si>
  <si>
    <t>F10-050</t>
  </si>
  <si>
    <t>F10-051</t>
  </si>
  <si>
    <t>F10-053</t>
  </si>
  <si>
    <t>F10-054</t>
  </si>
  <si>
    <t>F10-055</t>
  </si>
  <si>
    <t>F10-056</t>
  </si>
  <si>
    <t>F10-058</t>
  </si>
  <si>
    <t>F10-059</t>
  </si>
  <si>
    <t>F10-060</t>
  </si>
  <si>
    <t>F10-061</t>
  </si>
  <si>
    <t>F10-063</t>
  </si>
  <si>
    <t>F10-064</t>
  </si>
  <si>
    <t>F10-065</t>
  </si>
  <si>
    <t>F10-066</t>
  </si>
  <si>
    <t>60-64</t>
  </si>
  <si>
    <t>65+</t>
  </si>
  <si>
    <t>Tested for HIV while on PrEP_CT</t>
  </si>
  <si>
    <t>Tested HIV Positive while on PrEP_CT</t>
  </si>
  <si>
    <t>Pregnant</t>
  </si>
  <si>
    <t>Breastfeeding</t>
  </si>
  <si>
    <t>F02-081</t>
  </si>
  <si>
    <t>F02-082</t>
  </si>
  <si>
    <t>Serodiscordant Couple</t>
  </si>
  <si>
    <t>F02-0310</t>
  </si>
  <si>
    <t>F02-0311</t>
  </si>
  <si>
    <t>F02-0312</t>
  </si>
  <si>
    <t>F02-0314</t>
  </si>
  <si>
    <t>F02-0315</t>
  </si>
  <si>
    <t>F02-0316</t>
  </si>
  <si>
    <t>F02-0317</t>
  </si>
  <si>
    <t>F02-0318</t>
  </si>
  <si>
    <t>Adolescent Girls and Young Women</t>
  </si>
  <si>
    <t>Men at high risk</t>
  </si>
  <si>
    <t>Other Women</t>
  </si>
  <si>
    <t>F01-250</t>
  </si>
  <si>
    <t xml:space="preserve"> Total HTS Tested</t>
  </si>
  <si>
    <t>Total HTS Positive</t>
  </si>
  <si>
    <t>F01-281</t>
  </si>
  <si>
    <t>F01-282</t>
  </si>
  <si>
    <t>Positive result at at PNC &gt; 6 weeks to 6 months</t>
  </si>
  <si>
    <t>Retesting at PNC &gt; 6 weeks to 6 months</t>
  </si>
  <si>
    <t>Retesting positive result at PNC &gt; 6 weeks to 6 months</t>
  </si>
  <si>
    <t>F06-105</t>
  </si>
  <si>
    <t>F06-106</t>
  </si>
  <si>
    <t>F01-283</t>
  </si>
  <si>
    <t>F01-284</t>
  </si>
  <si>
    <t>F01-285</t>
  </si>
  <si>
    <t>F01-286</t>
  </si>
  <si>
    <t>F02-083</t>
  </si>
  <si>
    <t>F02-084</t>
  </si>
  <si>
    <t>Already on ART (TPT)</t>
  </si>
  <si>
    <t>New on ART (TPT)</t>
  </si>
  <si>
    <t>F03-010</t>
  </si>
  <si>
    <t>F06-163</t>
  </si>
  <si>
    <t>Retest Start HAART at PNC &gt; 6 weeks to 6 months</t>
  </si>
  <si>
    <t>Already on ART (IPT)</t>
  </si>
  <si>
    <t>New on ART (IPT)</t>
  </si>
  <si>
    <t>F03-13</t>
  </si>
  <si>
    <t>F03-14</t>
  </si>
  <si>
    <t>F03-15</t>
  </si>
  <si>
    <t>F03-16</t>
  </si>
  <si>
    <t>F03-130</t>
  </si>
  <si>
    <t>Referred for treatment</t>
  </si>
  <si>
    <t>No. of confirmed TB-positive starting TB Treatment who were newly started on ART</t>
  </si>
  <si>
    <t>No. of confirmed TB-positive starting TB Treatment who were already on ART</t>
  </si>
  <si>
    <t>Total No. of ART patients started on TB Treatment (TX_TB_Num)</t>
  </si>
  <si>
    <t>F01-331</t>
  </si>
  <si>
    <t>F02-0319</t>
  </si>
  <si>
    <t>F02-0320</t>
  </si>
  <si>
    <t>Facility</t>
  </si>
  <si>
    <t>Community (associated with a facility)</t>
  </si>
  <si>
    <t>F02-0321</t>
  </si>
  <si>
    <t>F02-0322</t>
  </si>
  <si>
    <t>Oral</t>
  </si>
  <si>
    <t>Injectable</t>
  </si>
  <si>
    <t>F02-0323</t>
  </si>
  <si>
    <t>F02-0324</t>
  </si>
  <si>
    <t>F02-0325</t>
  </si>
  <si>
    <t>F02-085</t>
  </si>
  <si>
    <t>F02-086</t>
  </si>
  <si>
    <t>F02-087</t>
  </si>
  <si>
    <t>F02-088</t>
  </si>
  <si>
    <t>F02-089</t>
  </si>
  <si>
    <t>Number newly initiated on Event-Driven Prep</t>
  </si>
  <si>
    <t>F02-0326</t>
  </si>
  <si>
    <t>Number Initially initiated on Event-Driven Prep who came for a refill/Restart</t>
  </si>
  <si>
    <t>F02-090</t>
  </si>
  <si>
    <t>CD4 &lt; 200</t>
  </si>
  <si>
    <t>Unknown CD4</t>
  </si>
  <si>
    <t>F07-022</t>
  </si>
  <si>
    <t>F07-023</t>
  </si>
  <si>
    <t>F07-024</t>
  </si>
  <si>
    <t>CD4 &gt;=200</t>
  </si>
  <si>
    <t>F07-0501</t>
  </si>
  <si>
    <t>F07-0502</t>
  </si>
  <si>
    <t>F07-0503</t>
  </si>
  <si>
    <t>TB cases with a recent HIV Negative status at entry in TB clinic (TB_STAT_KN)</t>
  </si>
  <si>
    <t>Initial Start HAART at L&amp;D</t>
  </si>
  <si>
    <t>Initial Start HAART at PNC &gt; 6 weeks to 6 months</t>
  </si>
  <si>
    <t>Initial Test at PNC &gt; 6 weeks to 6 months</t>
  </si>
  <si>
    <t>Refers to the number of individuals starting PrEP for the first time (outside of any clinical trial participation) through oral prep.</t>
  </si>
  <si>
    <t>Refers to the number of individuals starting PrEP for the first time (outside of any clinical trial participation) through Injectable prep. An individual should be counted under ‘Injectable’ for PrEP Type after they have received the first initiation injection dose for PrEP_NEW only if they have never been on any other PrEP regimen prior to initiating injectable PrEP</t>
  </si>
  <si>
    <t xml:space="preserve">This is a count of clients who were confirmed Pregnant and were initiated on PrEP in a particular month </t>
  </si>
  <si>
    <t xml:space="preserve">This is a count of clients who were Breastfeeding at initiation of PrEP in a particular month </t>
  </si>
  <si>
    <t>Refers to the number of individuals starting PrEP for the first time (outside of any clinical trial participation) through other non Oral and Injectable prep regimens</t>
  </si>
  <si>
    <t>This is a count of clients who were newly initiated on Prep through facility-based delivery mechanisms.</t>
  </si>
  <si>
    <t>This is a count of clients who were newly initiated on Prep through a community or other non-traditional setting (still associated with a facility) delivery mechanisms.</t>
  </si>
  <si>
    <t>This is a count of clients who took prep with a planned sex act to prevent HIV exposure</t>
  </si>
  <si>
    <t>This is a count of returning prep clients who received an HIV testing result</t>
  </si>
  <si>
    <t>This is a count of returning prep clients who received an HIV Positive testing result</t>
  </si>
  <si>
    <t xml:space="preserve">This is a count of returning prep clients who were confirmed Pregnant in a particular month </t>
  </si>
  <si>
    <t xml:space="preserve">This is a count of returning prep clients who were confirmed Breastfeeding in a particular month </t>
  </si>
  <si>
    <t>This is a count of ART clients who were screened for TB using TB ICF Form based on WHO four-symptom screen (W4SS).</t>
  </si>
  <si>
    <t>TB ICF Forrm / EMR</t>
  </si>
  <si>
    <t>This is a count of ART clients who were screened for TB using Chest X - Ray (CXR).</t>
  </si>
  <si>
    <t>X - Ray Registr / Presumptive TB Register</t>
  </si>
  <si>
    <t>This is a count of ART clients who were screened for TB using any of the molecular WHO-recommended rapid diagnostic testing. These tests include: Gene Xpert/ TB LAM and Truenat MTB.</t>
  </si>
  <si>
    <t>Presumptive TB Register/Lab  Gene Xpert Register</t>
  </si>
  <si>
    <t>This is a count of TB Cases who recently tested HIV-negative within a 6-week period, or more recently according to country clinical guidelines, and are not eligible for another HIV test at the time of presentation in the TB clinic in accordance with national HTS guidelines.</t>
  </si>
  <si>
    <t>This is a count of individuals starting HAART treatment (TX_NEW) with documented CD4 Count results &lt; 200</t>
  </si>
  <si>
    <t>This is a count of individuals starting HAART treatment (TX_NEW) with documented CD4 Count results &gt;= 200</t>
  </si>
  <si>
    <t>This is a count of returning prep clients who received Prep refills through facility-based delivery</t>
  </si>
  <si>
    <t>This is a count of returning Prep clients who received Prep-Refills through a community or other non-traditional setting (still associated with a facility) delivery mechanisms.</t>
  </si>
  <si>
    <t>Refers to the number of returning prep individuals who received oral-based prep regimen</t>
  </si>
  <si>
    <t>This refers to number of individuals, excluding those newly enrolled, that return for a follow-up visit or re-initiation visit to receive pre-exposure prophylaxis (PrEP) to prevent HIV during the reporting period. This count should exclude all the patients who were initiated on Prep during the reporting period and also came for refill.</t>
  </si>
  <si>
    <t>Refers to the number of returning prep individuals who received long-acting Prep injection including the initial first or second injection for indivinduals new to long acting-Injectible Prep Regimen prep regimen</t>
  </si>
  <si>
    <t>Refers to the number of returning Prep refill/restart individuals who received other non Oral and Injectable prep regimens to prevent them from HIV exposure</t>
  </si>
  <si>
    <t>This is a count of patients who were initially initiated on prep under Event-based prep and came for refill/restart during the reporting period</t>
  </si>
  <si>
    <t>This is a count of MSWs, excluding those newly enrolled, that return for a follow-up visit or re-initiation visit to receive pre-exposure prophylaxis (PrEP) to prevent HIV during the reporting period</t>
  </si>
  <si>
    <t>This is a count of FSWs , excluding those newly enrolled, that return for a follow-up visit or re-initiation visit to receive pre-exposure prophylaxis (PrEP) to prevent HIV during the reporting period</t>
  </si>
  <si>
    <t>A count of test kits distributed to parents or caregivers of children ≥2 years of age with an unknown HIV status for use in testing the children</t>
  </si>
  <si>
    <t>Total Patients Starting ART with  CD4 Status</t>
  </si>
  <si>
    <t>This is a count of individuals starting HAART treatment (TX_NEW) disaggregated by the age and sex with CD4 Count status within the reporting month . This includes patients</t>
  </si>
  <si>
    <t>This is a count of individuals starting HAART treatment (TX_NEW) done for CD4 but with Unknown CD4 results or without undocumented CD4 results</t>
  </si>
  <si>
    <t>This is a count of PLHIV who screened TB postive whose specimes were sent for mWRD (molecular WHO-recommended rapid diagnostic testing) e.g., Gene Xpert/ TB LAM, Truenat MTB</t>
  </si>
  <si>
    <t>This is a count of PLHIV who screened TB postive whose specimes were sent for Additional test other than mWRD</t>
  </si>
  <si>
    <t>Total number of patients done for TB investigative work up</t>
  </si>
  <si>
    <t>F03-131</t>
  </si>
  <si>
    <t>F03-011</t>
  </si>
  <si>
    <t>F05-041</t>
  </si>
  <si>
    <t>F05-081</t>
  </si>
  <si>
    <t>Unassisted : Caregiver for child</t>
  </si>
  <si>
    <t>F01-091</t>
  </si>
  <si>
    <t>F01-061</t>
  </si>
  <si>
    <t>F01-253</t>
  </si>
  <si>
    <t>F01-254</t>
  </si>
  <si>
    <t>Number Current on ART Eligible for TPT/IPT Initiation</t>
  </si>
  <si>
    <t>Number Current on ART Ever on initiated on TPT/IPT</t>
  </si>
  <si>
    <t>F07-181</t>
  </si>
  <si>
    <t>F07-182</t>
  </si>
  <si>
    <t>Negative Initiated on Prep</t>
  </si>
  <si>
    <t>F05-061</t>
  </si>
  <si>
    <t>CD4 Register/EMR</t>
  </si>
  <si>
    <t>EMR/ VLMIS</t>
  </si>
  <si>
    <t>This is a count of all HIV positive individuals who were linked and started on ART within the same facility (UTJ supported)</t>
  </si>
  <si>
    <t>This is a count of all HIV positive individuals who were linked and started on ART in another UTJ supported facility</t>
  </si>
  <si>
    <t>This is a count of all HIV positive individuals who were linked and started on ART in another non UTJ supported facility</t>
  </si>
  <si>
    <t>This Autocalated section of the linkage in emergency ward</t>
  </si>
  <si>
    <t>This Autocalated section of the linkage within inpatient</t>
  </si>
  <si>
    <t>This Autocalated section of the linkage in the nutrition department</t>
  </si>
  <si>
    <t>This Autocalated section of the linkage within the pediatric ward</t>
  </si>
  <si>
    <t>This Autocalated section of the linkage in the STI clinic</t>
  </si>
  <si>
    <t>This Autocalated section of the linkage in the TB clinic</t>
  </si>
  <si>
    <t>This Autocalated section of the linkage within other PITC testing mordality</t>
  </si>
  <si>
    <t>This Autocalated section of the linkage within SNS testing mordality</t>
  </si>
  <si>
    <t xml:space="preserve">This Autocalated section of the linkage within 1st ANC </t>
  </si>
  <si>
    <t>This Autocalated section of the linkage within POST ANC 1 ( ANC 2 and above , L&amp;D, PNC &lt;=6 wks ) mordality</t>
  </si>
  <si>
    <t xml:space="preserve">This is the count of social contacts elicited by seeds/recruiters who accepted SNS services. The Recruiters can be HIV positive ornegative clients </t>
  </si>
  <si>
    <t>This is the count of social contacts elicited who were eligible and they were tested for HIV.</t>
  </si>
  <si>
    <t>This is the count of social contacts who tested HIV positive durning the reporting period</t>
  </si>
  <si>
    <t>This is an Autocalculated section of the PMTCT_STAT_POS who where alreadyo ART and Newly initiated on ART (MTCT_ART)</t>
  </si>
  <si>
    <t>Form 1A  version 10.0.0</t>
  </si>
  <si>
    <t>1.1.1 HTS_Index</t>
  </si>
  <si>
    <t>1.1.2 HTS_TST: Emergency</t>
  </si>
  <si>
    <t>1.1.3 HTS_TST: Inpatient</t>
  </si>
  <si>
    <t>1.1.4 HTS_TST: Malnutrition</t>
  </si>
  <si>
    <t>1.1.6 HTS_TST: STI</t>
  </si>
  <si>
    <t>Total Positives at Post ANC1 (Pregnant/L&amp;D/Breastfeeding)</t>
  </si>
  <si>
    <t>1.1.12 HTS_TST: VCT</t>
  </si>
  <si>
    <t>1.1.13 HTS_TST:Social Network Strategy (SNS)</t>
  </si>
  <si>
    <t>1.2.1 Test kits distributed</t>
  </si>
  <si>
    <t>2.0  PrEP Initiation and Continuation</t>
  </si>
  <si>
    <t>2.1 PrEP_New</t>
  </si>
  <si>
    <t>2.1.1  Initiated (New) on PrEP by population type</t>
  </si>
  <si>
    <t>2.1.2 PrEP Initiation for Pregnant and breastfeeding mothers</t>
  </si>
  <si>
    <t>2.1.3 PrEP Initiation by Distribution Type</t>
  </si>
  <si>
    <t>2.1.4 PrEP Initiation by Type</t>
  </si>
  <si>
    <t>2.1.5 Event Driven PrEP Initiations among Men (MSMs/ Men at High Risk)</t>
  </si>
  <si>
    <t>2.2 PrEP_CT</t>
  </si>
  <si>
    <t>2.2.1 PrEP_CT test result</t>
  </si>
  <si>
    <t>2.2.2 PrEP_CT Pregnant or Breastfeeding</t>
  </si>
  <si>
    <t>2.2.3 PrEP_CT By Population Type</t>
  </si>
  <si>
    <t>2.2.4 PrEP_CT by Distribution Type</t>
  </si>
  <si>
    <t>2.2.6 PrEP_CT Event Driven PrEP</t>
  </si>
  <si>
    <t>6.0  TPT (TB Preventive Therapy)</t>
  </si>
  <si>
    <t>6.1 TPT Initiation</t>
  </si>
  <si>
    <t>6.1.1 Initiated on TPT this month</t>
  </si>
  <si>
    <t>Already on ART</t>
  </si>
  <si>
    <t>6.1.2 Initiated on IPT this month</t>
  </si>
  <si>
    <t>6.3.1.2 Clients on ART Initiated on IPT (Isoniazid) 6 months ago (6-H)</t>
  </si>
  <si>
    <t>7.1 First time screening</t>
  </si>
  <si>
    <t xml:space="preserve">7.1.1 Treatment for those screened at the 1st time and turned positives or are Suspected cancer </t>
  </si>
  <si>
    <t>7.2 Rescreening after previous negative result</t>
  </si>
  <si>
    <t>7.2.1 Treatment for those rescreening   positives or are Suspected cancer after previous negative result</t>
  </si>
  <si>
    <t>7.3 Post Treatment follow-up</t>
  </si>
  <si>
    <t>7.3.1 Treatment for those screened  positive or are Suspected cancer Post treatment follow up</t>
  </si>
  <si>
    <t>8.0 Post Violence Response</t>
  </si>
  <si>
    <t>8.1 POST_RESP</t>
  </si>
  <si>
    <t>Number of people receiving post-sexual, physical and emotional violence (SPEV) clinical care based on the minimum package</t>
  </si>
  <si>
    <t>8.2 Physical &amp; emotional Violence</t>
  </si>
  <si>
    <t>Number of people receiving post physical and emotional violence (PEV) clinical care</t>
  </si>
  <si>
    <t>8.3 Sexual Violence</t>
  </si>
  <si>
    <t>No. of Sexual Rape/defilement survivors [OPD, IPD , MCH and CCC]</t>
  </si>
  <si>
    <t>Sexual Rape/defilement Survivors Tested for HIV</t>
  </si>
  <si>
    <t xml:space="preserve">Sexual Rape/defilement Survivors presenting within 72 hours </t>
  </si>
  <si>
    <t>Sexual Rape/defilement Survivors Initiated PEP</t>
  </si>
  <si>
    <t>Sexual Rape/defilement Survivors presenting within 120 hours</t>
  </si>
  <si>
    <t>Sexual Rape/defilement Survivors Eligible for Emergency Contraceptive Pill (ECP)</t>
  </si>
  <si>
    <t>Sexual Rape/defilement Survivors Given Emergency Contraceptive Pill (ECP)</t>
  </si>
  <si>
    <t>Sexual Rape/defilement Survivors Screened for STI</t>
  </si>
  <si>
    <t>Sexual Rape/defilement Survivors Tested for STI</t>
  </si>
  <si>
    <t>Sexual Rape/defilement Survivors Positive for STI</t>
  </si>
  <si>
    <t>Sexual Rape/defilement Survivors Treated for STI</t>
  </si>
  <si>
    <t xml:space="preserve">3.0  PMTCT </t>
  </si>
  <si>
    <t xml:space="preserve">3.1 PMTCT Testing </t>
  </si>
  <si>
    <t>Newly tested Positive at ANC1 (PMTCT_STAT_New Pos)</t>
  </si>
  <si>
    <t>Total Positives PMTCT Post ANC 1 ( ANC 2 and above , L&amp;D, PNC &lt;=6 wks - (Autocalculated)</t>
  </si>
  <si>
    <t>3.2  PMTCT ART</t>
  </si>
  <si>
    <t>3.2.1 Maternal HAART (PMTCT_ART)</t>
  </si>
  <si>
    <t>3.2.1.1 1st ANC Visit</t>
  </si>
  <si>
    <t>3.2.1.3 L&amp;D (Maternity)</t>
  </si>
  <si>
    <t>3.2.1.4 PNC</t>
  </si>
  <si>
    <t xml:space="preserve">3.2.2 Infant Prophylaxis </t>
  </si>
  <si>
    <t>Infant Prophylaxis_ANC 1</t>
  </si>
  <si>
    <t xml:space="preserve">Infant Prophylaxis ANC 2 and above </t>
  </si>
  <si>
    <t xml:space="preserve">Infant Prophylaxis_ L&amp;D </t>
  </si>
  <si>
    <t>Infant Prophylaxis_PNC&lt;= 6wks</t>
  </si>
  <si>
    <t>Infant Prophylaxis_PNC &gt; 6wks-6months</t>
  </si>
  <si>
    <t>5.0  HIV &amp; TB Treatment</t>
  </si>
  <si>
    <t>5.1 HIV Treatment</t>
  </si>
  <si>
    <t>5.1.1 Starting ART (TX_New)</t>
  </si>
  <si>
    <t>5.1.2 Starting ART (TX_New) by Population type</t>
  </si>
  <si>
    <t>5.1.3 Starting ART (TX_New) Breastfeeding</t>
  </si>
  <si>
    <t>No. of clients starting ART who are breastfeeding</t>
  </si>
  <si>
    <t>5.1.4 Starting ART (TX_New)by CD4 status</t>
  </si>
  <si>
    <t>5.2 Current on ART (TX_CURR)</t>
  </si>
  <si>
    <t>5.2.1 Currently on ART (TX_CURR) 
by Population type</t>
  </si>
  <si>
    <t>5.2.2 Currently on ART (TX_CURR)
by Multi-Month Dispensing</t>
  </si>
  <si>
    <t>5.2.3 Current on ART (TX_CURR for PMTCT)</t>
  </si>
  <si>
    <t xml:space="preserve">Current on ART (TX_CURR for PMTCT) </t>
  </si>
  <si>
    <t>5.3 TB Screening and Treatment in CCC</t>
  </si>
  <si>
    <t>5.3.1 TB screening in CCC (ICF)</t>
  </si>
  <si>
    <t>5.3.2 Type of TB Screening</t>
  </si>
  <si>
    <t>Symptom Screen Only</t>
  </si>
  <si>
    <t>Chest X-Ray</t>
  </si>
  <si>
    <t>Molecular WHO-recommended Diagnostic PCR (mWRD) e.g., Gene Xpert/ TB LAM, Truenat MTB</t>
  </si>
  <si>
    <t>5.3.3 ART Patients started on TB Treatment</t>
  </si>
  <si>
    <t>4.0 HIV Testing and ART Initiation in TB Clinic</t>
  </si>
  <si>
    <t>4.1 HIV Testing in TB Clinic</t>
  </si>
  <si>
    <t>4.1.1 TB_STAT</t>
  </si>
  <si>
    <t>4.2 ART Initiation in TB Clinic</t>
  </si>
  <si>
    <t>4.2.1 TB_ART</t>
  </si>
  <si>
    <t/>
  </si>
  <si>
    <t>1.1.5 HTS_TST:Pediatric 
(&lt; 5 Yrs)</t>
  </si>
  <si>
    <t>F02-20</t>
  </si>
  <si>
    <t>F02-21</t>
  </si>
  <si>
    <t>F02-23</t>
  </si>
  <si>
    <t>F02-24</t>
  </si>
  <si>
    <t>F02-25</t>
  </si>
  <si>
    <t>F02-26</t>
  </si>
  <si>
    <t>F02-30</t>
  </si>
  <si>
    <t>F02-31</t>
  </si>
  <si>
    <t>F02-32</t>
  </si>
  <si>
    <t>F02-33</t>
  </si>
  <si>
    <t>F02-34</t>
  </si>
  <si>
    <t>F02-35</t>
  </si>
  <si>
    <t>F02-36</t>
  </si>
  <si>
    <t>F02-37</t>
  </si>
  <si>
    <t>F02-38</t>
  </si>
  <si>
    <t>1.1.14 HTS_TST Other PITC (OPD, other testing SDPs not listed above)</t>
  </si>
  <si>
    <t xml:space="preserve"> 1.1.15 Total HTS_TST (Including PMTCT and TB)</t>
  </si>
  <si>
    <t>1.1.15 HIV Testing By Key Population Type (This includes only walk-in KPs in the facility)</t>
  </si>
  <si>
    <t>6.2 IPT Initiation</t>
  </si>
  <si>
    <t>6.3.1.1 Clients on ART Initiated on Rifampcin &amp; Rifapentine 3 months ago 
(3-HP)</t>
  </si>
  <si>
    <t xml:space="preserve">7.0  Cervical Cancer Screening &amp; TreatmentREATMENT </t>
  </si>
  <si>
    <t>F04-061</t>
  </si>
  <si>
    <t>F04-121</t>
  </si>
  <si>
    <t>F04-181</t>
  </si>
  <si>
    <t>Sexual Rape/defilement Survivors Tested HIV positive at 1st visit</t>
  </si>
  <si>
    <t xml:space="preserve">3.1.1 HTS_TST:1st ANC visit </t>
  </si>
  <si>
    <t>F06-107</t>
  </si>
  <si>
    <t>F06-181</t>
  </si>
  <si>
    <t>F06-201</t>
  </si>
  <si>
    <t xml:space="preserve">Total No. of clients starting ART (TX_New)     </t>
  </si>
  <si>
    <t>F10-201</t>
  </si>
  <si>
    <t>F10-202</t>
  </si>
  <si>
    <t>F10-203</t>
  </si>
  <si>
    <t>F10-204</t>
  </si>
  <si>
    <r>
      <t>6.2 TPT Uptake (</t>
    </r>
    <r>
      <rPr>
        <i/>
        <sz val="18"/>
        <color theme="1"/>
        <rFont val="Gill Sans MT"/>
        <family val="2"/>
      </rPr>
      <t>including IPT</t>
    </r>
    <r>
      <rPr>
        <sz val="18"/>
        <color theme="1"/>
        <rFont val="Gill Sans MT"/>
        <family val="2"/>
      </rPr>
      <t>) Among Current On ART (TX_CURR)</t>
    </r>
  </si>
  <si>
    <r>
      <t xml:space="preserve">Incase you copy data, please </t>
    </r>
    <r>
      <rPr>
        <b/>
        <sz val="18"/>
        <color theme="1"/>
        <rFont val="Gill Sans MT"/>
        <family val="2"/>
      </rPr>
      <t>paste as value</t>
    </r>
    <r>
      <rPr>
        <b/>
        <sz val="18"/>
        <color rgb="FFFF0000"/>
        <rFont val="Gill Sans MT"/>
        <family val="2"/>
      </rPr>
      <t xml:space="preserve"> to avoid unexpected Red alerts</t>
    </r>
  </si>
  <si>
    <r>
      <t>1.1.15 HIV Testing By Key Population Type (</t>
    </r>
    <r>
      <rPr>
        <b/>
        <i/>
        <sz val="18"/>
        <color rgb="FFFF0000"/>
        <rFont val="Gill Sans MT"/>
        <family val="2"/>
      </rPr>
      <t>This includes only walk-in KPs in the facility</t>
    </r>
    <r>
      <rPr>
        <b/>
        <sz val="18"/>
        <color rgb="FFFF0000"/>
        <rFont val="Gill Sans MT"/>
        <family val="2"/>
      </rPr>
      <t>)</t>
    </r>
  </si>
  <si>
    <r>
      <t>Directly Assisted</t>
    </r>
    <r>
      <rPr>
        <b/>
        <sz val="18"/>
        <color theme="1"/>
        <rFont val="Gill Sans MT"/>
        <family val="2"/>
      </rPr>
      <t xml:space="preserve">  </t>
    </r>
  </si>
  <si>
    <r>
      <t>Pregnant and Breast Feeding Women (</t>
    </r>
    <r>
      <rPr>
        <sz val="18"/>
        <rFont val="Gill Sans MT"/>
        <family val="2"/>
      </rPr>
      <t xml:space="preserve"> </t>
    </r>
    <r>
      <rPr>
        <i/>
        <sz val="18"/>
        <rFont val="Gill Sans MT"/>
        <family val="2"/>
      </rPr>
      <t>auto-calculated</t>
    </r>
    <r>
      <rPr>
        <sz val="18"/>
        <rFont val="Gill Sans MT"/>
        <family val="2"/>
      </rPr>
      <t xml:space="preserve"> </t>
    </r>
    <r>
      <rPr>
        <sz val="18"/>
        <color theme="1"/>
        <rFont val="Gill Sans MT"/>
        <family val="2"/>
      </rPr>
      <t>)</t>
    </r>
  </si>
  <si>
    <r>
      <rPr>
        <sz val="18"/>
        <color theme="1"/>
        <rFont val="Gill Sans MT"/>
        <family val="2"/>
      </rPr>
      <t xml:space="preserve">Clients initiated on PrEP previous quarters and returned for a follow-up visit or re-initiation (restart) during the </t>
    </r>
    <r>
      <rPr>
        <b/>
        <sz val="18"/>
        <color theme="1"/>
        <rFont val="Gill Sans MT"/>
        <family val="2"/>
      </rPr>
      <t>current Quarte</t>
    </r>
    <r>
      <rPr>
        <sz val="18"/>
        <color theme="1"/>
        <rFont val="Gill Sans MT"/>
        <family val="2"/>
      </rPr>
      <t>r (</t>
    </r>
    <r>
      <rPr>
        <i/>
        <sz val="18"/>
        <color theme="1"/>
        <rFont val="Gill Sans MT"/>
        <family val="2"/>
      </rPr>
      <t>excluding those newly enrolled on PrEP within the quarter</t>
    </r>
    <r>
      <rPr>
        <sz val="18"/>
        <color theme="1"/>
        <rFont val="Gill Sans MT"/>
        <family val="2"/>
      </rPr>
      <t xml:space="preserve"> )
</t>
    </r>
    <r>
      <rPr>
        <sz val="18"/>
        <color theme="4"/>
        <rFont val="Gill Sans MT"/>
        <family val="2"/>
      </rPr>
      <t>Note: a client cannot be reported on both PrEP_New and PrEP_CT within the same quarter</t>
    </r>
  </si>
  <si>
    <r>
      <rPr>
        <sz val="18"/>
        <color theme="1"/>
        <rFont val="Gill Sans MT"/>
        <family val="2"/>
      </rPr>
      <t>3.1.3 HTS_TST:</t>
    </r>
    <r>
      <rPr>
        <b/>
        <sz val="18"/>
        <color theme="1"/>
        <rFont val="Gill Sans MT"/>
        <family val="2"/>
      </rPr>
      <t xml:space="preserve"> L&amp;D (Maternity)</t>
    </r>
  </si>
  <si>
    <r>
      <rPr>
        <sz val="18"/>
        <color theme="1"/>
        <rFont val="Gill Sans MT"/>
        <family val="2"/>
      </rPr>
      <t>3.1.3 HTS_TST:</t>
    </r>
    <r>
      <rPr>
        <b/>
        <sz val="18"/>
        <color theme="1"/>
        <rFont val="Gill Sans MT"/>
        <family val="2"/>
      </rPr>
      <t xml:space="preserve"> PNC</t>
    </r>
  </si>
  <si>
    <r>
      <t xml:space="preserve">3.1.4 HTS_TST: </t>
    </r>
    <r>
      <rPr>
        <b/>
        <sz val="18"/>
        <color theme="1"/>
        <rFont val="Gill Sans MT"/>
        <family val="2"/>
      </rPr>
      <t>PMTCT POST ANC 1</t>
    </r>
    <r>
      <rPr>
        <sz val="18"/>
        <color theme="1"/>
        <rFont val="Gill Sans MT"/>
        <family val="2"/>
      </rPr>
      <t xml:space="preserve">
</t>
    </r>
    <r>
      <rPr>
        <i/>
        <sz val="18"/>
        <color theme="1"/>
        <rFont val="Gill Sans MT"/>
        <family val="2"/>
      </rPr>
      <t>(ANC 2 and above , L&amp;D, PNC &lt;=6 wks, PNC&gt;6wks-6mths)</t>
    </r>
  </si>
  <si>
    <r>
      <rPr>
        <b/>
        <sz val="18"/>
        <color theme="1"/>
        <rFont val="Gill Sans MT"/>
        <family val="2"/>
      </rPr>
      <t xml:space="preserve">3.2.1.2 ANC 2 and above </t>
    </r>
    <r>
      <rPr>
        <i/>
        <sz val="18"/>
        <color theme="1"/>
        <rFont val="Gill Sans MT"/>
        <family val="2"/>
      </rPr>
      <t>(includes 2nd, 3rd, 4th ANC visits etc)</t>
    </r>
  </si>
  <si>
    <r>
      <t>3.2.2.1 Infant Prophylaxis</t>
    </r>
    <r>
      <rPr>
        <b/>
        <i/>
        <sz val="18"/>
        <color theme="1"/>
        <rFont val="Gill Sans MT"/>
        <family val="2"/>
      </rPr>
      <t xml:space="preserve"> 
</t>
    </r>
    <r>
      <rPr>
        <i/>
        <sz val="18"/>
        <color theme="1"/>
        <rFont val="Gill Sans MT"/>
        <family val="2"/>
      </rPr>
      <t>(Accounting both initial and retest positives)
NB: use  mother's age for reporting</t>
    </r>
  </si>
  <si>
    <r>
      <t xml:space="preserve">TB cases with known </t>
    </r>
    <r>
      <rPr>
        <b/>
        <sz val="18"/>
        <color theme="5"/>
        <rFont val="Gill Sans MT"/>
        <family val="2"/>
      </rPr>
      <t>HIV +ve</t>
    </r>
    <r>
      <rPr>
        <sz val="18"/>
        <color theme="1"/>
        <rFont val="Gill Sans MT"/>
        <family val="2"/>
      </rPr>
      <t xml:space="preserve"> status (KP) at entry in TB clinic (TB_STAT_KP)</t>
    </r>
  </si>
  <si>
    <r>
      <t xml:space="preserve">No. of patients whose specimens were sent for </t>
    </r>
    <r>
      <rPr>
        <b/>
        <sz val="18"/>
        <color theme="1"/>
        <rFont val="Gill Sans MT"/>
        <family val="2"/>
      </rPr>
      <t>Smear Microscopy Only</t>
    </r>
  </si>
  <si>
    <r>
      <t xml:space="preserve">No. of patients whose specimens were sent for </t>
    </r>
    <r>
      <rPr>
        <b/>
        <sz val="18"/>
        <color theme="1"/>
        <rFont val="Gill Sans MT"/>
        <family val="2"/>
      </rPr>
      <t>mWRD (molecular WHO-recommended rapid diagnostic testing) e.g., Gene Xpert/ TB LAM, Truenat MTB</t>
    </r>
  </si>
  <si>
    <r>
      <t>No. of patients done for other (a</t>
    </r>
    <r>
      <rPr>
        <b/>
        <sz val="18"/>
        <color theme="1"/>
        <rFont val="Gill Sans MT"/>
        <family val="2"/>
      </rPr>
      <t>dditional) test other than mWRD (e.g CXR)</t>
    </r>
  </si>
  <si>
    <r>
      <t>6.3 TB_PREV  (</t>
    </r>
    <r>
      <rPr>
        <b/>
        <i/>
        <sz val="18"/>
        <color rgb="FFFF0000"/>
        <rFont val="Gill Sans MT"/>
        <family val="2"/>
      </rPr>
      <t>Used for DATIM reporting</t>
    </r>
    <r>
      <rPr>
        <b/>
        <sz val="18"/>
        <color rgb="FFFF0000"/>
        <rFont val="Gill Sans MT"/>
        <family val="2"/>
      </rPr>
      <t>)</t>
    </r>
  </si>
  <si>
    <r>
      <t>6.3.1 TB_PREV (Denominator)   (</t>
    </r>
    <r>
      <rPr>
        <b/>
        <i/>
        <sz val="18"/>
        <color rgb="FFFFFF00"/>
        <rFont val="Gill Sans MT"/>
        <family val="2"/>
      </rPr>
      <t>Refer to the instruction sheet to get the correct cohort for reporting</t>
    </r>
    <r>
      <rPr>
        <b/>
        <sz val="18"/>
        <color rgb="FFFF0000"/>
        <rFont val="Gill Sans MT"/>
        <family val="2"/>
      </rPr>
      <t>)</t>
    </r>
  </si>
  <si>
    <r>
      <t>New on ART (TPT)</t>
    </r>
    <r>
      <rPr>
        <b/>
        <sz val="18"/>
        <color theme="1"/>
        <rFont val="Gill Sans MT"/>
        <family val="2"/>
      </rPr>
      <t xml:space="preserve"> </t>
    </r>
  </si>
  <si>
    <r>
      <t>New on ART (IPT)</t>
    </r>
    <r>
      <rPr>
        <b/>
        <sz val="18"/>
        <color theme="1"/>
        <rFont val="Gill Sans MT"/>
        <family val="2"/>
      </rPr>
      <t xml:space="preserve"> </t>
    </r>
  </si>
  <si>
    <r>
      <t>6.3.2 TB_PREV (Numerator)   (</t>
    </r>
    <r>
      <rPr>
        <b/>
        <i/>
        <sz val="18"/>
        <color rgb="FFFFFF00"/>
        <rFont val="Gill Sans MT"/>
        <family val="2"/>
      </rPr>
      <t>Refer to the instruction sheet to get the correct cohort for reporting</t>
    </r>
    <r>
      <rPr>
        <b/>
        <sz val="18"/>
        <color rgb="FFFF0000"/>
        <rFont val="Gill Sans MT"/>
        <family val="2"/>
      </rPr>
      <t>)</t>
    </r>
  </si>
  <si>
    <r>
      <t xml:space="preserve">6.3.2.1 Clients on ART Initated on Rifampcin &amp; Rifapentine 3 months ago 
(3-HP) and </t>
    </r>
    <r>
      <rPr>
        <b/>
        <sz val="18"/>
        <color theme="1"/>
        <rFont val="Gill Sans MT"/>
        <family val="2"/>
      </rPr>
      <t>completed</t>
    </r>
    <r>
      <rPr>
        <sz val="18"/>
        <color theme="1"/>
        <rFont val="Gill Sans MT"/>
        <family val="2"/>
      </rPr>
      <t xml:space="preserve"> the full course of therapy</t>
    </r>
  </si>
  <si>
    <r>
      <t xml:space="preserve">Number of people receiving post sexual violence (SV) clinical care ( </t>
    </r>
    <r>
      <rPr>
        <i/>
        <sz val="18"/>
        <color theme="1"/>
        <rFont val="Gill Sans MT"/>
        <family val="2"/>
      </rPr>
      <t>including Rape, defilement, attempted rape/defilement, sexual assault, FGM, Early marriages</t>
    </r>
    <r>
      <rPr>
        <sz val="18"/>
        <color theme="1"/>
        <rFont val="Gill Sans MT"/>
        <family val="2"/>
      </rPr>
      <t>)</t>
    </r>
  </si>
  <si>
    <t>Main Section</t>
  </si>
  <si>
    <t>Subsection</t>
  </si>
  <si>
    <t>2.0  PrEP Initiation</t>
  </si>
  <si>
    <t>2.0  PrEP Continuation</t>
  </si>
  <si>
    <t>6.3.1 TB_PREV (Denominator)</t>
  </si>
  <si>
    <t xml:space="preserve">6.3.2 TB_PREV (Numerator)  </t>
  </si>
  <si>
    <t>Total HTS Tested</t>
  </si>
  <si>
    <r>
      <rPr>
        <sz val="18"/>
        <color theme="1"/>
        <rFont val="Gill Sans MT"/>
        <family val="2"/>
      </rPr>
      <t>3.1.1 HTS_TST</t>
    </r>
    <r>
      <rPr>
        <b/>
        <sz val="18"/>
        <color theme="1"/>
        <rFont val="Gill Sans MT"/>
        <family val="2"/>
      </rPr>
      <t xml:space="preserve">:1st ANC visit </t>
    </r>
  </si>
  <si>
    <r>
      <t>3.1.2  HTS_TST:</t>
    </r>
    <r>
      <rPr>
        <b/>
        <sz val="18"/>
        <color theme="1"/>
        <rFont val="Gill Sans MT"/>
        <family val="2"/>
      </rPr>
      <t xml:space="preserve"> ANC 2 visit and above</t>
    </r>
    <r>
      <rPr>
        <sz val="18"/>
        <color theme="1"/>
        <rFont val="Gill Sans MT"/>
        <family val="2"/>
      </rPr>
      <t xml:space="preserve"> (includes 2nd, 3rd, 4th ANC visits etc.)</t>
    </r>
    <r>
      <rPr>
        <b/>
        <sz val="18"/>
        <color theme="1"/>
        <rFont val="Gill Sans MT"/>
        <family val="2"/>
      </rPr>
      <t xml:space="preserve"> </t>
    </r>
    <r>
      <rPr>
        <i/>
        <sz val="18"/>
        <color theme="1"/>
        <rFont val="Gill Sans MT"/>
        <family val="2"/>
      </rPr>
      <t>(includes 2nd, 3rd, 4th ANC visits etc.)</t>
    </r>
  </si>
  <si>
    <r>
      <t xml:space="preserve">2.2.2 PrEP_CT </t>
    </r>
    <r>
      <rPr>
        <b/>
        <sz val="18"/>
        <color theme="1"/>
        <rFont val="Gill Sans MT"/>
        <family val="2"/>
      </rPr>
      <t>Pregnant or Breastfeeding</t>
    </r>
  </si>
  <si>
    <r>
      <t xml:space="preserve">2.2.3 PrEP_CT By </t>
    </r>
    <r>
      <rPr>
        <b/>
        <sz val="18"/>
        <color theme="1"/>
        <rFont val="Gill Sans MT"/>
        <family val="2"/>
      </rPr>
      <t>Population Type</t>
    </r>
  </si>
  <si>
    <r>
      <t xml:space="preserve">2.2.4 PrEP_CT by </t>
    </r>
    <r>
      <rPr>
        <b/>
        <sz val="18"/>
        <color theme="1"/>
        <rFont val="Gill Sans MT"/>
        <family val="2"/>
      </rPr>
      <t>Distribution Type</t>
    </r>
  </si>
  <si>
    <r>
      <t xml:space="preserve">2.2.1 PrEP_CT </t>
    </r>
    <r>
      <rPr>
        <b/>
        <sz val="18"/>
        <color theme="1"/>
        <rFont val="Gill Sans MT"/>
        <family val="2"/>
      </rPr>
      <t>Test result</t>
    </r>
  </si>
  <si>
    <r>
      <t xml:space="preserve">2.2.6 PrEP_CT </t>
    </r>
    <r>
      <rPr>
        <b/>
        <sz val="18"/>
        <color theme="1"/>
        <rFont val="Gill Sans MT"/>
        <family val="2"/>
      </rPr>
      <t>Event Driven PrEP</t>
    </r>
  </si>
  <si>
    <r>
      <t xml:space="preserve">6.3.2.2 Clients on ART </t>
    </r>
    <r>
      <rPr>
        <b/>
        <sz val="18"/>
        <color theme="1"/>
        <rFont val="Gill Sans MT"/>
        <family val="2"/>
      </rPr>
      <t>Initiated</t>
    </r>
    <r>
      <rPr>
        <sz val="18"/>
        <color theme="1"/>
        <rFont val="Gill Sans MT"/>
        <family val="2"/>
      </rPr>
      <t xml:space="preserve"> on IPT (Isoniazid) 6 months ago (6-H) and </t>
    </r>
    <r>
      <rPr>
        <b/>
        <sz val="18"/>
        <color theme="1"/>
        <rFont val="Gill Sans MT"/>
        <family val="2"/>
      </rPr>
      <t>completed</t>
    </r>
    <r>
      <rPr>
        <sz val="18"/>
        <color theme="1"/>
        <rFont val="Gill Sans MT"/>
        <family val="2"/>
      </rPr>
      <t xml:space="preserve"> the full course of therapy</t>
    </r>
  </si>
  <si>
    <r>
      <t xml:space="preserve">Other Treatment methods ( e.g </t>
    </r>
    <r>
      <rPr>
        <i/>
        <sz val="18"/>
        <color rgb="FF0070C0"/>
        <rFont val="Gill Sans MT"/>
        <family val="2"/>
      </rPr>
      <t>Radiotherapy, Chemotherapy , Surgery  ,Palliative</t>
    </r>
    <r>
      <rPr>
        <sz val="18"/>
        <color rgb="FF0070C0"/>
        <rFont val="Gill Sans MT"/>
        <family val="2"/>
      </rPr>
      <t xml:space="preserve"> )</t>
    </r>
  </si>
  <si>
    <r>
      <t xml:space="preserve">1.1.1 </t>
    </r>
    <r>
      <rPr>
        <b/>
        <sz val="18"/>
        <color theme="1"/>
        <rFont val="Gill Sans MT"/>
        <family val="2"/>
      </rPr>
      <t>HTS_Index</t>
    </r>
  </si>
  <si>
    <r>
      <t xml:space="preserve">1.1.2 HTS_TST: </t>
    </r>
    <r>
      <rPr>
        <b/>
        <sz val="18"/>
        <color theme="1"/>
        <rFont val="Gill Sans MT"/>
        <family val="2"/>
      </rPr>
      <t>Emergency</t>
    </r>
  </si>
  <si>
    <r>
      <t xml:space="preserve">1.1.3 HTS_TST: </t>
    </r>
    <r>
      <rPr>
        <b/>
        <sz val="18"/>
        <color theme="1"/>
        <rFont val="Gill Sans MT"/>
        <family val="2"/>
      </rPr>
      <t>Inpatient</t>
    </r>
  </si>
  <si>
    <r>
      <t xml:space="preserve">1.1.4 HTS_TST: </t>
    </r>
    <r>
      <rPr>
        <b/>
        <sz val="18"/>
        <color theme="1"/>
        <rFont val="Gill Sans MT"/>
        <family val="2"/>
      </rPr>
      <t>Malnutrition</t>
    </r>
  </si>
  <si>
    <r>
      <t>1.1.5 HTS_TST:</t>
    </r>
    <r>
      <rPr>
        <b/>
        <sz val="18"/>
        <color theme="1"/>
        <rFont val="Gill Sans MT"/>
        <family val="2"/>
      </rPr>
      <t>Pediatric</t>
    </r>
    <r>
      <rPr>
        <sz val="18"/>
        <color theme="1"/>
        <rFont val="Gill Sans MT"/>
        <family val="2"/>
      </rPr>
      <t xml:space="preserve"> 
(&lt; 5 Yrs)</t>
    </r>
  </si>
  <si>
    <r>
      <t xml:space="preserve">1.1.6 HTS_TST: </t>
    </r>
    <r>
      <rPr>
        <b/>
        <sz val="18"/>
        <color theme="1"/>
        <rFont val="Gill Sans MT"/>
        <family val="2"/>
      </rPr>
      <t>STI</t>
    </r>
  </si>
  <si>
    <r>
      <t xml:space="preserve">1.1.7 HTS_TST:  </t>
    </r>
    <r>
      <rPr>
        <b/>
        <sz val="18"/>
        <color theme="1"/>
        <rFont val="Gill Sans MT"/>
        <family val="2"/>
      </rPr>
      <t>TB</t>
    </r>
    <r>
      <rPr>
        <sz val="18"/>
        <color theme="1"/>
        <rFont val="Gill Sans MT"/>
        <family val="2"/>
      </rPr>
      <t xml:space="preserve"> </t>
    </r>
    <r>
      <rPr>
        <sz val="18"/>
        <rFont val="Gill Sans MT"/>
        <family val="2"/>
      </rPr>
      <t>( autopopulated)</t>
    </r>
  </si>
  <si>
    <r>
      <t xml:space="preserve">1.1.8 HTS_TST: </t>
    </r>
    <r>
      <rPr>
        <b/>
        <sz val="18"/>
        <color theme="1"/>
        <rFont val="Gill Sans MT"/>
        <family val="2"/>
      </rPr>
      <t>PMTCT ANC 1</t>
    </r>
    <r>
      <rPr>
        <sz val="18"/>
        <color theme="1"/>
        <rFont val="Gill Sans MT"/>
        <family val="2"/>
      </rPr>
      <t xml:space="preserve"> Only</t>
    </r>
  </si>
  <si>
    <r>
      <t xml:space="preserve">1.1.9 HTS_TST: </t>
    </r>
    <r>
      <rPr>
        <b/>
        <sz val="18"/>
        <color theme="1"/>
        <rFont val="Gill Sans MT"/>
        <family val="2"/>
      </rPr>
      <t>PMTCT Post ANC 1</t>
    </r>
    <r>
      <rPr>
        <sz val="18"/>
        <color theme="1"/>
        <rFont val="Gill Sans MT"/>
        <family val="2"/>
      </rPr>
      <t xml:space="preserve">: </t>
    </r>
    <r>
      <rPr>
        <b/>
        <sz val="18"/>
        <color theme="1"/>
        <rFont val="Gill Sans MT"/>
        <family val="2"/>
      </rPr>
      <t>Pregnant/L&amp;D</t>
    </r>
  </si>
  <si>
    <r>
      <t xml:space="preserve">1.1.10 HTS_TST: </t>
    </r>
    <r>
      <rPr>
        <b/>
        <sz val="18"/>
        <color theme="1"/>
        <rFont val="Gill Sans MT"/>
        <family val="2"/>
      </rPr>
      <t>PMTCT Post ANC 1: Breastfeeding</t>
    </r>
  </si>
  <si>
    <r>
      <t>1.1.11 Total HTS_TST:</t>
    </r>
    <r>
      <rPr>
        <b/>
        <sz val="18"/>
        <color theme="1"/>
        <rFont val="Gill Sans MT"/>
        <family val="2"/>
      </rPr>
      <t>PMTCT</t>
    </r>
    <r>
      <rPr>
        <sz val="18"/>
        <color theme="1"/>
        <rFont val="Gill Sans MT"/>
        <family val="2"/>
      </rPr>
      <t xml:space="preserve"> </t>
    </r>
    <r>
      <rPr>
        <b/>
        <sz val="18"/>
        <color theme="1"/>
        <rFont val="Gill Sans MT"/>
        <family val="2"/>
      </rPr>
      <t>Post ANC 1 (Linkage)</t>
    </r>
  </si>
  <si>
    <r>
      <t xml:space="preserve">1.1.12 HTS_TST: </t>
    </r>
    <r>
      <rPr>
        <b/>
        <sz val="18"/>
        <color theme="1"/>
        <rFont val="Gill Sans MT"/>
        <family val="2"/>
      </rPr>
      <t>VCT</t>
    </r>
  </si>
  <si>
    <r>
      <t>1.1.13 HTS_TST:</t>
    </r>
    <r>
      <rPr>
        <b/>
        <sz val="18"/>
        <color theme="1"/>
        <rFont val="Gill Sans MT"/>
        <family val="2"/>
      </rPr>
      <t>Social Network Strategy (SNS)</t>
    </r>
  </si>
  <si>
    <r>
      <t xml:space="preserve">1.1.14 HTS_TST </t>
    </r>
    <r>
      <rPr>
        <b/>
        <sz val="18"/>
        <color theme="1"/>
        <rFont val="Gill Sans MT"/>
        <family val="2"/>
      </rPr>
      <t>Other PITC</t>
    </r>
    <r>
      <rPr>
        <sz val="18"/>
        <color theme="1"/>
        <rFont val="Gill Sans MT"/>
        <family val="2"/>
      </rPr>
      <t xml:space="preserve"> (OPD, other testing SDPs not listed above)</t>
    </r>
  </si>
  <si>
    <r>
      <t xml:space="preserve"> 1.1.15 Total HTS_TST (</t>
    </r>
    <r>
      <rPr>
        <i/>
        <sz val="18"/>
        <color theme="1"/>
        <rFont val="Gill Sans MT"/>
        <family val="2"/>
      </rPr>
      <t>Including PMTCT and TB</t>
    </r>
    <r>
      <rPr>
        <b/>
        <sz val="18"/>
        <color theme="1"/>
        <rFont val="Gill Sans MT"/>
        <family val="2"/>
      </rPr>
      <t>)</t>
    </r>
  </si>
  <si>
    <r>
      <t xml:space="preserve">2.1.1  Initiated (New) on PrEP by </t>
    </r>
    <r>
      <rPr>
        <b/>
        <sz val="18"/>
        <color theme="1"/>
        <rFont val="Gill Sans MT"/>
        <family val="2"/>
      </rPr>
      <t>population type</t>
    </r>
  </si>
  <si>
    <r>
      <rPr>
        <sz val="18"/>
        <color theme="1"/>
        <rFont val="Gill Sans MT"/>
        <family val="2"/>
      </rPr>
      <t xml:space="preserve">2.1.4 PrEP </t>
    </r>
    <r>
      <rPr>
        <b/>
        <sz val="18"/>
        <color theme="1"/>
        <rFont val="Gill Sans MT"/>
        <family val="2"/>
      </rPr>
      <t>Initiation by Type</t>
    </r>
  </si>
  <si>
    <r>
      <rPr>
        <sz val="18"/>
        <color theme="1"/>
        <rFont val="Gill Sans MT"/>
        <family val="2"/>
      </rPr>
      <t>2.1.3 PrEP Initiation by</t>
    </r>
    <r>
      <rPr>
        <b/>
        <sz val="18"/>
        <color theme="1"/>
        <rFont val="Gill Sans MT"/>
        <family val="2"/>
      </rPr>
      <t xml:space="preserve"> Distribution Type</t>
    </r>
  </si>
  <si>
    <r>
      <t>1.2.1</t>
    </r>
    <r>
      <rPr>
        <b/>
        <sz val="18"/>
        <color theme="1"/>
        <rFont val="Gill Sans MT"/>
        <family val="2"/>
      </rPr>
      <t xml:space="preserve"> Test kits distributed</t>
    </r>
  </si>
  <si>
    <r>
      <t>5.1.1 Starting ART (</t>
    </r>
    <r>
      <rPr>
        <b/>
        <sz val="18"/>
        <color theme="1"/>
        <rFont val="Gill Sans MT"/>
        <family val="2"/>
      </rPr>
      <t>TX_New</t>
    </r>
    <r>
      <rPr>
        <sz val="18"/>
        <color theme="1"/>
        <rFont val="Gill Sans MT"/>
        <family val="2"/>
      </rPr>
      <t>)</t>
    </r>
  </si>
  <si>
    <r>
      <t xml:space="preserve">5.1.2 Starting ART (TX_New) by </t>
    </r>
    <r>
      <rPr>
        <b/>
        <sz val="18"/>
        <color theme="1"/>
        <rFont val="Gill Sans MT"/>
        <family val="2"/>
      </rPr>
      <t>Population type</t>
    </r>
  </si>
  <si>
    <r>
      <rPr>
        <sz val="16"/>
        <color theme="1"/>
        <rFont val="Gill Sans MT"/>
        <family val="2"/>
      </rPr>
      <t>5.1.3 Starting ART (TX_New)</t>
    </r>
    <r>
      <rPr>
        <b/>
        <sz val="16"/>
        <color theme="1"/>
        <rFont val="Gill Sans MT"/>
        <family val="2"/>
      </rPr>
      <t xml:space="preserve"> Breastfeeding</t>
    </r>
  </si>
  <si>
    <t>This is a count of Index clients (newly diagnosed positive or previously known positives who may or may not be on ART) who were offered (e.g., counseled on) Index testing services (regardless of whether or not those services were accepted by the Index client)</t>
  </si>
  <si>
    <t>This is a count of Index clients who accepted (e.g., agreed to) provision of Index testing services by a provider (including, counseling on Index testing, elicitation of current or past sexual partners/partner notification etc.</t>
  </si>
  <si>
    <t>Index testing register, colm "d" vs "r"</t>
  </si>
  <si>
    <t>This is a count of contacts provided by the Index client as a result of accepting Index testing services.  Note: contacts are only sexual partners, biological children/parents, and anyone with whom a needle was shared.</t>
  </si>
  <si>
    <t>Index testing register, colm "t"</t>
  </si>
  <si>
    <t>Index testing register, colm "ac"</t>
  </si>
  <si>
    <t>This is the count of contacts provided by te Index clients who received a recent HIV test and they are not eligible for a HIV test.</t>
  </si>
  <si>
    <t>This is account of contacts of an Index client, tested through Index testing services and received results</t>
  </si>
  <si>
    <t>Index testing register, colm "an"</t>
  </si>
  <si>
    <t>This is the count of contacts of Index client who was tested positive and was made aware of their HIV positive results.</t>
  </si>
  <si>
    <t>Index testing register, colm "ao"</t>
  </si>
  <si>
    <t>Index testing register, colm "ar"</t>
  </si>
  <si>
    <t>This is an autocalculated section of the linkage within Index testing mordality</t>
  </si>
  <si>
    <t>This is account of contacts of an Index client, tested through Index testing services and received Negative results</t>
  </si>
  <si>
    <t>This is account of contacts of an Index client, tested through Index testing services and received Negative results and initiated on PrEP (Use the PrEP number as proxxy)</t>
  </si>
  <si>
    <t>Index testing register, colm "as"</t>
  </si>
  <si>
    <t>This is a count of persons tested in a designated emergency department or ward for the immediate care and treatment of an unforeseen illness or injury.</t>
  </si>
  <si>
    <t>HTS Lab register colm "n"</t>
  </si>
  <si>
    <t>Referral and Linkage Register colm "h"</t>
  </si>
  <si>
    <t>1.1.7 HTS_TST:  TB ( autopopulated)</t>
  </si>
  <si>
    <t>This is a count of persons tested for HIV because they are a confirmed TB case.</t>
  </si>
  <si>
    <t>This is a count of persons tested HIV positive because they are a confirmed TB case.</t>
  </si>
  <si>
    <t>1.1.8 HTS_TST: PMTCT ANC 1 Only (autopopulated)</t>
  </si>
  <si>
    <t>This is a count of persons tested for HIV at ANC 1 Only</t>
  </si>
  <si>
    <t>This is a count of persons tested HIV positive at ANC 1 Only</t>
  </si>
  <si>
    <t>This Autocalated section of the linkage at 1st ANC</t>
  </si>
  <si>
    <t>1.1.9 HTS_TST: PMTCT Post ANC 1: Pregnant/L&amp;D (autopopulated)</t>
  </si>
  <si>
    <t>This is a count of persons tested for HIV at ANC 2 and above and L&amp;D</t>
  </si>
  <si>
    <t>This is a count of persons tested HIV positive at ANC 2 and above/L&amp;D</t>
  </si>
  <si>
    <t>1.1.10 HTS_TST: PMTCT Post ANC 1: Breastfeeding (autopopulated)</t>
  </si>
  <si>
    <t>This is a count of persons tested for HIV at Post Natal (PNC &lt;= 6wks and PNC &gt;weeks to 6 months)</t>
  </si>
  <si>
    <t>This is a count of persons tested HIV positive at Post Natal (PNC &lt;= 6wks and PNC &gt;weeks to 6 months)</t>
  </si>
  <si>
    <t>1.1.11 Total HTS_TST:PMTCT Post ANC 1 (Linkage) (autopopulated)</t>
  </si>
  <si>
    <t>This Autocalated section of the linkage at post natal clinic</t>
  </si>
  <si>
    <t>This Autocalated section of the linkage in VCT</t>
  </si>
  <si>
    <t>Social Network Strategy Register colm "aa"</t>
  </si>
  <si>
    <t>Social Network Strategy Register colm "bc"</t>
  </si>
  <si>
    <t>Social Network Strategy Register colm "be"</t>
  </si>
  <si>
    <t>Social Network Strategy Register colm "ca"</t>
  </si>
  <si>
    <t>This is a count of social contacts tested through SNS testing services and received Negative results</t>
  </si>
  <si>
    <t>This is a count of social contacts, tested through SNS testing services and received Negative results and initiated on PrEP</t>
  </si>
  <si>
    <t>Social Network Strategy Register colm "da"</t>
  </si>
  <si>
    <t>This Autocalated section of the HIV testing  through all the available mordalities</t>
  </si>
  <si>
    <t>This Autocalated section from all the Clients tested HIV positive through all the available Mordalities</t>
  </si>
  <si>
    <t>This Autocalated section from all the Clients tested HIV positive Linked within this site (Intra-facility Linkage)</t>
  </si>
  <si>
    <t>This Autocalated section from all the Clients tested HIV positive Linked in another UTJ Site (inter-facility linkage)</t>
  </si>
  <si>
    <t>This Autocalated section from all the Clients tested HIV positive Linked in another non-UTJ Site (inter-facility linkage)</t>
  </si>
  <si>
    <t>This Autocalated section of the linkage within all testing mordalitties</t>
  </si>
  <si>
    <t>This data element is a total of all FSWs tested during the reporting period (This includes only walk-in FSWs in the facility)</t>
  </si>
  <si>
    <t>HTS Lab register colm "i" and "n"</t>
  </si>
  <si>
    <t>This data element is a total of all FSWs tested HIV positive during the reporting period (This includes only walk-in FSWs in the facility)</t>
  </si>
  <si>
    <t>This data element is a total of all MSMs tested during the reporting period (This includes only walk-in MSMs in the facility)</t>
  </si>
  <si>
    <t>This data element is a total of all MSMs tested HIV positive during the reporting period (This includes only walk-in MSMs in the facility)</t>
  </si>
  <si>
    <t xml:space="preserve">Directly Assisted  </t>
  </si>
  <si>
    <t>HIV Selt Testing Register colm "m" and "n"</t>
  </si>
  <si>
    <t>HIV Selt Testing Register colm "k", "m" and "n"</t>
  </si>
  <si>
    <t>HIV Selt Testing Register colm "m","n" and "u"</t>
  </si>
  <si>
    <t>Initiated (new) on PrEP (autocalculated)</t>
  </si>
  <si>
    <t>Discordant Couple</t>
  </si>
  <si>
    <t>This is the count  by age and sex for Discordant Couple who have been inititaed on pre-exposure prophylaxis during the reporting period after meeting eligibility criteria for PrEP</t>
  </si>
  <si>
    <t>PrEP Daily Activity Register colm "b" and "g"</t>
  </si>
  <si>
    <t>This is the count  by age and sex for People who inject drugs (PWID) who have been inititaed on pre-exposure prophylaxis during the reporting period after meeting eligibility criteria for PrEP</t>
  </si>
  <si>
    <t>This is the count  by age and sex for Men who have sex with men (MSM) who have been inititaed on pre-exposure prophylaxis during the reporting period after meeting eligibility criteria for PrEP</t>
  </si>
  <si>
    <t>This is the count  by age and sex for Female sex workers (FSW) who have been inititaed on pre-exposure prophylaxis during the reporting period after meeting eligibility criteria for PrEP</t>
  </si>
  <si>
    <t>This is the count  by age and sex for Adolescent Girls and Young Women who have been inititaed on pre-exposure prophylaxis during the reporting period after meeting eligibility criteria for PrEP</t>
  </si>
  <si>
    <t>Men at high risk (Other Men)</t>
  </si>
  <si>
    <t>This is the count  by age and sex for Men at high risk who have been inititaed on pre-exposure prophylaxis during the reporting period after meeting eligibility criteria for PrEP</t>
  </si>
  <si>
    <t>This is the count  by age and sex for Other Women who have been inititaed on pre-exposure prophylaxis during the reporting period after meeting eligibility criteria for PrEP</t>
  </si>
  <si>
    <t>Pregnant and Breast Feeding Women ( auto-calculated )</t>
  </si>
  <si>
    <t>This Autocalated section of the PrEP Initiation for Pregnant and breastfeeding mothers (2.1.2)</t>
  </si>
  <si>
    <t>PrEP Daily Activity Register colm "j"</t>
  </si>
  <si>
    <t>Clients initiated on PrEP previous quarters and returned for a follow-up visit or re-initiation (restart) during the current Quarter (excluding those newly enrolled on PrEP within the quarter )
Note: a client cannot be reported on both PrEP_New and PrEP_CT within the same quarter</t>
  </si>
  <si>
    <t>PrEP Daily Activity Register colm "h"</t>
  </si>
  <si>
    <t>PrEP Daily Activity Register colm "k"</t>
  </si>
  <si>
    <t>PrEP Daily Activity Register colm "g" and "h"</t>
  </si>
  <si>
    <t>PrEP Daily Activity Register colm "h" and "j"</t>
  </si>
  <si>
    <t>ANC Register colm "b" and "d"</t>
  </si>
  <si>
    <t>ANC Register colm "ab"</t>
  </si>
  <si>
    <t>ANC Register colm "d", "ab", "af"</t>
  </si>
  <si>
    <t>ANC Register colm "ag"</t>
  </si>
  <si>
    <t>ANC Register colm "aq" code 2 or 3</t>
  </si>
  <si>
    <t>Total Unlinked (auto-calculated)</t>
  </si>
  <si>
    <t>ANC1 clients with known HIV status (PMTCT_STAT_Num)(auto-calculated)</t>
  </si>
  <si>
    <t>3.1.2  HTS_TST: ANC 2 visit and above 
(includes 2nd, 3rd, 4th ANC visits etc.)
(includes 2nd, 3rd, 4th ANC visits etc.)</t>
  </si>
  <si>
    <t>3.1.3 HTS_TST: L&amp;D (Maternity)</t>
  </si>
  <si>
    <t>Maternity register colm "al"</t>
  </si>
  <si>
    <t>This is a count of women who tested positive at L&amp;D among the initial tests</t>
  </si>
  <si>
    <t>3.1.3 HTS_TST: PNC</t>
  </si>
  <si>
    <t>PNC register colm "y" and "ac"</t>
  </si>
  <si>
    <t xml:space="preserve"> This is a count of all women who were not test during ANC or at labour and delivery but take first HIV test for the  pregnancy but tested HIV positive within 6 weeks of post natal period.</t>
  </si>
  <si>
    <t>This is a count of all women who were not test during ANC, labour and delivery or PNC&lt;=6 weeks but took first HIV test for pregnancy at Post natala between 6 weeks to 6 months.</t>
  </si>
  <si>
    <t>PNC register colm "y" and "ad"</t>
  </si>
  <si>
    <t>This is a count of all women who were not test during ANC, labour and delivery or PNC&lt;=6 weeks but took first HIV test for pregnancy but tested HIV positive at Post natal between 6 weeks to 6 months.</t>
  </si>
  <si>
    <t>This is a count of all women who had tested HIV negative at any time during ANC, labour &amp; delivery or PNC&lt;= 6 weeks who undergo another HIV test within at PNC &gt; 6 weeks to 6 months.</t>
  </si>
  <si>
    <t>This is a count of all women who had tested HIV negative at any time during ANC, labour &amp; delivery or PNC&lt;= 6 weeks who undergo another HIV test and tested HIV positive at Post natal between 6 weeks to 6 months.</t>
  </si>
  <si>
    <t>3.1.4 HTS_TST: PMTCT POST ANC 1
(ANC 2 and above , L&amp;D, PNC &lt;=6 wks, PNC&gt;6wks-6mths)</t>
  </si>
  <si>
    <t>Auto-Calculated</t>
  </si>
  <si>
    <t>ANC Register "ag" Maternity register "am" PNC "af" and "ah"</t>
  </si>
  <si>
    <t>ANC Register colm "ab" and "ag"</t>
  </si>
  <si>
    <t>3.2.1.2 ANC 2 and above (includes 2nd, 3rd, 4th ANC visits etc)</t>
  </si>
  <si>
    <t>Maternity register colm "al" and "am"</t>
  </si>
  <si>
    <t>PNC register  Colmn "y" and "af"</t>
  </si>
  <si>
    <t>PNC register  Colmn "y" and "ah"</t>
  </si>
  <si>
    <t>3.2.2.1 Infant Prophylaxis 
(Accounting both initial and retest positives)
NB: use  mother's age for reporting</t>
  </si>
  <si>
    <t>This is a count of all women who were pre-issued with ARVs at ANC 1 to be given to the baby on delivery.  Note: This data element counts mothers as a proxy count for infants.</t>
  </si>
  <si>
    <t>ANC Register colm "ah"</t>
  </si>
  <si>
    <t>This is a count of all women who were pre-issued with ARVs at ANC 2 and above to be given to the baby on delivery.  Note: This data element counts mothers as a proxy count for infants.</t>
  </si>
  <si>
    <t>Maternity register colm "an"</t>
  </si>
  <si>
    <t>This data element is a count of infants issued with ARV prophylaxis at PNC&gt;= 6 weeks weeks after birth. Note: Do not count infants whose mothers were pre-issued with ARV prophylaxis during pregnancy or those infants who were provided with ARVprophylaxis during labour and delivery</t>
  </si>
  <si>
    <t>PNC register colm "ae"</t>
  </si>
  <si>
    <t>This data element is a count of infants issued with ARV prophylaxis 6 weeks to 6 months after birth. Note: Do not count infants whose mothers were pre-issued with ARV prophylaxis during pregnancy or those infants who were provided with ARV prophylaxis during labour and delivery or those provided at PNC&gt;= 6 weeks</t>
  </si>
  <si>
    <t>PNC register colm "ag"</t>
  </si>
  <si>
    <t>TB4 Register - Colm Type of Patient (New, TLF, R, THU, TF and PT</t>
  </si>
  <si>
    <t>TB cases with known HIV +ve status (KP) at entry in TB clinic (TB_STAT_KP)</t>
  </si>
  <si>
    <t>TB4 Register - HIV test and Date done</t>
  </si>
  <si>
    <t>TB4 Register - ART (Y/N)</t>
  </si>
  <si>
    <t>This is Autocalculated sum of all ctive clients dispensed drugs</t>
  </si>
  <si>
    <t>EMR/DAR MOH 366 (count of PMTCT clients only)</t>
  </si>
  <si>
    <t>/EMR/DAR MOH 366</t>
  </si>
  <si>
    <t>DAR MOH 366/ EMR</t>
  </si>
  <si>
    <t>No. of patients whose specimens were sent for Smear Microscopy Only</t>
  </si>
  <si>
    <t>No. of patients whose specimens were sent for mWRD (molecular WHO-recommended rapid diagnostic testing) e.g., Gene Xpert/ TB LAM, Truenat MTB</t>
  </si>
  <si>
    <t>No. of patients done for other (additional) test other than mWRD (e.g CXR)</t>
  </si>
  <si>
    <t xml:space="preserve">This can be generated by counting the total number of patients New on ART and were initiated on other forms of TPT  (Rifampcin &amp; Rifapentine) during the reporting period </t>
  </si>
  <si>
    <t xml:space="preserve">TPT register </t>
  </si>
  <si>
    <t xml:space="preserve">This can be generated by counting the total number of patients Already on ART and were initiated on other forms of TPT  (Rifampcin &amp; Rifapentine) during the reporting period </t>
  </si>
  <si>
    <t xml:space="preserve">This can be generated by counting the total number of patients New on ART and were initiated on IPT (Isoniazid) during the reporting period </t>
  </si>
  <si>
    <t xml:space="preserve">IPT/TPT register </t>
  </si>
  <si>
    <t xml:space="preserve">This can be generated by counting the total number of patients Already on ART and were initiated on IPT (Isoniazid)during the reporting period </t>
  </si>
  <si>
    <t>6.2 TPT Uptake (including IPT) Among Current On ART (TX_CURR)</t>
  </si>
  <si>
    <t>This is a count of individuals currently on ART who have ever Eligible for IPT/TPT Initiation (including Isoniazid, Rifampcin &amp; Rifapentine)</t>
  </si>
  <si>
    <t>This is a count of individuals currently on ART who have ever Eligible and initated on IPT/TPT Initiation (including Isoniazid, Rifampcin &amp; Rifapentine)</t>
  </si>
  <si>
    <t xml:space="preserve">New on ART (TPT) </t>
  </si>
  <si>
    <t>A count of PLHIV New on ART who were initiated on TPT (Rifampcin &amp; Rifapentine) 3 months ago.</t>
  </si>
  <si>
    <t>A count of PLHIV Already on ART who were initiated on TPT (Rifampcin &amp; Rifapentine) 3 months ago.</t>
  </si>
  <si>
    <t xml:space="preserve">New on ART (IPT) </t>
  </si>
  <si>
    <t>A count of PLHIV New on ART who were initiated on IPT (isoniazid) 6 months ago.</t>
  </si>
  <si>
    <t>A count of PLHIV Already on ART who were initiated on IPT (isoniazid) 6 months ago.</t>
  </si>
  <si>
    <t>6.3.2.1 Clients on ART Initated on Rifampcin &amp; Rifapentine 3 months ago 
(3-HP) and completed the full course of therapy</t>
  </si>
  <si>
    <t>A count of PLHIV who completed the full course of therapy among the New on ART initiated on TPT (Rifampcin &amp; Rifapentine) 3 months ago.</t>
  </si>
  <si>
    <t>A count of PLHIV who completed the full course of therapy among the Already on ART initiated on TPT (Rifampcin &amp; Rifapentine) 3 months ago.</t>
  </si>
  <si>
    <t>6.3.2.2 Clients on ART Initiated on IPT (Isoniazid) 6 months ago (6-H) and completed the full course of therapy</t>
  </si>
  <si>
    <t>A count of PLHIV who completed the full course of therapy amongthe New on ART initiated on IPT (isoniazid) 6 months ago.</t>
  </si>
  <si>
    <t>A count of PLHIV who completed the full course of therapy among Already on ART initiated on IPT (isoniazid) 6 months ago.</t>
  </si>
  <si>
    <t>A count of HIV-positive women on ART who received a Negative first time screening result for cervical cancer (ie Indicates that neither a lesion, nor any indication of invasive cervical cancer were visualized during the VIA test.for cervical cancer</t>
  </si>
  <si>
    <t>Cervical cancer screening register "c", "j/k", "u"</t>
  </si>
  <si>
    <t>A count of HIV-positive women on ART who received a positive first time screening result for cervical cancer (ie Indicates visualized presence of aceto-white lesion on the cervix following the application of acetic acid)</t>
  </si>
  <si>
    <t>A count of HIV-positive women on ART were suspected for cervical cancer (ie Indicates visualized presence of a fulminating mass, or other clinical indicator suspicious for invasive cervical cancer</t>
  </si>
  <si>
    <t>Autocalculated</t>
  </si>
  <si>
    <t>A count of all women of reproductive age who screened at the 1st time and turned positive for cervical cancer and where treated by Cryotherapy. (The primary outpatient ablative treatment for small precancerous cervical lesions.)</t>
  </si>
  <si>
    <t>Cervical cancer screening register "m" and "u"</t>
  </si>
  <si>
    <t>A count of all women of reproductive age who screened at the 1st time and turned positive for cervical cancer and where treated by LEEP. (An outpatient ablative treatment for small precancerous cervical lesions that uses electricity to generate temperatures of 100–120 °C for ablation of cervical lesions for all stages of cervical cancer)</t>
  </si>
  <si>
    <t>Cervical cancer screening register "o" and "u"</t>
  </si>
  <si>
    <t>A count of all women of reproductive age who screened at the 1st time and turned positive for cervical cancer and where treated by thermocoagulation. (Primary outpatient treatment for large precancerous cervical lesions that involves the removal of abnormal areas from the cervix and the entire transformation zone, using a loop made of thin wire powered by an electrosurgical unit)</t>
  </si>
  <si>
    <t>Cervical cancer screening register "n" and "u"</t>
  </si>
  <si>
    <t>Other Treatment methods (Radiotherapy, chemotherapy, Surgery)</t>
  </si>
  <si>
    <t>A count of all women of reproductive age screened cervical cancer positive who where treated using other treatment methods (Radiotherapy, chemotherapy,Surgery)</t>
  </si>
  <si>
    <t>Number of HIV-positive women on ART who rescreened Negative for cervical cancer  after previous negative result (ie Indicates that neither a lesion, nor any indication of invasive cervical cancer were visualized during the VIA test.for cervical cancer</t>
  </si>
  <si>
    <t>Number of HIV-positive women on ARTwho rescreened positive for cervical cancer  after previous negative result (ie Indicates visualized presence of aceto-white lesion on the cervix following the application of acetic acid)</t>
  </si>
  <si>
    <t>Number of HIV-positive women on ART suspected for cervical cancer  after previous negative result (ie Indicates visualized presence of a fulminating mass, or other clinical indicator suspicious for invasive cervical cancer</t>
  </si>
  <si>
    <t>A count of all women of reproductive age who rescreened cervical cancer positive after previous negative result and where treated by Cryotherapy. (The primary outpatient ablative treatment for small precancerous cervical lesions.)</t>
  </si>
  <si>
    <t>A count of all women of reproductive age who rescreened cervical cancer positive after previous negative result and where treated by LEEP. (An outpatient ablative treatment for small precancerous cervical lesions that uses electricity to generate temperatures of 100–120 °C for ablation of cervical lesions for all stages of cervical cancer)</t>
  </si>
  <si>
    <t>A count of all women of reproductive age who rescreened cervical cancer positive after previous negative result and where treated by thermocoagulation. (Primary outpatient treatment for large precancerous cervical lesions that involves the removal of abnormal areas from the cervix and the entire transformation zone, using a loop made of thin wire powered by an electrosurgical unit)</t>
  </si>
  <si>
    <t>A count of all women of reproductive age who rescreened cervical cancer positive after previous negative result and where treated using other treatment methods (Radiotherapy, chemotherapy, surgery)</t>
  </si>
  <si>
    <t>Number of HIV-positive women on ART screened Negative for cervical cancer Post Treatment follow-up (ie Indicates that neither a lesion, nor any indication of invasive cervical cancer were visualized during the VIA test.for cervical cancer</t>
  </si>
  <si>
    <t>Number of HIV-positive women on ART screened positive for cervical cancer Post Treatment follow-up (ie Indicates visualized presence of aceto-white lesion on the cervix following the application of acetic acid)</t>
  </si>
  <si>
    <t xml:space="preserve">Number of HIV-positive women on ARTsuspected with cervical cancer Post Treatment follow-up (ie Indicates visualized presence of a fulminating mass, or other clinical indicator suspicious for invasive cervical cancer </t>
  </si>
  <si>
    <t>A count of all women of reproductive age screened  positive or are Suspected cancer Post treatment follow up and where treated by Cryotherapy (The primary outpatient ablative treatment for small precancerous cervical lesions)</t>
  </si>
  <si>
    <t>A count of all women of reproductive age screened  positive or are Suspected cancer Post treatment follow up and where treated by LEEP. (An outpatient ablative treatment for small precancerous cervical lesions that uses electricity to generate temperatures of 100–120 °C for ablation of cervical lesions for all stages of cervical cancer)</t>
  </si>
  <si>
    <t>A count of all women of reproductive age screened  positive or are Suspected cancer Post treatment follow up and where treated by thermocoagulation. Primary outpatient treatment for large precancerous cervical lesions that involves the removal of abnormal areas from the cervix and the entire transformation zone, using a loop made of thin wire powered by an electrosurgical unit</t>
  </si>
  <si>
    <t>A count of all women of reproductive age screened  positive or are Suspected cancer Post treatment follow up and where treated using other treatment methods (Radiotherapy, chemotherapy, surgery)</t>
  </si>
  <si>
    <t>8.1 POST_RESP (autocalculated)</t>
  </si>
  <si>
    <t>This is a count of persons receiving post- SPEV clinical care, disaggregated by the age group and sex of the client receiving the service</t>
  </si>
  <si>
    <t xml:space="preserve">GBV register </t>
  </si>
  <si>
    <t>This is a count of persons receiving post- Physical and Emotional Violence (PEV) clinical care,disaggregated by the age group and sex of the client receiving the service</t>
  </si>
  <si>
    <t>Number of people receiving post sexual violence (SV) clinical care ( including Rape, defilement, attempted rape/defilement, sexual assault, FGM, Early marriages)</t>
  </si>
  <si>
    <t>This is a count of persons receiving post- Sexual Violence (SEV) clinical care,disaggregated by the age group and sex of the client receiving the service</t>
  </si>
  <si>
    <t>This is a count of total number of rape/defilement survivors, receiving post- response clinical care,disaggregated by the age group and sex of the client receiving the service</t>
  </si>
  <si>
    <t xml:space="preserve">This is a count of rape/defilement survivors that were tested for HIV and received their test results </t>
  </si>
  <si>
    <t xml:space="preserve">This is a count of rape/defilement survivors that tested HIV positive during their first visit </t>
  </si>
  <si>
    <t>Sexual Rape/defilement Survivors presenting within 72 hours (Negative)</t>
  </si>
  <si>
    <t>This is a count of rape/defilement survivors who tested HIV negative and Came within 72 Hours</t>
  </si>
  <si>
    <t>This is a count of rape/defilement survivors that were given PEP  (This is a subset of the survivors presenting within 72 hours)</t>
  </si>
  <si>
    <t>This is a count of rape/defilement survivors who presented at the facility within 120 hours</t>
  </si>
  <si>
    <t>This is a count of rape/defilement survivors that were elligible for a dose of emergency contraception pill. Count all clients with "Y" or "N" documentation (This is a subset of the survivors presenting withing 120 hours)</t>
  </si>
  <si>
    <t>This is a count of rape/defilement survivors that were given emergency contraception pill. Count only clients with "Y" documentation (This is a subset of the survivors eligible for a dose of ECP)</t>
  </si>
  <si>
    <t xml:space="preserve">This is a count of rape/defilement survivors that were screened for STI </t>
  </si>
  <si>
    <t xml:space="preserve">This is a count of rape/defilement survivors that were tested for STI </t>
  </si>
  <si>
    <t xml:space="preserve">This is a count of rape survivors that tested positive for STI </t>
  </si>
  <si>
    <t>Reporting Month</t>
  </si>
  <si>
    <t>3 Months Cohorts (3-HP)</t>
  </si>
  <si>
    <t>6 Months Cohort (6-H)</t>
  </si>
  <si>
    <t xml:space="preserve">October </t>
  </si>
  <si>
    <t>July</t>
  </si>
  <si>
    <t>April</t>
  </si>
  <si>
    <t>November</t>
  </si>
  <si>
    <t>August</t>
  </si>
  <si>
    <t>May</t>
  </si>
  <si>
    <t>December</t>
  </si>
  <si>
    <t>September</t>
  </si>
  <si>
    <t>June</t>
  </si>
  <si>
    <t>January</t>
  </si>
  <si>
    <t>February</t>
  </si>
  <si>
    <t>March</t>
  </si>
  <si>
    <t>Form 1a Data Element Discription and Data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</si>
</sst>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2" x14ac:knownFonts="1">
    <font>
      <sz val="11"/>
      <color theme="1"/>
      <name val="Calibri"/>
      <family val="2"/>
      <scheme val="minor"/>
    </font>
    <font>
      <sz val="10"/>
      <name val="Arial"/>
      <family val="2"/>
    </font>
    <font>
      <sz val="11"/>
      <color rgb="FF9C5700"/>
      <name val="Calibri"/>
      <family val="2"/>
      <scheme val="minor"/>
    </font>
    <font>
      <sz val="8"/>
      <name val="Calibri"/>
      <family val="2"/>
      <scheme val="minor"/>
    </font>
    <font>
      <sz val="26"/>
      <color theme="1"/>
      <name val="Calibri"/>
      <family val="2"/>
      <scheme val="minor"/>
    </font>
    <font>
      <sz val="18"/>
      <color theme="1"/>
      <name val="Calibri"/>
      <family val="2"/>
      <scheme val="minor"/>
    </font>
    <font>
      <sz val="20"/>
      <color theme="1"/>
      <name val="Calibri"/>
      <family val="2"/>
      <scheme val="minor"/>
    </font>
    <font>
      <b/>
      <sz val="20"/>
      <color theme="1"/>
      <name val="Calibri"/>
      <family val="2"/>
      <scheme val="minor"/>
    </font>
    <font>
      <b/>
      <sz val="18"/>
      <color theme="1"/>
      <name val="Calibri"/>
      <family val="2"/>
      <scheme val="minor"/>
    </font>
    <font>
      <sz val="18"/>
      <color theme="0"/>
      <name val="Calibri"/>
      <family val="2"/>
      <scheme val="minor"/>
    </font>
    <font>
      <sz val="20"/>
      <color theme="4" tint="-0.499984740745262"/>
      <name val="Calibri"/>
      <family val="2"/>
      <scheme val="minor"/>
    </font>
    <font>
      <b/>
      <sz val="22"/>
      <color theme="1"/>
      <name val="Calibri"/>
      <family val="2"/>
      <scheme val="minor"/>
    </font>
    <font>
      <b/>
      <sz val="36"/>
      <color theme="0"/>
      <name val="Calibri"/>
      <family val="2"/>
      <scheme val="minor"/>
    </font>
    <font>
      <sz val="36"/>
      <color theme="0"/>
      <name val="Calibri"/>
      <family val="2"/>
      <scheme val="minor"/>
    </font>
    <font>
      <sz val="36"/>
      <color theme="1"/>
      <name val="Calibri"/>
      <family val="2"/>
      <scheme val="minor"/>
    </font>
    <font>
      <b/>
      <i/>
      <sz val="26"/>
      <color theme="2" tint="-0.499984740745262"/>
      <name val="Calibri"/>
      <family val="2"/>
      <scheme val="minor"/>
    </font>
    <font>
      <b/>
      <sz val="28"/>
      <color theme="1"/>
      <name val="Calibri"/>
      <family val="2"/>
      <scheme val="minor"/>
    </font>
    <font>
      <sz val="28"/>
      <color theme="0"/>
      <name val="Calibri"/>
      <family val="2"/>
      <scheme val="minor"/>
    </font>
    <font>
      <sz val="28"/>
      <color theme="1"/>
      <name val="Calibri"/>
      <family val="2"/>
      <scheme val="minor"/>
    </font>
    <font>
      <sz val="28"/>
      <color theme="2" tint="-0.499984740745262"/>
      <name val="Calibri"/>
      <family val="2"/>
      <scheme val="minor"/>
    </font>
    <font>
      <sz val="22"/>
      <color theme="1"/>
      <name val="Calibri"/>
      <family val="2"/>
      <scheme val="minor"/>
    </font>
    <font>
      <b/>
      <sz val="18"/>
      <color theme="1"/>
      <name val="Gill Sans MT"/>
      <family val="2"/>
    </font>
    <font>
      <b/>
      <sz val="18"/>
      <color theme="0"/>
      <name val="Gill Sans MT"/>
      <family val="2"/>
    </font>
    <font>
      <sz val="18"/>
      <color theme="0"/>
      <name val="Gill Sans MT"/>
      <family val="2"/>
    </font>
    <font>
      <b/>
      <sz val="18"/>
      <color theme="0" tint="-4.9989318521683403E-2"/>
      <name val="Gill Sans MT"/>
      <family val="2"/>
    </font>
    <font>
      <sz val="18"/>
      <color theme="1"/>
      <name val="Gill Sans MT"/>
      <family val="2"/>
    </font>
    <font>
      <i/>
      <sz val="18"/>
      <color theme="1"/>
      <name val="Gill Sans MT"/>
      <family val="2"/>
    </font>
    <font>
      <b/>
      <i/>
      <sz val="18"/>
      <color rgb="FFFFFF00"/>
      <name val="Gill Sans MT"/>
      <family val="2"/>
    </font>
    <font>
      <sz val="18"/>
      <color rgb="FF0070C0"/>
      <name val="Gill Sans MT"/>
      <family val="2"/>
    </font>
    <font>
      <b/>
      <sz val="18"/>
      <color rgb="FFFF0000"/>
      <name val="Gill Sans MT"/>
      <family val="2"/>
    </font>
    <font>
      <sz val="18"/>
      <color theme="5"/>
      <name val="Gill Sans MT"/>
      <family val="2"/>
    </font>
    <font>
      <b/>
      <sz val="18"/>
      <color theme="5"/>
      <name val="Gill Sans MT"/>
      <family val="2"/>
    </font>
    <font>
      <sz val="18"/>
      <name val="Gill Sans MT"/>
      <family val="2"/>
    </font>
    <font>
      <sz val="18"/>
      <color theme="4"/>
      <name val="Gill Sans MT"/>
      <family val="2"/>
    </font>
    <font>
      <b/>
      <sz val="18"/>
      <color theme="4"/>
      <name val="Gill Sans MT"/>
      <family val="2"/>
    </font>
    <font>
      <b/>
      <sz val="18"/>
      <name val="Gill Sans MT"/>
      <family val="2"/>
    </font>
    <font>
      <b/>
      <i/>
      <sz val="18"/>
      <color rgb="FFFF0000"/>
      <name val="Gill Sans MT"/>
      <family val="2"/>
    </font>
    <font>
      <sz val="18"/>
      <color rgb="FFFF0000"/>
      <name val="Gill Sans MT"/>
      <family val="2"/>
    </font>
    <font>
      <i/>
      <sz val="18"/>
      <name val="Gill Sans MT"/>
      <family val="2"/>
    </font>
    <font>
      <b/>
      <i/>
      <sz val="18"/>
      <color theme="1"/>
      <name val="Gill Sans MT"/>
      <family val="2"/>
    </font>
    <font>
      <sz val="18"/>
      <color theme="4" tint="-0.499984740745262"/>
      <name val="Gill Sans MT"/>
      <family val="2"/>
    </font>
    <font>
      <b/>
      <sz val="14"/>
      <color theme="1"/>
      <name val="Calibri"/>
      <family val="2"/>
      <scheme val="minor"/>
    </font>
    <font>
      <b/>
      <sz val="11"/>
      <color theme="1"/>
      <name val="Gill Sans MT"/>
      <family val="2"/>
    </font>
    <font>
      <sz val="14"/>
      <color theme="1"/>
      <name val="Calibri"/>
      <family val="2"/>
      <scheme val="minor"/>
    </font>
    <font>
      <sz val="12"/>
      <color theme="1"/>
      <name val="Gill Sans MT"/>
      <family val="2"/>
    </font>
    <font>
      <b/>
      <sz val="12"/>
      <color theme="1"/>
      <name val="Gill Sans MT"/>
      <family val="2"/>
    </font>
    <font>
      <i/>
      <sz val="18"/>
      <color rgb="FF0070C0"/>
      <name val="Gill Sans MT"/>
      <family val="2"/>
    </font>
    <font>
      <b/>
      <sz val="16"/>
      <color theme="1"/>
      <name val="Gill Sans MT"/>
      <family val="2"/>
    </font>
    <font>
      <sz val="16"/>
      <color theme="1"/>
      <name val="Gill Sans MT"/>
      <family val="2"/>
    </font>
    <font>
      <sz val="11"/>
      <color theme="1"/>
      <name val="Gill Sans MT"/>
      <family val="2"/>
    </font>
    <font>
      <b/>
      <sz val="20"/>
      <color theme="1"/>
      <name val="Gill Sans MT"/>
      <family val="2"/>
    </font>
    <font>
      <sz val="20"/>
      <color theme="1"/>
      <name val="Gill Sans MT"/>
      <family val="2"/>
    </font>
  </fonts>
  <fills count="18">
    <fill>
      <patternFill patternType="none"/>
    </fill>
    <fill>
      <patternFill patternType="gray125"/>
    </fill>
    <fill>
      <patternFill patternType="solid">
        <fgColor theme="0" tint="-0.14999847407452621"/>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theme="0"/>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rgb="FFFFEB9C"/>
      </patternFill>
    </fill>
    <fill>
      <patternFill patternType="solid">
        <fgColor theme="0" tint="-4.9989318521683403E-2"/>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9"/>
        <bgColor indexed="64"/>
      </patternFill>
    </fill>
    <fill>
      <patternFill patternType="solid">
        <fgColor theme="9" tint="0.79998168889431442"/>
        <bgColor indexed="64"/>
      </patternFill>
    </fill>
  </fills>
  <borders count="238">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style="thin">
        <color theme="2" tint="-0.249977111117893"/>
      </left>
      <right style="thin">
        <color theme="2" tint="-0.249977111117893"/>
      </right>
      <top/>
      <bottom style="thin">
        <color theme="2" tint="-0.249977111117893"/>
      </bottom>
      <diagonal/>
    </border>
    <border>
      <left style="medium">
        <color theme="9"/>
      </left>
      <right style="medium">
        <color theme="9"/>
      </right>
      <top style="medium">
        <color theme="9"/>
      </top>
      <bottom style="medium">
        <color theme="9"/>
      </bottom>
      <diagonal/>
    </border>
    <border>
      <left style="thin">
        <color theme="2" tint="-0.249977111117893"/>
      </left>
      <right style="thin">
        <color theme="2" tint="-0.249977111117893"/>
      </right>
      <top style="medium">
        <color theme="9"/>
      </top>
      <bottom style="thin">
        <color theme="2" tint="-0.249977111117893"/>
      </bottom>
      <diagonal/>
    </border>
    <border>
      <left style="thin">
        <color theme="2" tint="-0.249977111117893"/>
      </left>
      <right style="medium">
        <color theme="9"/>
      </right>
      <top style="medium">
        <color theme="9"/>
      </top>
      <bottom style="thin">
        <color theme="2" tint="-0.249977111117893"/>
      </bottom>
      <diagonal/>
    </border>
    <border>
      <left style="thin">
        <color theme="2" tint="-0.249977111117893"/>
      </left>
      <right style="medium">
        <color theme="9"/>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style="medium">
        <color theme="9"/>
      </bottom>
      <diagonal/>
    </border>
    <border>
      <left style="thin">
        <color theme="2" tint="-0.249977111117893"/>
      </left>
      <right style="medium">
        <color theme="9"/>
      </right>
      <top style="thin">
        <color theme="2" tint="-0.249977111117893"/>
      </top>
      <bottom style="medium">
        <color theme="9"/>
      </bottom>
      <diagonal/>
    </border>
    <border>
      <left style="thin">
        <color theme="2" tint="-0.249977111117893"/>
      </left>
      <right style="thin">
        <color theme="2" tint="-0.249977111117893"/>
      </right>
      <top/>
      <bottom/>
      <diagonal/>
    </border>
    <border>
      <left style="medium">
        <color theme="9"/>
      </left>
      <right style="thin">
        <color theme="2" tint="-0.249977111117893"/>
      </right>
      <top style="medium">
        <color theme="9"/>
      </top>
      <bottom style="medium">
        <color theme="9"/>
      </bottom>
      <diagonal/>
    </border>
    <border>
      <left style="thin">
        <color theme="2" tint="-0.249977111117893"/>
      </left>
      <right style="thin">
        <color theme="2" tint="-0.249977111117893"/>
      </right>
      <top style="medium">
        <color theme="9"/>
      </top>
      <bottom style="medium">
        <color theme="9"/>
      </bottom>
      <diagonal/>
    </border>
    <border>
      <left style="thin">
        <color theme="2" tint="-0.249977111117893"/>
      </left>
      <right style="medium">
        <color theme="9"/>
      </right>
      <top style="medium">
        <color theme="9"/>
      </top>
      <bottom style="medium">
        <color theme="9"/>
      </bottom>
      <diagonal/>
    </border>
    <border>
      <left style="thin">
        <color theme="2" tint="-0.249977111117893"/>
      </left>
      <right/>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right/>
      <top style="thin">
        <color theme="2" tint="-0.249977111117893"/>
      </top>
      <bottom style="thin">
        <color theme="2" tint="-0.249977111117893"/>
      </bottom>
      <diagonal/>
    </border>
    <border>
      <left style="medium">
        <color theme="9"/>
      </left>
      <right style="medium">
        <color theme="9"/>
      </right>
      <top style="medium">
        <color theme="9"/>
      </top>
      <bottom style="thin">
        <color theme="2" tint="-0.249977111117893"/>
      </bottom>
      <diagonal/>
    </border>
    <border>
      <left style="medium">
        <color theme="9"/>
      </left>
      <right style="medium">
        <color theme="9"/>
      </right>
      <top style="thin">
        <color theme="2" tint="-0.249977111117893"/>
      </top>
      <bottom style="thin">
        <color theme="2" tint="-0.249977111117893"/>
      </bottom>
      <diagonal/>
    </border>
    <border>
      <left style="medium">
        <color theme="9"/>
      </left>
      <right style="medium">
        <color theme="9"/>
      </right>
      <top style="thin">
        <color theme="2" tint="-0.249977111117893"/>
      </top>
      <bottom style="medium">
        <color theme="9"/>
      </bottom>
      <diagonal/>
    </border>
    <border>
      <left style="thin">
        <color theme="2" tint="-0.249977111117893"/>
      </left>
      <right/>
      <top style="thin">
        <color theme="2" tint="-0.249977111117893"/>
      </top>
      <bottom/>
      <diagonal/>
    </border>
    <border>
      <left style="medium">
        <color theme="9"/>
      </left>
      <right/>
      <top style="medium">
        <color theme="9"/>
      </top>
      <bottom style="thin">
        <color theme="2" tint="-0.249977111117893"/>
      </bottom>
      <diagonal/>
    </border>
    <border>
      <left style="medium">
        <color theme="9"/>
      </left>
      <right/>
      <top style="thin">
        <color theme="2" tint="-0.249977111117893"/>
      </top>
      <bottom style="thin">
        <color theme="2" tint="-0.249977111117893"/>
      </bottom>
      <diagonal/>
    </border>
    <border>
      <left style="medium">
        <color theme="9"/>
      </left>
      <right/>
      <top style="thin">
        <color theme="2" tint="-0.249977111117893"/>
      </top>
      <bottom style="medium">
        <color theme="9"/>
      </bottom>
      <diagonal/>
    </border>
    <border>
      <left/>
      <right style="thin">
        <color theme="2" tint="-0.249977111117893"/>
      </right>
      <top style="medium">
        <color theme="9"/>
      </top>
      <bottom style="thin">
        <color theme="2" tint="-0.249977111117893"/>
      </bottom>
      <diagonal/>
    </border>
    <border>
      <left/>
      <right style="thin">
        <color theme="2" tint="-0.249977111117893"/>
      </right>
      <top style="thin">
        <color theme="2" tint="-0.249977111117893"/>
      </top>
      <bottom style="medium">
        <color theme="9"/>
      </bottom>
      <diagonal/>
    </border>
    <border>
      <left style="thin">
        <color theme="2" tint="-0.249977111117893"/>
      </left>
      <right/>
      <top/>
      <bottom/>
      <diagonal/>
    </border>
    <border>
      <left/>
      <right style="thin">
        <color theme="2" tint="-0.249977111117893"/>
      </right>
      <top/>
      <bottom/>
      <diagonal/>
    </border>
    <border>
      <left style="thin">
        <color theme="2" tint="-0.249977111117893"/>
      </left>
      <right style="medium">
        <color theme="9"/>
      </right>
      <top/>
      <bottom style="thin">
        <color theme="2" tint="-0.249977111117893"/>
      </bottom>
      <diagonal/>
    </border>
    <border>
      <left/>
      <right style="thin">
        <color theme="2" tint="-0.249977111117893"/>
      </right>
      <top style="thin">
        <color theme="2" tint="-0.249977111117893"/>
      </top>
      <bottom/>
      <diagonal/>
    </border>
    <border>
      <left style="thin">
        <color theme="2" tint="-0.249977111117893"/>
      </left>
      <right style="medium">
        <color theme="9"/>
      </right>
      <top style="thin">
        <color theme="2" tint="-0.249977111117893"/>
      </top>
      <bottom/>
      <diagonal/>
    </border>
    <border>
      <left/>
      <right style="thin">
        <color theme="2" tint="-0.249977111117893"/>
      </right>
      <top/>
      <bottom style="thin">
        <color theme="2" tint="-0.249977111117893"/>
      </bottom>
      <diagonal/>
    </border>
    <border>
      <left style="medium">
        <color theme="9"/>
      </left>
      <right/>
      <top style="medium">
        <color theme="9"/>
      </top>
      <bottom style="medium">
        <color theme="9"/>
      </bottom>
      <diagonal/>
    </border>
    <border>
      <left/>
      <right style="thin">
        <color theme="2" tint="-0.249977111117893"/>
      </right>
      <top style="medium">
        <color theme="9"/>
      </top>
      <bottom style="medium">
        <color theme="9"/>
      </bottom>
      <diagonal/>
    </border>
    <border>
      <left style="medium">
        <color theme="9"/>
      </left>
      <right style="medium">
        <color theme="9"/>
      </right>
      <top/>
      <bottom style="thin">
        <color theme="2" tint="-0.249977111117893"/>
      </bottom>
      <diagonal/>
    </border>
    <border>
      <left style="medium">
        <color theme="9"/>
      </left>
      <right style="medium">
        <color theme="9"/>
      </right>
      <top style="thin">
        <color theme="2" tint="-0.249977111117893"/>
      </top>
      <bottom/>
      <diagonal/>
    </border>
    <border>
      <left/>
      <right/>
      <top style="thin">
        <color theme="2" tint="-0.249977111117893"/>
      </top>
      <bottom/>
      <diagonal/>
    </border>
    <border>
      <left/>
      <right/>
      <top/>
      <bottom style="thin">
        <color theme="2" tint="-0.249977111117893"/>
      </bottom>
      <diagonal/>
    </border>
    <border>
      <left style="medium">
        <color theme="9"/>
      </left>
      <right/>
      <top/>
      <bottom style="thin">
        <color theme="2" tint="-0.249977111117893"/>
      </bottom>
      <diagonal/>
    </border>
    <border>
      <left style="thin">
        <color theme="2" tint="-0.249977111117893"/>
      </left>
      <right/>
      <top style="thin">
        <color theme="2" tint="-0.249977111117893"/>
      </top>
      <bottom style="medium">
        <color theme="9"/>
      </bottom>
      <diagonal/>
    </border>
    <border>
      <left/>
      <right/>
      <top style="medium">
        <color theme="9"/>
      </top>
      <bottom style="medium">
        <color theme="9"/>
      </bottom>
      <diagonal/>
    </border>
    <border>
      <left style="medium">
        <color theme="9"/>
      </left>
      <right/>
      <top/>
      <bottom/>
      <diagonal/>
    </border>
    <border>
      <left style="medium">
        <color theme="9"/>
      </left>
      <right style="medium">
        <color theme="9"/>
      </right>
      <top/>
      <bottom/>
      <diagonal/>
    </border>
    <border>
      <left style="medium">
        <color theme="9"/>
      </left>
      <right/>
      <top style="thin">
        <color theme="2" tint="-0.249977111117893"/>
      </top>
      <bottom/>
      <diagonal/>
    </border>
    <border>
      <left style="thin">
        <color theme="2" tint="-0.249977111117893"/>
      </left>
      <right/>
      <top style="medium">
        <color theme="9"/>
      </top>
      <bottom style="medium">
        <color theme="9"/>
      </bottom>
      <diagonal/>
    </border>
    <border>
      <left/>
      <right/>
      <top style="thin">
        <color theme="2" tint="-0.249977111117893"/>
      </top>
      <bottom style="medium">
        <color theme="9"/>
      </bottom>
      <diagonal/>
    </border>
    <border>
      <left/>
      <right/>
      <top style="medium">
        <color theme="9"/>
      </top>
      <bottom style="thin">
        <color theme="2" tint="-0.249977111117893"/>
      </bottom>
      <diagonal/>
    </border>
    <border>
      <left style="medium">
        <color theme="9"/>
      </left>
      <right/>
      <top style="medium">
        <color theme="9"/>
      </top>
      <bottom/>
      <diagonal/>
    </border>
    <border>
      <left style="medium">
        <color theme="9"/>
      </left>
      <right style="thin">
        <color theme="2" tint="-0.249977111117893"/>
      </right>
      <top style="medium">
        <color theme="9"/>
      </top>
      <bottom/>
      <diagonal/>
    </border>
    <border>
      <left style="medium">
        <color theme="9"/>
      </left>
      <right style="medium">
        <color theme="9"/>
      </right>
      <top style="medium">
        <color theme="9"/>
      </top>
      <bottom/>
      <diagonal/>
    </border>
    <border>
      <left style="medium">
        <color theme="9"/>
      </left>
      <right style="medium">
        <color theme="9"/>
      </right>
      <top/>
      <bottom style="medium">
        <color theme="9"/>
      </bottom>
      <diagonal/>
    </border>
    <border>
      <left/>
      <right style="medium">
        <color theme="9"/>
      </right>
      <top style="thin">
        <color theme="2" tint="-0.249977111117893"/>
      </top>
      <bottom style="medium">
        <color theme="9"/>
      </bottom>
      <diagonal/>
    </border>
    <border>
      <left style="thin">
        <color theme="2" tint="-0.249977111117893"/>
      </left>
      <right style="thin">
        <color theme="2" tint="-0.249977111117893"/>
      </right>
      <top style="medium">
        <color theme="9"/>
      </top>
      <bottom/>
      <diagonal/>
    </border>
    <border>
      <left/>
      <right style="medium">
        <color theme="9"/>
      </right>
      <top style="medium">
        <color theme="9"/>
      </top>
      <bottom style="thin">
        <color theme="2" tint="-0.249977111117893"/>
      </bottom>
      <diagonal/>
    </border>
    <border>
      <left/>
      <right style="medium">
        <color theme="9"/>
      </right>
      <top style="thin">
        <color theme="2" tint="-0.249977111117893"/>
      </top>
      <bottom style="thin">
        <color theme="2" tint="-0.249977111117893"/>
      </bottom>
      <diagonal/>
    </border>
    <border>
      <left/>
      <right style="medium">
        <color theme="9"/>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medium">
        <color theme="9"/>
      </bottom>
      <diagonal/>
    </border>
    <border>
      <left style="thin">
        <color theme="0" tint="-0.249977111117893"/>
      </left>
      <right style="thin">
        <color theme="0" tint="-0.249977111117893"/>
      </right>
      <top/>
      <bottom style="thin">
        <color theme="0" tint="-0.249977111117893"/>
      </bottom>
      <diagonal/>
    </border>
    <border>
      <left style="medium">
        <color theme="9"/>
      </left>
      <right style="thin">
        <color theme="2" tint="-0.249977111117893"/>
      </right>
      <top style="medium">
        <color theme="9"/>
      </top>
      <bottom style="thin">
        <color theme="2" tint="-0.249977111117893"/>
      </bottom>
      <diagonal/>
    </border>
    <border>
      <left style="medium">
        <color theme="9"/>
      </left>
      <right style="thin">
        <color theme="2" tint="-0.249977111117893"/>
      </right>
      <top style="thin">
        <color theme="2" tint="-0.249977111117893"/>
      </top>
      <bottom style="thin">
        <color theme="2" tint="-0.249977111117893"/>
      </bottom>
      <diagonal/>
    </border>
    <border>
      <left style="medium">
        <color theme="9"/>
      </left>
      <right style="thin">
        <color theme="2" tint="-0.249977111117893"/>
      </right>
      <top style="thin">
        <color theme="2" tint="-0.249977111117893"/>
      </top>
      <bottom style="medium">
        <color theme="9"/>
      </bottom>
      <diagonal/>
    </border>
    <border>
      <left style="thin">
        <color theme="2" tint="-0.249977111117893"/>
      </left>
      <right style="medium">
        <color theme="9"/>
      </right>
      <top/>
      <bottom/>
      <diagonal/>
    </border>
    <border>
      <left style="thin">
        <color theme="9"/>
      </left>
      <right style="thin">
        <color theme="9"/>
      </right>
      <top style="thin">
        <color theme="9"/>
      </top>
      <bottom style="thin">
        <color theme="9"/>
      </bottom>
      <diagonal/>
    </border>
    <border>
      <left style="thin">
        <color theme="0" tint="-0.249977111117893"/>
      </left>
      <right/>
      <top style="thin">
        <color theme="0" tint="-0.249977111117893"/>
      </top>
      <bottom style="thin">
        <color theme="0" tint="-0.249977111117893"/>
      </bottom>
      <diagonal/>
    </border>
    <border>
      <left/>
      <right style="medium">
        <color theme="9"/>
      </right>
      <top/>
      <bottom style="thin">
        <color theme="2" tint="-0.249977111117893"/>
      </bottom>
      <diagonal/>
    </border>
    <border>
      <left style="thin">
        <color theme="0" tint="-0.249977111117893"/>
      </left>
      <right style="thin">
        <color theme="0" tint="-0.249977111117893"/>
      </right>
      <top style="thin">
        <color theme="0" tint="-0.249977111117893"/>
      </top>
      <bottom style="medium">
        <color theme="9"/>
      </bottom>
      <diagonal/>
    </border>
    <border>
      <left style="medium">
        <color theme="9"/>
      </left>
      <right/>
      <top/>
      <bottom style="medium">
        <color theme="9"/>
      </bottom>
      <diagonal/>
    </border>
    <border>
      <left style="medium">
        <color theme="9"/>
      </left>
      <right style="medium">
        <color theme="9"/>
      </right>
      <top style="medium">
        <color theme="9"/>
      </top>
      <bottom style="thin">
        <color theme="2" tint="-9.9978637043366805E-2"/>
      </bottom>
      <diagonal/>
    </border>
    <border>
      <left style="thin">
        <color theme="0" tint="-0.249977111117893"/>
      </left>
      <right/>
      <top style="thin">
        <color theme="0" tint="-0.249977111117893"/>
      </top>
      <bottom style="medium">
        <color theme="9"/>
      </bottom>
      <diagonal/>
    </border>
    <border>
      <left style="thin">
        <color theme="2" tint="-0.249977111117893"/>
      </left>
      <right style="medium">
        <color theme="9"/>
      </right>
      <top/>
      <bottom style="medium">
        <color theme="9"/>
      </bottom>
      <diagonal/>
    </border>
    <border>
      <left style="thin">
        <color theme="9"/>
      </left>
      <right style="thin">
        <color theme="9"/>
      </right>
      <top/>
      <bottom style="thin">
        <color theme="9"/>
      </bottom>
      <diagonal/>
    </border>
    <border>
      <left/>
      <right style="thin">
        <color theme="9"/>
      </right>
      <top style="thin">
        <color theme="9"/>
      </top>
      <bottom style="thin">
        <color theme="9"/>
      </bottom>
      <diagonal/>
    </border>
    <border>
      <left/>
      <right style="thin">
        <color theme="9"/>
      </right>
      <top style="medium">
        <color theme="9"/>
      </top>
      <bottom style="thin">
        <color theme="9"/>
      </bottom>
      <diagonal/>
    </border>
    <border>
      <left style="medium">
        <color theme="4"/>
      </left>
      <right/>
      <top/>
      <bottom/>
      <diagonal/>
    </border>
    <border>
      <left/>
      <right style="medium">
        <color theme="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
      <left style="thin">
        <color theme="0"/>
      </left>
      <right/>
      <top style="medium">
        <color rgb="FFFF0000"/>
      </top>
      <bottom style="medium">
        <color rgb="FFFF0000"/>
      </bottom>
      <diagonal/>
    </border>
    <border>
      <left/>
      <right style="medium">
        <color theme="9"/>
      </right>
      <top/>
      <bottom style="medium">
        <color theme="9"/>
      </bottom>
      <diagonal/>
    </border>
    <border>
      <left/>
      <right style="medium">
        <color theme="9"/>
      </right>
      <top style="medium">
        <color theme="9"/>
      </top>
      <bottom style="medium">
        <color theme="9"/>
      </bottom>
      <diagonal/>
    </border>
    <border>
      <left style="medium">
        <color theme="9" tint="-0.249977111117893"/>
      </left>
      <right/>
      <top style="medium">
        <color theme="9" tint="-0.249977111117893"/>
      </top>
      <bottom/>
      <diagonal/>
    </border>
    <border>
      <left/>
      <right/>
      <top style="medium">
        <color theme="9" tint="-0.249977111117893"/>
      </top>
      <bottom/>
      <diagonal/>
    </border>
    <border>
      <left style="medium">
        <color theme="9" tint="-0.249977111117893"/>
      </left>
      <right/>
      <top/>
      <bottom style="medium">
        <color theme="9" tint="-0.249977111117893"/>
      </bottom>
      <diagonal/>
    </border>
    <border>
      <left/>
      <right/>
      <top/>
      <bottom style="medium">
        <color theme="9" tint="-0.249977111117893"/>
      </bottom>
      <diagonal/>
    </border>
    <border>
      <left style="thin">
        <color theme="2" tint="-0.249977111117893"/>
      </left>
      <right/>
      <top style="medium">
        <color theme="9"/>
      </top>
      <bottom/>
      <diagonal/>
    </border>
    <border>
      <left/>
      <right style="medium">
        <color theme="9"/>
      </right>
      <top style="medium">
        <color theme="9"/>
      </top>
      <bottom/>
      <diagonal/>
    </border>
    <border>
      <left style="thin">
        <color theme="2" tint="-0.249977111117893"/>
      </left>
      <right/>
      <top style="medium">
        <color theme="9"/>
      </top>
      <bottom style="thin">
        <color theme="2" tint="-0.249977111117893"/>
      </bottom>
      <diagonal/>
    </border>
    <border>
      <left/>
      <right/>
      <top style="medium">
        <color theme="9"/>
      </top>
      <bottom/>
      <diagonal/>
    </border>
    <border>
      <left/>
      <right/>
      <top/>
      <bottom style="medium">
        <color theme="9"/>
      </bottom>
      <diagonal/>
    </border>
    <border>
      <left style="thin">
        <color theme="2" tint="-0.249977111117893"/>
      </left>
      <right style="thin">
        <color theme="2" tint="-0.249977111117893"/>
      </right>
      <top/>
      <bottom style="medium">
        <color theme="9"/>
      </bottom>
      <diagonal/>
    </border>
    <border>
      <left style="thin">
        <color theme="2" tint="-0.249977111117893"/>
      </left>
      <right style="medium">
        <color theme="9"/>
      </right>
      <top style="medium">
        <color theme="9"/>
      </top>
      <bottom/>
      <diagonal/>
    </border>
    <border>
      <left/>
      <right style="medium">
        <color theme="9"/>
      </right>
      <top style="thin">
        <color theme="2" tint="-0.249977111117893"/>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medium">
        <color theme="9"/>
      </top>
      <bottom style="thin">
        <color theme="0" tint="-0.34998626667073579"/>
      </bottom>
      <diagonal/>
    </border>
    <border>
      <left style="thin">
        <color theme="0" tint="-0.34998626667073579"/>
      </left>
      <right style="thin">
        <color theme="0" tint="-0.34998626667073579"/>
      </right>
      <top style="thin">
        <color theme="0" tint="-0.34998626667073579"/>
      </top>
      <bottom style="medium">
        <color theme="9"/>
      </bottom>
      <diagonal/>
    </border>
    <border>
      <left style="medium">
        <color theme="9"/>
      </left>
      <right style="medium">
        <color theme="9"/>
      </right>
      <top style="medium">
        <color theme="9"/>
      </top>
      <bottom style="thin">
        <color theme="0" tint="-0.249977111117893"/>
      </bottom>
      <diagonal/>
    </border>
    <border>
      <left style="medium">
        <color theme="9"/>
      </left>
      <right style="medium">
        <color theme="9"/>
      </right>
      <top style="thin">
        <color theme="0" tint="-0.249977111117893"/>
      </top>
      <bottom style="thin">
        <color theme="0" tint="-0.249977111117893"/>
      </bottom>
      <diagonal/>
    </border>
    <border>
      <left style="medium">
        <color theme="9"/>
      </left>
      <right style="medium">
        <color theme="9"/>
      </right>
      <top style="thin">
        <color theme="0" tint="-0.249977111117893"/>
      </top>
      <bottom style="medium">
        <color theme="9"/>
      </bottom>
      <diagonal/>
    </border>
    <border>
      <left style="thin">
        <color theme="0" tint="-0.34998626667073579"/>
      </left>
      <right/>
      <top style="medium">
        <color theme="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top style="thin">
        <color theme="0" tint="-0.34998626667073579"/>
      </top>
      <bottom style="medium">
        <color theme="9"/>
      </bottom>
      <diagonal/>
    </border>
    <border>
      <left style="medium">
        <color theme="9"/>
      </left>
      <right style="thin">
        <color theme="0" tint="-0.249977111117893"/>
      </right>
      <top style="medium">
        <color theme="9"/>
      </top>
      <bottom style="thin">
        <color theme="0" tint="-0.249977111117893"/>
      </bottom>
      <diagonal/>
    </border>
    <border>
      <left style="medium">
        <color theme="9"/>
      </left>
      <right style="thin">
        <color theme="0" tint="-0.249977111117893"/>
      </right>
      <top style="thin">
        <color theme="0" tint="-0.249977111117893"/>
      </top>
      <bottom style="thin">
        <color theme="0" tint="-0.249977111117893"/>
      </bottom>
      <diagonal/>
    </border>
    <border>
      <left style="medium">
        <color theme="9"/>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style="medium">
        <color theme="9"/>
      </left>
      <right style="thin">
        <color theme="0" tint="-0.249977111117893"/>
      </right>
      <top/>
      <bottom style="thin">
        <color theme="0" tint="-0.249977111117893"/>
      </bottom>
      <diagonal/>
    </border>
    <border>
      <left style="medium">
        <color theme="9"/>
      </left>
      <right style="thin">
        <color theme="2" tint="-0.249977111117893"/>
      </right>
      <top style="thin">
        <color theme="2" tint="-0.249977111117893"/>
      </top>
      <bottom/>
      <diagonal/>
    </border>
    <border>
      <left style="medium">
        <color theme="9"/>
      </left>
      <right style="thin">
        <color theme="2" tint="-0.249977111117893"/>
      </right>
      <top/>
      <bottom style="thin">
        <color theme="2" tint="-0.249977111117893"/>
      </bottom>
      <diagonal/>
    </border>
    <border>
      <left style="medium">
        <color theme="9"/>
      </left>
      <right style="thin">
        <color theme="2" tint="-0.249977111117893"/>
      </right>
      <top/>
      <bottom style="medium">
        <color theme="9"/>
      </bottom>
      <diagonal/>
    </border>
    <border>
      <left style="thin">
        <color theme="0" tint="-0.14999847407452621"/>
      </left>
      <right style="thin">
        <color theme="0" tint="-0.14999847407452621"/>
      </right>
      <top style="medium">
        <color theme="9"/>
      </top>
      <bottom style="thin">
        <color theme="0" tint="-0.14999847407452621"/>
      </bottom>
      <diagonal/>
    </border>
    <border>
      <left style="thin">
        <color theme="0" tint="-0.14999847407452621"/>
      </left>
      <right style="medium">
        <color theme="9"/>
      </right>
      <top style="medium">
        <color theme="9"/>
      </top>
      <bottom style="thin">
        <color theme="0" tint="-0.14999847407452621"/>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medium">
        <color theme="9"/>
      </top>
      <bottom style="medium">
        <color theme="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right style="thin">
        <color theme="2" tint="-0.249977111117893"/>
      </right>
      <top style="medium">
        <color theme="9"/>
      </top>
      <bottom/>
      <diagonal/>
    </border>
    <border>
      <left style="thin">
        <color theme="2" tint="-0.249977111117893"/>
      </left>
      <right/>
      <top/>
      <bottom style="medium">
        <color theme="9"/>
      </bottom>
      <diagonal/>
    </border>
    <border>
      <left style="thin">
        <color theme="0" tint="-0.249977111117893"/>
      </left>
      <right style="thin">
        <color theme="0" tint="-0.249977111117893"/>
      </right>
      <top style="medium">
        <color theme="9"/>
      </top>
      <bottom style="thin">
        <color theme="0" tint="-0.249977111117893"/>
      </bottom>
      <diagonal/>
    </border>
    <border>
      <left/>
      <right style="thin">
        <color theme="0" tint="-0.249977111117893"/>
      </right>
      <top style="medium">
        <color theme="9"/>
      </top>
      <bottom style="thin">
        <color theme="0" tint="-0.249977111117893"/>
      </bottom>
      <diagonal/>
    </border>
    <border>
      <left/>
      <right style="thin">
        <color theme="0" tint="-0.249977111117893"/>
      </right>
      <top style="thin">
        <color theme="0" tint="-0.249977111117893"/>
      </top>
      <bottom/>
      <diagonal/>
    </border>
    <border>
      <left style="medium">
        <color theme="9"/>
      </left>
      <right style="thin">
        <color theme="0" tint="-0.249977111117893"/>
      </right>
      <top style="medium">
        <color theme="9"/>
      </top>
      <bottom style="medium">
        <color theme="9"/>
      </bottom>
      <diagonal/>
    </border>
    <border>
      <left style="medium">
        <color theme="9"/>
      </left>
      <right/>
      <top style="medium">
        <color theme="9"/>
      </top>
      <bottom style="thin">
        <color theme="0" tint="-0.34998626667073579"/>
      </bottom>
      <diagonal/>
    </border>
    <border>
      <left style="medium">
        <color theme="9"/>
      </left>
      <right/>
      <top style="thin">
        <color theme="0" tint="-0.34998626667073579"/>
      </top>
      <bottom style="thin">
        <color theme="0" tint="-0.34998626667073579"/>
      </bottom>
      <diagonal/>
    </border>
    <border>
      <left style="thin">
        <color theme="0" tint="-0.249977111117893"/>
      </left>
      <right style="medium">
        <color theme="9"/>
      </right>
      <top style="medium">
        <color theme="9"/>
      </top>
      <bottom style="thin">
        <color theme="0" tint="-0.249977111117893"/>
      </bottom>
      <diagonal/>
    </border>
    <border>
      <left style="thin">
        <color theme="0" tint="-0.249977111117893"/>
      </left>
      <right style="medium">
        <color theme="9"/>
      </right>
      <top style="thin">
        <color theme="0" tint="-0.249977111117893"/>
      </top>
      <bottom style="medium">
        <color theme="9"/>
      </bottom>
      <diagonal/>
    </border>
    <border>
      <left style="medium">
        <color theme="9"/>
      </left>
      <right style="thin">
        <color theme="0" tint="-0.34998626667073579"/>
      </right>
      <top style="medium">
        <color theme="9"/>
      </top>
      <bottom style="thin">
        <color theme="0" tint="-0.34998626667073579"/>
      </bottom>
      <diagonal/>
    </border>
    <border>
      <left style="medium">
        <color theme="9"/>
      </left>
      <right style="thin">
        <color theme="0" tint="-0.34998626667073579"/>
      </right>
      <top style="thin">
        <color theme="0" tint="-0.34998626667073579"/>
      </top>
      <bottom style="thin">
        <color theme="0" tint="-0.34998626667073579"/>
      </bottom>
      <diagonal/>
    </border>
    <border>
      <left style="medium">
        <color theme="9"/>
      </left>
      <right style="thin">
        <color theme="0" tint="-0.34998626667073579"/>
      </right>
      <top style="thin">
        <color theme="0" tint="-0.34998626667073579"/>
      </top>
      <bottom style="medium">
        <color theme="9"/>
      </bottom>
      <diagonal/>
    </border>
    <border>
      <left style="medium">
        <color theme="9"/>
      </left>
      <right/>
      <top style="thin">
        <color theme="0" tint="-0.34998626667073579"/>
      </top>
      <bottom/>
      <diagonal/>
    </border>
    <border>
      <left/>
      <right style="thin">
        <color theme="0" tint="-0.249977111117893"/>
      </right>
      <top/>
      <bottom style="thin">
        <color theme="0" tint="-0.249977111117893"/>
      </bottom>
      <diagonal/>
    </border>
    <border>
      <left style="thin">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medium">
        <color theme="0" tint="-0.34998626667073579"/>
      </right>
      <top style="medium">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medium">
        <color theme="0" tint="-0.34998626667073579"/>
      </right>
      <top style="thin">
        <color theme="0" tint="-0.34998626667073579"/>
      </top>
      <bottom style="medium">
        <color theme="0" tint="-0.34998626667073579"/>
      </bottom>
      <diagonal/>
    </border>
    <border>
      <left style="medium">
        <color theme="9"/>
      </left>
      <right style="thin">
        <color theme="0" tint="-0.34998626667073579"/>
      </right>
      <top style="thin">
        <color theme="0" tint="-0.34998626667073579"/>
      </top>
      <bottom/>
      <diagonal/>
    </border>
    <border>
      <left style="thin">
        <color theme="0" tint="-0.249977111117893"/>
      </left>
      <right style="medium">
        <color theme="9"/>
      </right>
      <top style="thin">
        <color theme="0" tint="-0.249977111117893"/>
      </top>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style="thin">
        <color theme="0" tint="-0.249977111117893"/>
      </bottom>
      <diagonal/>
    </border>
    <border>
      <left/>
      <right style="medium">
        <color theme="0" tint="-0.249977111117893"/>
      </right>
      <top style="thin">
        <color theme="0" tint="-0.249977111117893"/>
      </top>
      <bottom style="medium">
        <color theme="0" tint="-0.249977111117893"/>
      </bottom>
      <diagonal/>
    </border>
    <border>
      <left style="thin">
        <color theme="0" tint="-0.249977111117893"/>
      </left>
      <right style="medium">
        <color theme="9"/>
      </right>
      <top style="thin">
        <color theme="0" tint="-0.249977111117893"/>
      </top>
      <bottom style="thin">
        <color theme="0" tint="-0.249977111117893"/>
      </bottom>
      <diagonal/>
    </border>
    <border>
      <left style="thin">
        <color theme="0" tint="-0.249977111117893"/>
      </left>
      <right style="thin">
        <color theme="0" tint="-0.249977111117893"/>
      </right>
      <top style="medium">
        <color theme="9"/>
      </top>
      <bottom style="medium">
        <color theme="9"/>
      </bottom>
      <diagonal/>
    </border>
    <border>
      <left style="thin">
        <color theme="0" tint="-0.249977111117893"/>
      </left>
      <right style="medium">
        <color theme="9"/>
      </right>
      <top style="medium">
        <color theme="9"/>
      </top>
      <bottom style="medium">
        <color theme="9"/>
      </bottom>
      <diagonal/>
    </border>
    <border>
      <left style="thin">
        <color theme="0" tint="-0.249977111117893"/>
      </left>
      <right style="medium">
        <color theme="9"/>
      </right>
      <top/>
      <bottom style="thin">
        <color theme="0" tint="-0.249977111117893"/>
      </bottom>
      <diagonal/>
    </border>
    <border>
      <left style="medium">
        <color theme="9"/>
      </left>
      <right style="thin">
        <color theme="0" tint="-0.249977111117893"/>
      </right>
      <top style="thin">
        <color theme="0" tint="-0.249977111117893"/>
      </top>
      <bottom style="medium">
        <color theme="9"/>
      </bottom>
      <diagonal/>
    </border>
    <border>
      <left style="thin">
        <color theme="0" tint="-0.249977111117893"/>
      </left>
      <right/>
      <top/>
      <bottom style="thin">
        <color theme="0" tint="-0.249977111117893"/>
      </bottom>
      <diagonal/>
    </border>
    <border>
      <left style="thin">
        <color theme="0" tint="-0.249977111117893"/>
      </left>
      <right/>
      <top style="thin">
        <color theme="0" tint="-0.249977111117893"/>
      </top>
      <bottom/>
      <diagonal/>
    </border>
    <border>
      <left/>
      <right style="thin">
        <color theme="0" tint="-0.249977111117893"/>
      </right>
      <top/>
      <bottom style="medium">
        <color theme="9"/>
      </bottom>
      <diagonal/>
    </border>
    <border>
      <left style="thin">
        <color theme="0" tint="-0.249977111117893"/>
      </left>
      <right style="thin">
        <color theme="0" tint="-0.249977111117893"/>
      </right>
      <top/>
      <bottom style="medium">
        <color theme="9"/>
      </bottom>
      <diagonal/>
    </border>
    <border>
      <left style="thin">
        <color theme="0" tint="-0.249977111117893"/>
      </left>
      <right style="medium">
        <color theme="9"/>
      </right>
      <top/>
      <bottom style="medium">
        <color theme="9"/>
      </bottom>
      <diagonal/>
    </border>
    <border>
      <left style="thin">
        <color theme="0" tint="-0.249977111117893"/>
      </left>
      <right/>
      <top style="medium">
        <color theme="9"/>
      </top>
      <bottom style="thin">
        <color theme="0" tint="-0.249977111117893"/>
      </bottom>
      <diagonal/>
    </border>
    <border>
      <left style="thin">
        <color theme="0" tint="-0.249977111117893"/>
      </left>
      <right/>
      <top style="medium">
        <color theme="9"/>
      </top>
      <bottom style="medium">
        <color theme="9"/>
      </bottom>
      <diagonal/>
    </border>
    <border>
      <left/>
      <right style="thin">
        <color theme="0" tint="-0.34998626667073579"/>
      </right>
      <top style="thin">
        <color theme="0" tint="-0.34998626667073579"/>
      </top>
      <bottom style="thin">
        <color theme="0" tint="-0.34998626667073579"/>
      </bottom>
      <diagonal/>
    </border>
    <border>
      <left style="medium">
        <color theme="9"/>
      </left>
      <right style="medium">
        <color theme="9"/>
      </right>
      <top style="medium">
        <color theme="9"/>
      </top>
      <bottom style="thin">
        <color theme="0" tint="-0.34998626667073579"/>
      </bottom>
      <diagonal/>
    </border>
    <border>
      <left style="medium">
        <color theme="9"/>
      </left>
      <right style="medium">
        <color theme="9"/>
      </right>
      <top style="thin">
        <color theme="0" tint="-0.34998626667073579"/>
      </top>
      <bottom style="thin">
        <color theme="0" tint="-0.34998626667073579"/>
      </bottom>
      <diagonal/>
    </border>
    <border>
      <left style="medium">
        <color theme="9"/>
      </left>
      <right style="medium">
        <color theme="9"/>
      </right>
      <top style="thin">
        <color theme="0" tint="-0.34998626667073579"/>
      </top>
      <bottom style="medium">
        <color theme="9"/>
      </bottom>
      <diagonal/>
    </border>
    <border>
      <left style="thin">
        <color theme="0" tint="-0.34998626667073579"/>
      </left>
      <right style="medium">
        <color theme="9"/>
      </right>
      <top style="medium">
        <color theme="9"/>
      </top>
      <bottom style="thin">
        <color theme="0" tint="-0.34998626667073579"/>
      </bottom>
      <diagonal/>
    </border>
    <border>
      <left style="thin">
        <color theme="0" tint="-0.34998626667073579"/>
      </left>
      <right style="medium">
        <color theme="9"/>
      </right>
      <top style="thin">
        <color theme="0" tint="-0.34998626667073579"/>
      </top>
      <bottom style="thin">
        <color theme="0" tint="-0.34998626667073579"/>
      </bottom>
      <diagonal/>
    </border>
    <border>
      <left style="thin">
        <color theme="0" tint="-0.34998626667073579"/>
      </left>
      <right style="medium">
        <color theme="9"/>
      </right>
      <top style="thin">
        <color theme="0" tint="-0.34998626667073579"/>
      </top>
      <bottom style="medium">
        <color theme="9"/>
      </bottom>
      <diagonal/>
    </border>
    <border>
      <left style="thin">
        <color theme="9"/>
      </left>
      <right/>
      <top style="thin">
        <color theme="9"/>
      </top>
      <bottom style="thin">
        <color theme="9"/>
      </bottom>
      <diagonal/>
    </border>
    <border>
      <left style="medium">
        <color theme="9"/>
      </left>
      <right style="thin">
        <color theme="2" tint="-0.249977111117893"/>
      </right>
      <top/>
      <bottom/>
      <diagonal/>
    </border>
    <border>
      <left style="medium">
        <color theme="9"/>
      </left>
      <right style="thin">
        <color theme="0" tint="-0.34998626667073579"/>
      </right>
      <top/>
      <bottom/>
      <diagonal/>
    </border>
    <border>
      <left style="thin">
        <color theme="2" tint="-0.249977111117893"/>
      </left>
      <right style="thin">
        <color theme="0" tint="-0.34998626667073579"/>
      </right>
      <top style="thin">
        <color theme="2" tint="-0.249977111117893"/>
      </top>
      <bottom style="medium">
        <color theme="9"/>
      </bottom>
      <diagonal/>
    </border>
    <border>
      <left style="medium">
        <color theme="9"/>
      </left>
      <right style="thin">
        <color theme="6"/>
      </right>
      <top style="medium">
        <color theme="9"/>
      </top>
      <bottom/>
      <diagonal/>
    </border>
    <border>
      <left style="thin">
        <color theme="6"/>
      </left>
      <right style="thin">
        <color theme="6"/>
      </right>
      <top style="medium">
        <color theme="9"/>
      </top>
      <bottom/>
      <diagonal/>
    </border>
    <border>
      <left style="medium">
        <color theme="9"/>
      </left>
      <right style="thin">
        <color theme="6"/>
      </right>
      <top/>
      <bottom/>
      <diagonal/>
    </border>
    <border>
      <left/>
      <right style="thin">
        <color theme="6"/>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249977111117893"/>
      </right>
      <top/>
      <bottom/>
      <diagonal/>
    </border>
    <border>
      <left/>
      <right/>
      <top style="thin">
        <color theme="0" tint="-0.249977111117893"/>
      </top>
      <bottom style="thin">
        <color theme="0" tint="-0.249977111117893"/>
      </bottom>
      <diagonal/>
    </border>
    <border>
      <left/>
      <right/>
      <top style="thin">
        <color theme="0" tint="-0.249977111117893"/>
      </top>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medium">
        <color theme="9"/>
      </left>
      <right style="medium">
        <color theme="9"/>
      </right>
      <top style="thin">
        <color theme="0" tint="-0.34998626667073579"/>
      </top>
      <bottom/>
      <diagonal/>
    </border>
    <border>
      <left style="thin">
        <color theme="0" tint="-0.34998626667073579"/>
      </left>
      <right/>
      <top style="thin">
        <color theme="0" tint="-0.34998626667073579"/>
      </top>
      <bottom/>
      <diagonal/>
    </border>
    <border>
      <left style="medium">
        <color theme="9"/>
      </left>
      <right/>
      <top style="thin">
        <color theme="0" tint="-0.34998626667073579"/>
      </top>
      <bottom style="medium">
        <color theme="9"/>
      </bottom>
      <diagonal/>
    </border>
    <border>
      <left/>
      <right style="medium">
        <color theme="9"/>
      </right>
      <top style="thin">
        <color theme="0" tint="-0.249977111117893"/>
      </top>
      <bottom style="thin">
        <color theme="0" tint="-0.249977111117893"/>
      </bottom>
      <diagonal/>
    </border>
    <border>
      <left style="thin">
        <color theme="0" tint="-0.14999847407452621"/>
      </left>
      <right style="thin">
        <color theme="0" tint="-0.14999847407452621"/>
      </right>
      <top style="thin">
        <color theme="0" tint="-0.14999847407452621"/>
      </top>
      <bottom/>
      <diagonal/>
    </border>
    <border>
      <left/>
      <right style="medium">
        <color theme="9"/>
      </right>
      <top style="thin">
        <color theme="0" tint="-0.249977111117893"/>
      </top>
      <bottom/>
      <diagonal/>
    </border>
    <border>
      <left style="thin">
        <color theme="0" tint="-0.14999847407452621"/>
      </left>
      <right style="medium">
        <color theme="9"/>
      </right>
      <top style="thin">
        <color theme="0" tint="-0.14999847407452621"/>
      </top>
      <bottom style="thin">
        <color theme="0" tint="-0.14999847407452621"/>
      </bottom>
      <diagonal/>
    </border>
    <border>
      <left style="medium">
        <color theme="9"/>
      </left>
      <right style="thin">
        <color theme="0" tint="-0.14999847407452621"/>
      </right>
      <top style="thin">
        <color theme="0" tint="-0.14999847407452621"/>
      </top>
      <bottom style="medium">
        <color theme="9"/>
      </bottom>
      <diagonal/>
    </border>
    <border>
      <left style="thin">
        <color theme="0" tint="-0.14999847407452621"/>
      </left>
      <right style="thin">
        <color theme="0" tint="-0.14999847407452621"/>
      </right>
      <top style="thin">
        <color theme="0" tint="-0.14999847407452621"/>
      </top>
      <bottom style="medium">
        <color theme="9"/>
      </bottom>
      <diagonal/>
    </border>
    <border>
      <left style="thin">
        <color theme="0" tint="-0.14999847407452621"/>
      </left>
      <right style="medium">
        <color theme="9"/>
      </right>
      <top style="thin">
        <color theme="0" tint="-0.14999847407452621"/>
      </top>
      <bottom style="medium">
        <color theme="9"/>
      </bottom>
      <diagonal/>
    </border>
    <border>
      <left/>
      <right style="thin">
        <color theme="0" tint="-0.14999847407452621"/>
      </right>
      <top style="thin">
        <color theme="0" tint="-0.14999847407452621"/>
      </top>
      <bottom style="thin">
        <color theme="0" tint="-0.14999847407452621"/>
      </bottom>
      <diagonal/>
    </border>
    <border>
      <left/>
      <right style="thin">
        <color theme="0" tint="-0.14999847407452621"/>
      </right>
      <top style="medium">
        <color theme="9"/>
      </top>
      <bottom style="thin">
        <color theme="0" tint="-0.14999847407452621"/>
      </bottom>
      <diagonal/>
    </border>
    <border>
      <left/>
      <right style="thin">
        <color theme="0" tint="-0.14999847407452621"/>
      </right>
      <top style="thin">
        <color theme="0" tint="-0.14999847407452621"/>
      </top>
      <bottom style="medium">
        <color theme="9"/>
      </bottom>
      <diagonal/>
    </border>
    <border>
      <left style="thin">
        <color theme="0" tint="-0.14999847407452621"/>
      </left>
      <right style="medium">
        <color theme="9"/>
      </right>
      <top style="thin">
        <color theme="0" tint="-0.14999847407452621"/>
      </top>
      <bottom/>
      <diagonal/>
    </border>
    <border>
      <left style="thin">
        <color theme="0" tint="-0.34998626667073579"/>
      </left>
      <right style="medium">
        <color theme="9"/>
      </right>
      <top style="thin">
        <color theme="0" tint="-0.34998626667073579"/>
      </top>
      <bottom/>
      <diagonal/>
    </border>
    <border>
      <left style="thin">
        <color theme="0" tint="-0.14999847407452621"/>
      </left>
      <right/>
      <top style="medium">
        <color theme="9"/>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top style="thin">
        <color theme="0" tint="-0.14999847407452621"/>
      </top>
      <bottom style="medium">
        <color theme="9"/>
      </bottom>
      <diagonal/>
    </border>
    <border>
      <left style="medium">
        <color theme="9"/>
      </left>
      <right style="medium">
        <color theme="9"/>
      </right>
      <top style="thin">
        <color theme="0" tint="-0.249977111117893"/>
      </top>
      <bottom/>
      <diagonal/>
    </border>
    <border>
      <left style="medium">
        <color theme="9"/>
      </left>
      <right style="thin">
        <color theme="0" tint="-0.249977111117893"/>
      </right>
      <top/>
      <bottom/>
      <diagonal/>
    </border>
    <border>
      <left style="thin">
        <color theme="0" tint="-0.249977111117893"/>
      </left>
      <right style="thin">
        <color theme="0" tint="-0.249977111117893"/>
      </right>
      <top/>
      <bottom/>
      <diagonal/>
    </border>
    <border>
      <left style="thin">
        <color theme="0" tint="-0.249977111117893"/>
      </left>
      <right style="medium">
        <color theme="9"/>
      </right>
      <top/>
      <bottom/>
      <diagonal/>
    </border>
    <border>
      <left/>
      <right/>
      <top style="medium">
        <color theme="9"/>
      </top>
      <bottom style="thin">
        <color theme="9"/>
      </bottom>
      <diagonal/>
    </border>
    <border>
      <left style="medium">
        <color theme="0" tint="-0.249977111117893"/>
      </left>
      <right style="thin">
        <color theme="2" tint="-0.249977111117893"/>
      </right>
      <top style="thin">
        <color theme="2" tint="-0.249977111117893"/>
      </top>
      <bottom style="thin">
        <color theme="2" tint="-0.249977111117893"/>
      </bottom>
      <diagonal/>
    </border>
    <border>
      <left style="medium">
        <color theme="0" tint="-0.249977111117893"/>
      </left>
      <right style="thin">
        <color theme="2" tint="-0.249977111117893"/>
      </right>
      <top style="medium">
        <color theme="9"/>
      </top>
      <bottom style="thin">
        <color theme="2" tint="-0.249977111117893"/>
      </bottom>
      <diagonal/>
    </border>
    <border>
      <left style="medium">
        <color theme="0" tint="-0.249977111117893"/>
      </left>
      <right style="thin">
        <color theme="2" tint="-0.249977111117893"/>
      </right>
      <top style="thin">
        <color theme="2" tint="-0.249977111117893"/>
      </top>
      <bottom style="medium">
        <color theme="9"/>
      </bottom>
      <diagonal/>
    </border>
    <border>
      <left style="thin">
        <color theme="6"/>
      </left>
      <right style="medium">
        <color theme="9"/>
      </right>
      <top style="medium">
        <color theme="9"/>
      </top>
      <bottom/>
      <diagonal/>
    </border>
    <border>
      <left/>
      <right style="medium">
        <color theme="0" tint="-0.249977111117893"/>
      </right>
      <top style="thin">
        <color theme="0" tint="-0.249977111117893"/>
      </top>
      <bottom style="medium">
        <color theme="9"/>
      </bottom>
      <diagonal/>
    </border>
    <border>
      <left style="thin">
        <color theme="9"/>
      </left>
      <right/>
      <top style="medium">
        <color theme="9"/>
      </top>
      <bottom style="thin">
        <color theme="9"/>
      </bottom>
      <diagonal/>
    </border>
    <border>
      <left/>
      <right style="thin">
        <color theme="2" tint="-0.249977111117893"/>
      </right>
      <top/>
      <bottom style="medium">
        <color theme="9"/>
      </bottom>
      <diagonal/>
    </border>
    <border>
      <left/>
      <right style="thin">
        <color theme="0" tint="-0.34998626667073579"/>
      </right>
      <top style="medium">
        <color theme="0" tint="-0.34998626667073579"/>
      </top>
      <bottom style="thin">
        <color theme="0" tint="-0.34998626667073579"/>
      </bottom>
      <diagonal/>
    </border>
    <border>
      <left/>
      <right style="thin">
        <color theme="0" tint="-0.34998626667073579"/>
      </right>
      <top style="thin">
        <color theme="0" tint="-0.34998626667073579"/>
      </top>
      <bottom style="medium">
        <color theme="0" tint="-0.34998626667073579"/>
      </bottom>
      <diagonal/>
    </border>
    <border>
      <left/>
      <right style="thin">
        <color theme="0" tint="-0.34998626667073579"/>
      </right>
      <top style="medium">
        <color theme="9"/>
      </top>
      <bottom style="thin">
        <color theme="0" tint="-0.34998626667073579"/>
      </bottom>
      <diagonal/>
    </border>
    <border>
      <left/>
      <right style="thin">
        <color theme="0" tint="-0.34998626667073579"/>
      </right>
      <top style="thin">
        <color theme="0" tint="-0.34998626667073579"/>
      </top>
      <bottom style="medium">
        <color theme="9"/>
      </bottom>
      <diagonal/>
    </border>
    <border>
      <left/>
      <right style="thin">
        <color theme="0" tint="-0.34998626667073579"/>
      </right>
      <top/>
      <bottom/>
      <diagonal/>
    </border>
    <border>
      <left style="medium">
        <color theme="9"/>
      </left>
      <right style="medium">
        <color theme="9"/>
      </right>
      <top style="medium">
        <color theme="0" tint="-0.34998626667073579"/>
      </top>
      <bottom/>
      <diagonal/>
    </border>
    <border>
      <left style="medium">
        <color theme="9"/>
      </left>
      <right style="medium">
        <color theme="9"/>
      </right>
      <top style="thin">
        <color theme="2" tint="-0.249977111117893"/>
      </top>
      <bottom style="medium">
        <color theme="0" tint="-0.34998626667073579"/>
      </bottom>
      <diagonal/>
    </border>
    <border>
      <left style="medium">
        <color theme="9"/>
      </left>
      <right/>
      <top style="medium">
        <color theme="9"/>
      </top>
      <bottom style="thin">
        <color theme="9"/>
      </bottom>
      <diagonal/>
    </border>
    <border>
      <left/>
      <right style="medium">
        <color theme="9"/>
      </right>
      <top style="medium">
        <color theme="9"/>
      </top>
      <bottom style="thin">
        <color theme="9"/>
      </bottom>
      <diagonal/>
    </border>
    <border>
      <left style="medium">
        <color theme="9"/>
      </left>
      <right style="thin">
        <color theme="9"/>
      </right>
      <top/>
      <bottom style="thin">
        <color theme="9"/>
      </bottom>
      <diagonal/>
    </border>
    <border>
      <left style="thin">
        <color theme="9"/>
      </left>
      <right style="medium">
        <color theme="9"/>
      </right>
      <top/>
      <bottom style="thin">
        <color theme="9"/>
      </bottom>
      <diagonal/>
    </border>
    <border>
      <left style="medium">
        <color theme="9"/>
      </left>
      <right style="thin">
        <color theme="9"/>
      </right>
      <top style="thin">
        <color theme="9"/>
      </top>
      <bottom style="thin">
        <color theme="9"/>
      </bottom>
      <diagonal/>
    </border>
    <border>
      <left style="thin">
        <color theme="9"/>
      </left>
      <right style="medium">
        <color theme="9"/>
      </right>
      <top style="thin">
        <color theme="9"/>
      </top>
      <bottom style="thin">
        <color theme="9"/>
      </bottom>
      <diagonal/>
    </border>
    <border>
      <left style="medium">
        <color theme="9"/>
      </left>
      <right style="thin">
        <color theme="9"/>
      </right>
      <top style="thin">
        <color theme="9"/>
      </top>
      <bottom style="medium">
        <color theme="9"/>
      </bottom>
      <diagonal/>
    </border>
    <border>
      <left style="thin">
        <color theme="9"/>
      </left>
      <right style="thin">
        <color theme="9"/>
      </right>
      <top style="thin">
        <color theme="9"/>
      </top>
      <bottom style="medium">
        <color theme="9"/>
      </bottom>
      <diagonal/>
    </border>
    <border>
      <left style="thin">
        <color theme="9"/>
      </left>
      <right style="medium">
        <color theme="9"/>
      </right>
      <top style="thin">
        <color theme="9"/>
      </top>
      <bottom style="medium">
        <color theme="9"/>
      </bottom>
      <diagonal/>
    </border>
  </borders>
  <cellStyleXfs count="3">
    <xf numFmtId="0" fontId="0" fillId="0" borderId="0"/>
    <xf numFmtId="0" fontId="1" fillId="0" borderId="0" applyNumberFormat="0" applyFont="0" applyFill="0" applyBorder="0" applyAlignment="0" applyProtection="0"/>
    <xf numFmtId="0" fontId="2" fillId="11" borderId="0" applyNumberFormat="0" applyBorder="0" applyAlignment="0" applyProtection="0"/>
  </cellStyleXfs>
  <cellXfs count="1094">
    <xf numFmtId="0" fontId="0" fillId="0" borderId="0" xfId="0"/>
    <xf numFmtId="0" fontId="8" fillId="0" borderId="0" xfId="0" applyFont="1" applyAlignment="1">
      <alignment horizontal="left" vertical="center"/>
    </xf>
    <xf numFmtId="0" fontId="8" fillId="0" borderId="0" xfId="0" applyFont="1"/>
    <xf numFmtId="0" fontId="7" fillId="0" borderId="0" xfId="0" applyFont="1" applyAlignment="1">
      <alignment vertical="center"/>
    </xf>
    <xf numFmtId="0" fontId="5" fillId="5" borderId="0" xfId="0" applyFont="1" applyFill="1"/>
    <xf numFmtId="0" fontId="5" fillId="0" borderId="0" xfId="0" applyFont="1"/>
    <xf numFmtId="0" fontId="7" fillId="6" borderId="67" xfId="0" applyFont="1" applyFill="1" applyBorder="1" applyAlignment="1">
      <alignment horizontal="center" vertical="center"/>
    </xf>
    <xf numFmtId="0" fontId="5" fillId="0" borderId="0" xfId="0" applyFont="1" applyAlignment="1"/>
    <xf numFmtId="0" fontId="6" fillId="0" borderId="4" xfId="0" applyFont="1" applyBorder="1" applyAlignment="1" applyProtection="1">
      <alignment horizontal="center" vertical="center"/>
      <protection locked="0"/>
    </xf>
    <xf numFmtId="0" fontId="6" fillId="0" borderId="1" xfId="0" applyFont="1" applyBorder="1" applyAlignment="1" applyProtection="1">
      <alignment horizontal="center" vertical="center"/>
      <protection locked="0"/>
    </xf>
    <xf numFmtId="0" fontId="5" fillId="0" borderId="0" xfId="0" applyFont="1" applyAlignment="1">
      <alignment vertical="center"/>
    </xf>
    <xf numFmtId="0" fontId="6" fillId="0" borderId="9" xfId="0" applyFont="1" applyBorder="1" applyAlignment="1" applyProtection="1">
      <alignment horizontal="center" vertical="center"/>
      <protection locked="0"/>
    </xf>
    <xf numFmtId="0" fontId="6" fillId="0" borderId="6" xfId="0" applyFont="1" applyBorder="1" applyAlignment="1" applyProtection="1">
      <alignment horizontal="center" vertical="center"/>
      <protection locked="0"/>
    </xf>
    <xf numFmtId="0" fontId="8" fillId="0" borderId="0" xfId="0" applyFont="1" applyAlignment="1"/>
    <xf numFmtId="0" fontId="6" fillId="0" borderId="32" xfId="0" applyFont="1" applyBorder="1" applyAlignment="1" applyProtection="1">
      <alignment horizontal="center" vertical="center"/>
      <protection locked="0"/>
    </xf>
    <xf numFmtId="0" fontId="6" fillId="0" borderId="26" xfId="0" applyFont="1" applyBorder="1" applyAlignment="1" applyProtection="1">
      <alignment horizontal="center" vertical="center"/>
      <protection locked="0"/>
    </xf>
    <xf numFmtId="0" fontId="7" fillId="6" borderId="55" xfId="0" applyFont="1" applyFill="1" applyBorder="1" applyAlignment="1">
      <alignment horizontal="center" vertical="center"/>
    </xf>
    <xf numFmtId="0" fontId="7" fillId="6" borderId="54" xfId="0" applyFont="1" applyFill="1" applyBorder="1" applyAlignment="1">
      <alignment horizontal="center" vertical="center"/>
    </xf>
    <xf numFmtId="0" fontId="7" fillId="6" borderId="52" xfId="0" applyFont="1" applyFill="1" applyBorder="1" applyAlignment="1">
      <alignment horizontal="center" vertical="center"/>
    </xf>
    <xf numFmtId="0" fontId="5" fillId="0" borderId="0" xfId="0" applyFont="1" applyAlignment="1">
      <alignment wrapText="1"/>
    </xf>
    <xf numFmtId="0" fontId="6" fillId="0" borderId="25" xfId="0" applyFont="1" applyBorder="1" applyAlignment="1" applyProtection="1">
      <alignment horizontal="center" vertical="center"/>
      <protection locked="0"/>
    </xf>
    <xf numFmtId="0" fontId="6" fillId="0" borderId="2" xfId="0" applyFont="1" applyBorder="1" applyAlignment="1" applyProtection="1">
      <alignment horizontal="center" vertical="center"/>
      <protection locked="0"/>
    </xf>
    <xf numFmtId="0" fontId="10" fillId="6" borderId="26" xfId="2" applyFont="1" applyFill="1" applyBorder="1" applyAlignment="1" applyProtection="1">
      <alignment horizontal="center" vertical="center"/>
    </xf>
    <xf numFmtId="0" fontId="5" fillId="5" borderId="0" xfId="0" applyFont="1" applyFill="1" applyAlignment="1"/>
    <xf numFmtId="0" fontId="11" fillId="0" borderId="0" xfId="0" applyFont="1" applyAlignment="1">
      <alignment horizontal="left" vertical="center" wrapText="1"/>
    </xf>
    <xf numFmtId="0" fontId="9" fillId="0" borderId="0" xfId="0" applyFont="1" applyFill="1" applyBorder="1"/>
    <xf numFmtId="0" fontId="13" fillId="0" borderId="0" xfId="0" applyFont="1" applyFill="1" applyBorder="1" applyAlignment="1">
      <alignment vertical="center"/>
    </xf>
    <xf numFmtId="0" fontId="14" fillId="0" borderId="0" xfId="0" applyFont="1" applyAlignment="1">
      <alignment vertical="center"/>
    </xf>
    <xf numFmtId="0" fontId="17" fillId="0" borderId="0" xfId="0" applyFont="1" applyFill="1" applyBorder="1"/>
    <xf numFmtId="0" fontId="18" fillId="0" borderId="0" xfId="0" applyFont="1"/>
    <xf numFmtId="0" fontId="20" fillId="0" borderId="0" xfId="0" applyFont="1" applyAlignment="1">
      <alignment horizontal="left" vertical="center" wrapText="1"/>
    </xf>
    <xf numFmtId="0" fontId="8" fillId="0" borderId="0" xfId="0" applyFont="1" applyAlignment="1">
      <alignment vertical="center"/>
    </xf>
    <xf numFmtId="0" fontId="6" fillId="0" borderId="15" xfId="0" applyFont="1" applyBorder="1" applyAlignment="1" applyProtection="1">
      <alignment horizontal="center" vertical="center"/>
      <protection locked="0"/>
    </xf>
    <xf numFmtId="0" fontId="6" fillId="0" borderId="16" xfId="0" applyFont="1" applyBorder="1" applyAlignment="1" applyProtection="1">
      <alignment horizontal="center" vertical="center"/>
      <protection locked="0"/>
    </xf>
    <xf numFmtId="0" fontId="6" fillId="0" borderId="40" xfId="0" applyFont="1" applyBorder="1" applyAlignment="1" applyProtection="1">
      <alignment horizontal="center" vertical="center"/>
      <protection locked="0"/>
    </xf>
    <xf numFmtId="0" fontId="6" fillId="0" borderId="106" xfId="0" applyFont="1" applyBorder="1" applyAlignment="1" applyProtection="1">
      <alignment horizontal="center" vertical="center"/>
      <protection locked="0"/>
    </xf>
    <xf numFmtId="0" fontId="10" fillId="6" borderId="46" xfId="2" applyFont="1" applyFill="1" applyBorder="1" applyAlignment="1" applyProtection="1">
      <alignment horizontal="center" vertical="center"/>
    </xf>
    <xf numFmtId="0" fontId="6" fillId="0" borderId="47" xfId="0" applyFont="1" applyBorder="1" applyAlignment="1" applyProtection="1">
      <alignment horizontal="center" vertical="center"/>
      <protection locked="0"/>
    </xf>
    <xf numFmtId="0" fontId="6" fillId="0" borderId="17" xfId="0" applyFont="1" applyBorder="1" applyAlignment="1" applyProtection="1">
      <alignment horizontal="center" vertical="center"/>
      <protection locked="0"/>
    </xf>
    <xf numFmtId="0" fontId="7" fillId="6" borderId="105" xfId="0" applyFont="1" applyFill="1" applyBorder="1" applyAlignment="1">
      <alignment horizontal="center" vertical="center"/>
    </xf>
    <xf numFmtId="0" fontId="6" fillId="0" borderId="46" xfId="0" applyFont="1" applyBorder="1" applyAlignment="1" applyProtection="1">
      <alignment horizontal="center" vertical="center"/>
      <protection locked="0"/>
    </xf>
    <xf numFmtId="0" fontId="6" fillId="0" borderId="61" xfId="0" applyFont="1" applyBorder="1" applyAlignment="1" applyProtection="1">
      <alignment horizontal="center" vertical="center"/>
      <protection locked="0"/>
    </xf>
    <xf numFmtId="0" fontId="6" fillId="0" borderId="62" xfId="0" applyFont="1" applyBorder="1" applyAlignment="1" applyProtection="1">
      <alignment horizontal="center" vertical="center"/>
      <protection locked="0"/>
    </xf>
    <xf numFmtId="0" fontId="6" fillId="0" borderId="109" xfId="0" applyFont="1" applyBorder="1" applyAlignment="1" applyProtection="1">
      <alignment horizontal="center" vertical="center"/>
      <protection locked="0"/>
    </xf>
    <xf numFmtId="0" fontId="7" fillId="6" borderId="112" xfId="0" applyFont="1" applyFill="1" applyBorder="1" applyAlignment="1">
      <alignment horizontal="center" vertical="center"/>
    </xf>
    <xf numFmtId="0" fontId="10" fillId="6" borderId="126" xfId="2" applyFont="1" applyFill="1" applyBorder="1" applyAlignment="1" applyProtection="1">
      <alignment horizontal="center" vertical="center"/>
    </xf>
    <xf numFmtId="0" fontId="10" fillId="6" borderId="3" xfId="2" applyFont="1" applyFill="1" applyBorder="1" applyAlignment="1" applyProtection="1">
      <alignment horizontal="center" vertical="center"/>
    </xf>
    <xf numFmtId="0" fontId="10" fillId="6" borderId="21" xfId="2" applyFont="1" applyFill="1" applyBorder="1" applyAlignment="1" applyProtection="1">
      <alignment horizontal="center" vertical="center"/>
    </xf>
    <xf numFmtId="0" fontId="7" fillId="6" borderId="131" xfId="0" applyFont="1" applyFill="1" applyBorder="1" applyAlignment="1">
      <alignment horizontal="center" vertical="center"/>
    </xf>
    <xf numFmtId="0" fontId="10" fillId="6" borderId="30" xfId="2" applyFont="1" applyFill="1" applyBorder="1" applyAlignment="1" applyProtection="1">
      <alignment horizontal="center" vertical="center"/>
    </xf>
    <xf numFmtId="0" fontId="7" fillId="6" borderId="133" xfId="0" applyFont="1" applyFill="1" applyBorder="1" applyAlignment="1">
      <alignment horizontal="center" vertical="center"/>
    </xf>
    <xf numFmtId="0" fontId="6" fillId="0" borderId="127" xfId="0" applyFont="1" applyBorder="1" applyAlignment="1" applyProtection="1">
      <alignment horizontal="center" vertical="center"/>
      <protection locked="0"/>
    </xf>
    <xf numFmtId="0" fontId="6" fillId="0" borderId="38" xfId="0" applyFont="1" applyBorder="1" applyAlignment="1" applyProtection="1">
      <alignment horizontal="center" vertical="center"/>
      <protection locked="0"/>
    </xf>
    <xf numFmtId="0" fontId="7" fillId="6" borderId="19" xfId="0" applyFont="1" applyFill="1" applyBorder="1" applyAlignment="1">
      <alignment horizontal="center" vertical="center"/>
    </xf>
    <xf numFmtId="0" fontId="6" fillId="0" borderId="137" xfId="0" applyFont="1" applyBorder="1" applyAlignment="1" applyProtection="1">
      <alignment horizontal="center" vertical="center"/>
      <protection locked="0"/>
    </xf>
    <xf numFmtId="0" fontId="6" fillId="0" borderId="57" xfId="0" applyFont="1" applyBorder="1" applyAlignment="1" applyProtection="1">
      <alignment horizontal="center" vertical="center"/>
      <protection locked="0"/>
    </xf>
    <xf numFmtId="0" fontId="6" fillId="0" borderId="68" xfId="0" applyFont="1" applyBorder="1" applyAlignment="1" applyProtection="1">
      <alignment horizontal="center" vertical="center"/>
      <protection locked="0"/>
    </xf>
    <xf numFmtId="0" fontId="7" fillId="6" borderId="143" xfId="0" applyFont="1" applyFill="1" applyBorder="1" applyAlignment="1">
      <alignment horizontal="center" vertical="center"/>
    </xf>
    <xf numFmtId="0" fontId="7" fillId="6" borderId="144" xfId="0" applyFont="1" applyFill="1" applyBorder="1" applyAlignment="1">
      <alignment horizontal="center" vertical="center"/>
    </xf>
    <xf numFmtId="0" fontId="7" fillId="6" borderId="159" xfId="0" applyFont="1" applyFill="1" applyBorder="1" applyAlignment="1">
      <alignment horizontal="center" vertical="center"/>
    </xf>
    <xf numFmtId="0" fontId="6" fillId="0" borderId="181" xfId="0" applyFont="1" applyBorder="1" applyAlignment="1" applyProtection="1">
      <alignment horizontal="center" vertical="center"/>
      <protection locked="0"/>
    </xf>
    <xf numFmtId="0" fontId="6" fillId="0" borderId="135" xfId="0" applyFont="1" applyBorder="1" applyAlignment="1" applyProtection="1">
      <alignment horizontal="center" vertical="center"/>
      <protection locked="0"/>
    </xf>
    <xf numFmtId="0" fontId="7" fillId="6" borderId="35" xfId="0" applyFont="1" applyFill="1" applyBorder="1" applyAlignment="1">
      <alignment horizontal="center" vertical="center"/>
    </xf>
    <xf numFmtId="0" fontId="5" fillId="0" borderId="0" xfId="0" applyFont="1" applyProtection="1">
      <protection locked="0"/>
    </xf>
    <xf numFmtId="0" fontId="6" fillId="0" borderId="53" xfId="0" applyFont="1" applyBorder="1" applyAlignment="1" applyProtection="1">
      <alignment horizontal="center" vertical="center"/>
      <protection locked="0"/>
    </xf>
    <xf numFmtId="0" fontId="7" fillId="6" borderId="145" xfId="0" applyFont="1" applyFill="1" applyBorder="1" applyAlignment="1">
      <alignment horizontal="center" vertical="center"/>
    </xf>
    <xf numFmtId="0" fontId="7" fillId="6" borderId="175" xfId="0" applyFont="1" applyFill="1" applyBorder="1" applyAlignment="1">
      <alignment horizontal="center" vertical="center"/>
    </xf>
    <xf numFmtId="0" fontId="7" fillId="6" borderId="147" xfId="0" applyFont="1" applyFill="1" applyBorder="1" applyAlignment="1">
      <alignment horizontal="center" vertical="center"/>
    </xf>
    <xf numFmtId="0" fontId="7" fillId="6" borderId="177" xfId="0" applyFont="1" applyFill="1" applyBorder="1" applyAlignment="1">
      <alignment horizontal="center" vertical="center"/>
    </xf>
    <xf numFmtId="0" fontId="7" fillId="6" borderId="146" xfId="0" applyFont="1" applyFill="1" applyBorder="1" applyAlignment="1">
      <alignment horizontal="center" vertical="center"/>
    </xf>
    <xf numFmtId="0" fontId="7" fillId="6" borderId="176" xfId="0" applyFont="1" applyFill="1" applyBorder="1" applyAlignment="1">
      <alignment horizontal="center" vertical="center"/>
    </xf>
    <xf numFmtId="0" fontId="6" fillId="4" borderId="98"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69" xfId="0" applyFont="1" applyFill="1" applyBorder="1" applyAlignment="1">
      <alignment horizontal="center" vertical="center"/>
    </xf>
    <xf numFmtId="0" fontId="6" fillId="4" borderId="108" xfId="0" applyFont="1" applyFill="1" applyBorder="1" applyAlignment="1">
      <alignment horizontal="center" vertical="center"/>
    </xf>
    <xf numFmtId="0" fontId="6" fillId="4" borderId="109" xfId="0" applyFont="1" applyFill="1" applyBorder="1" applyAlignment="1">
      <alignment horizontal="center" vertical="center"/>
    </xf>
    <xf numFmtId="0" fontId="6" fillId="4" borderId="13" xfId="0" applyFont="1" applyFill="1" applyBorder="1" applyAlignment="1">
      <alignment horizontal="center" vertical="center"/>
    </xf>
    <xf numFmtId="0" fontId="6" fillId="4" borderId="128" xfId="0" applyFont="1" applyFill="1" applyBorder="1" applyAlignment="1">
      <alignment horizontal="center" vertical="center"/>
    </xf>
    <xf numFmtId="0" fontId="6" fillId="4" borderId="186" xfId="0" applyFont="1" applyFill="1" applyBorder="1" applyAlignment="1">
      <alignment horizontal="center" vertical="center"/>
    </xf>
    <xf numFmtId="0" fontId="6" fillId="4" borderId="45" xfId="0" applyFont="1" applyFill="1" applyBorder="1" applyAlignment="1">
      <alignment horizontal="center" vertical="center"/>
    </xf>
    <xf numFmtId="0" fontId="22" fillId="2" borderId="50" xfId="0" applyFont="1" applyFill="1" applyBorder="1" applyAlignment="1">
      <alignment vertical="top" wrapText="1"/>
    </xf>
    <xf numFmtId="0" fontId="22" fillId="2" borderId="43" xfId="0" applyFont="1" applyFill="1" applyBorder="1" applyAlignment="1">
      <alignment vertical="top" wrapText="1"/>
    </xf>
    <xf numFmtId="0" fontId="21" fillId="10" borderId="43" xfId="0" applyFont="1" applyFill="1" applyBorder="1" applyAlignment="1">
      <alignment vertical="top" wrapText="1"/>
    </xf>
    <xf numFmtId="0" fontId="22" fillId="2" borderId="51" xfId="0" applyFont="1" applyFill="1" applyBorder="1" applyAlignment="1">
      <alignment vertical="top" wrapText="1"/>
    </xf>
    <xf numFmtId="0" fontId="21" fillId="10" borderId="51" xfId="0" applyFont="1" applyFill="1" applyBorder="1" applyAlignment="1">
      <alignment vertical="top" wrapText="1"/>
    </xf>
    <xf numFmtId="0" fontId="22" fillId="2" borderId="50" xfId="0" applyFont="1" applyFill="1" applyBorder="1" applyAlignment="1">
      <alignment horizontal="left" vertical="top" wrapText="1"/>
    </xf>
    <xf numFmtId="0" fontId="21" fillId="10" borderId="0" xfId="0" applyFont="1" applyFill="1" applyBorder="1" applyAlignment="1">
      <alignment horizontal="left" vertical="top" wrapText="1"/>
    </xf>
    <xf numFmtId="0" fontId="22" fillId="2" borderId="43" xfId="0" applyFont="1" applyFill="1" applyBorder="1" applyAlignment="1">
      <alignment horizontal="left" vertical="top" wrapText="1"/>
    </xf>
    <xf numFmtId="0" fontId="22" fillId="2" borderId="51" xfId="0" applyFont="1" applyFill="1" applyBorder="1" applyAlignment="1">
      <alignment horizontal="left" vertical="top" wrapText="1"/>
    </xf>
    <xf numFmtId="0" fontId="23" fillId="2" borderId="50" xfId="0" applyFont="1" applyFill="1" applyBorder="1" applyAlignment="1">
      <alignment vertical="top" wrapText="1"/>
    </xf>
    <xf numFmtId="0" fontId="23" fillId="2" borderId="43" xfId="0" applyFont="1" applyFill="1" applyBorder="1" applyAlignment="1">
      <alignment vertical="top" wrapText="1"/>
    </xf>
    <xf numFmtId="0" fontId="23" fillId="2" borderId="36" xfId="0" applyFont="1" applyFill="1" applyBorder="1" applyAlignment="1">
      <alignment vertical="top" wrapText="1"/>
    </xf>
    <xf numFmtId="0" fontId="23" fillId="2" borderId="35" xfId="0" applyFont="1" applyFill="1" applyBorder="1" applyAlignment="1">
      <alignment vertical="top" wrapText="1"/>
    </xf>
    <xf numFmtId="0" fontId="23" fillId="2" borderId="19" xfId="0" applyFont="1" applyFill="1" applyBorder="1" applyAlignment="1">
      <alignment vertical="top" wrapText="1"/>
    </xf>
    <xf numFmtId="0" fontId="23" fillId="2" borderId="55" xfId="0" applyFont="1" applyFill="1" applyBorder="1" applyAlignment="1">
      <alignment vertical="top" wrapText="1"/>
    </xf>
    <xf numFmtId="0" fontId="23" fillId="2" borderId="111" xfId="0" applyFont="1" applyFill="1" applyBorder="1" applyAlignment="1">
      <alignment vertical="top" wrapText="1"/>
    </xf>
    <xf numFmtId="0" fontId="23" fillId="2" borderId="0" xfId="0" applyFont="1" applyFill="1" applyBorder="1" applyAlignment="1">
      <alignment vertical="top" wrapText="1"/>
    </xf>
    <xf numFmtId="0" fontId="23" fillId="2" borderId="43" xfId="0" applyFont="1" applyFill="1" applyBorder="1" applyAlignment="1">
      <alignment wrapText="1"/>
    </xf>
    <xf numFmtId="0" fontId="23" fillId="2" borderId="51" xfId="0" applyFont="1" applyFill="1" applyBorder="1" applyAlignment="1">
      <alignment wrapText="1"/>
    </xf>
    <xf numFmtId="0" fontId="24" fillId="2" borderId="50" xfId="0" applyFont="1" applyFill="1" applyBorder="1" applyAlignment="1">
      <alignment vertical="top" wrapText="1"/>
    </xf>
    <xf numFmtId="0" fontId="24" fillId="2" borderId="43" xfId="0" applyFont="1" applyFill="1" applyBorder="1" applyAlignment="1">
      <alignment vertical="top" wrapText="1"/>
    </xf>
    <xf numFmtId="0" fontId="24" fillId="2" borderId="35" xfId="0" applyFont="1" applyFill="1" applyBorder="1" applyAlignment="1">
      <alignment vertical="top" wrapText="1"/>
    </xf>
    <xf numFmtId="0" fontId="24" fillId="2" borderId="36" xfId="0" applyFont="1" applyFill="1" applyBorder="1" applyAlignment="1">
      <alignment vertical="top" wrapText="1"/>
    </xf>
    <xf numFmtId="0" fontId="22" fillId="2" borderId="0" xfId="0" applyFont="1" applyFill="1" applyBorder="1" applyAlignment="1">
      <alignment horizontal="left" vertical="top" wrapText="1"/>
    </xf>
    <xf numFmtId="0" fontId="28" fillId="0" borderId="43" xfId="0" applyFont="1" applyBorder="1" applyAlignment="1">
      <alignment horizontal="left" vertical="center" wrapText="1"/>
    </xf>
    <xf numFmtId="0" fontId="22" fillId="2" borderId="50" xfId="0" applyFont="1" applyFill="1" applyBorder="1" applyAlignment="1">
      <alignment horizontal="center" vertical="top" wrapText="1"/>
    </xf>
    <xf numFmtId="0" fontId="25" fillId="0" borderId="50" xfId="0" applyFont="1" applyBorder="1" applyAlignment="1">
      <alignment horizontal="left" vertical="center" wrapText="1"/>
    </xf>
    <xf numFmtId="0" fontId="22" fillId="2" borderId="36" xfId="0" applyFont="1" applyFill="1" applyBorder="1" applyAlignment="1">
      <alignment vertical="top" wrapText="1"/>
    </xf>
    <xf numFmtId="0" fontId="25" fillId="0" borderId="0" xfId="0" applyFont="1" applyAlignment="1">
      <alignment wrapText="1"/>
    </xf>
    <xf numFmtId="0" fontId="21" fillId="0" borderId="5" xfId="0" applyFont="1" applyBorder="1" applyAlignment="1">
      <alignment horizontal="center" vertical="center"/>
    </xf>
    <xf numFmtId="0" fontId="21" fillId="6" borderId="41" xfId="0" applyFont="1" applyFill="1" applyBorder="1" applyAlignment="1">
      <alignment vertical="center"/>
    </xf>
    <xf numFmtId="0" fontId="21" fillId="0" borderId="41" xfId="0" applyFont="1" applyBorder="1" applyAlignment="1">
      <alignment wrapText="1"/>
    </xf>
    <xf numFmtId="0" fontId="21" fillId="0" borderId="99" xfId="0" applyFont="1" applyBorder="1" applyAlignment="1">
      <alignment wrapText="1"/>
    </xf>
    <xf numFmtId="49" fontId="32" fillId="4" borderId="9" xfId="1" applyNumberFormat="1" applyFont="1" applyFill="1" applyBorder="1" applyAlignment="1">
      <alignment horizontal="center" vertical="center"/>
    </xf>
    <xf numFmtId="49" fontId="32" fillId="4" borderId="3" xfId="1" applyNumberFormat="1" applyFont="1" applyFill="1" applyBorder="1" applyAlignment="1">
      <alignment horizontal="center" vertical="center"/>
    </xf>
    <xf numFmtId="0" fontId="25" fillId="4" borderId="18" xfId="0" applyFont="1" applyFill="1" applyBorder="1" applyAlignment="1">
      <alignment vertical="center"/>
    </xf>
    <xf numFmtId="0" fontId="25" fillId="4" borderId="61" xfId="0" applyFont="1" applyFill="1" applyBorder="1" applyAlignment="1" applyProtection="1">
      <alignment horizontal="center" vertical="center"/>
    </xf>
    <xf numFmtId="0" fontId="25" fillId="4" borderId="6" xfId="0" applyFont="1" applyFill="1" applyBorder="1" applyAlignment="1" applyProtection="1">
      <alignment horizontal="center" vertical="center"/>
    </xf>
    <xf numFmtId="0" fontId="25" fillId="0" borderId="6" xfId="0" applyFont="1" applyBorder="1" applyAlignment="1" applyProtection="1">
      <alignment horizontal="center" vertical="center"/>
      <protection locked="0"/>
    </xf>
    <xf numFmtId="3" fontId="25" fillId="0" borderId="6" xfId="0" applyNumberFormat="1" applyFont="1" applyBorder="1" applyAlignment="1" applyProtection="1">
      <alignment horizontal="center" vertical="center"/>
      <protection locked="0"/>
    </xf>
    <xf numFmtId="0" fontId="25" fillId="0" borderId="106" xfId="0" applyFont="1" applyBorder="1" applyAlignment="1" applyProtection="1">
      <alignment horizontal="center" vertical="center"/>
      <protection locked="0"/>
    </xf>
    <xf numFmtId="0" fontId="21" fillId="6" borderId="145" xfId="0" applyFont="1" applyFill="1" applyBorder="1" applyAlignment="1">
      <alignment horizontal="center" vertical="center"/>
    </xf>
    <xf numFmtId="0" fontId="21" fillId="6" borderId="175" xfId="0" applyFont="1" applyFill="1" applyBorder="1" applyAlignment="1">
      <alignment horizontal="center" vertical="center"/>
    </xf>
    <xf numFmtId="0" fontId="25" fillId="0" borderId="25" xfId="0" applyFont="1" applyBorder="1" applyAlignment="1" applyProtection="1">
      <alignment horizontal="center" vertical="center"/>
      <protection locked="0"/>
    </xf>
    <xf numFmtId="0" fontId="21" fillId="6" borderId="18" xfId="0" applyFont="1" applyFill="1" applyBorder="1" applyAlignment="1">
      <alignment horizontal="center" vertical="center"/>
    </xf>
    <xf numFmtId="0" fontId="25" fillId="10" borderId="38" xfId="0" applyFont="1" applyFill="1" applyBorder="1" applyAlignment="1">
      <alignment horizontal="left" vertical="top" wrapText="1"/>
    </xf>
    <xf numFmtId="0" fontId="23" fillId="0" borderId="0" xfId="0" applyFont="1" applyFill="1" applyBorder="1" applyAlignment="1">
      <alignment horizontal="center"/>
    </xf>
    <xf numFmtId="0" fontId="25" fillId="4" borderId="19" xfId="0" applyFont="1" applyFill="1" applyBorder="1" applyAlignment="1">
      <alignment vertical="center"/>
    </xf>
    <xf numFmtId="0" fontId="25" fillId="4" borderId="62" xfId="0" applyFont="1" applyFill="1" applyBorder="1" applyAlignment="1" applyProtection="1">
      <alignment horizontal="center" vertical="center"/>
    </xf>
    <xf numFmtId="0" fontId="25" fillId="4" borderId="1" xfId="0" applyFont="1" applyFill="1" applyBorder="1" applyAlignment="1" applyProtection="1">
      <alignment horizontal="center" vertical="center"/>
    </xf>
    <xf numFmtId="0" fontId="25" fillId="0" borderId="1" xfId="0" applyFont="1" applyBorder="1" applyAlignment="1" applyProtection="1">
      <alignment horizontal="center" vertical="center"/>
      <protection locked="0"/>
    </xf>
    <xf numFmtId="0" fontId="25" fillId="0" borderId="16" xfId="0" applyFont="1" applyBorder="1" applyAlignment="1" applyProtection="1">
      <alignment horizontal="center" vertical="center"/>
      <protection locked="0"/>
    </xf>
    <xf numFmtId="0" fontId="21" fillId="6" borderId="146" xfId="0" applyFont="1" applyFill="1" applyBorder="1" applyAlignment="1">
      <alignment horizontal="center" vertical="center"/>
    </xf>
    <xf numFmtId="0" fontId="21" fillId="6" borderId="176" xfId="0" applyFont="1" applyFill="1" applyBorder="1" applyAlignment="1">
      <alignment horizontal="center" vertical="center"/>
    </xf>
    <xf numFmtId="0" fontId="25" fillId="0" borderId="2" xfId="0" applyFont="1" applyBorder="1" applyAlignment="1" applyProtection="1">
      <alignment horizontal="center" vertical="center"/>
      <protection locked="0"/>
    </xf>
    <xf numFmtId="0" fontId="31" fillId="6" borderId="116" xfId="0" applyFont="1" applyFill="1" applyBorder="1" applyAlignment="1">
      <alignment horizontal="center" vertical="center"/>
    </xf>
    <xf numFmtId="0" fontId="25" fillId="10" borderId="17" xfId="0" applyFont="1" applyFill="1" applyBorder="1" applyAlignment="1">
      <alignment horizontal="left" vertical="top" wrapText="1"/>
    </xf>
    <xf numFmtId="0" fontId="21" fillId="2" borderId="17" xfId="0" applyFont="1" applyFill="1" applyBorder="1" applyAlignment="1">
      <alignment horizontal="left" vertical="top"/>
    </xf>
    <xf numFmtId="0" fontId="25" fillId="10" borderId="17" xfId="0" applyFont="1" applyFill="1" applyBorder="1" applyAlignment="1">
      <alignment horizontal="left" vertical="top"/>
    </xf>
    <xf numFmtId="0" fontId="25" fillId="4" borderId="16" xfId="0" applyFont="1" applyFill="1" applyBorder="1" applyAlignment="1" applyProtection="1">
      <alignment horizontal="center" vertical="center"/>
    </xf>
    <xf numFmtId="0" fontId="25" fillId="4" borderId="8" xfId="0" applyFont="1" applyFill="1" applyBorder="1" applyAlignment="1" applyProtection="1">
      <alignment horizontal="center" vertical="center"/>
    </xf>
    <xf numFmtId="0" fontId="25" fillId="4" borderId="2" xfId="0" applyFont="1" applyFill="1" applyBorder="1" applyAlignment="1" applyProtection="1">
      <alignment horizontal="center" vertical="center"/>
    </xf>
    <xf numFmtId="0" fontId="30" fillId="0" borderId="1" xfId="0" applyFont="1" applyBorder="1" applyAlignment="1" applyProtection="1">
      <alignment horizontal="center" vertical="center"/>
      <protection locked="0"/>
    </xf>
    <xf numFmtId="0" fontId="30" fillId="0" borderId="16" xfId="0" applyFont="1" applyBorder="1" applyAlignment="1" applyProtection="1">
      <alignment horizontal="center" vertical="center"/>
      <protection locked="0"/>
    </xf>
    <xf numFmtId="0" fontId="30" fillId="0" borderId="2" xfId="0" applyFont="1" applyBorder="1" applyAlignment="1" applyProtection="1">
      <alignment horizontal="center" vertical="center"/>
      <protection locked="0"/>
    </xf>
    <xf numFmtId="0" fontId="21" fillId="15" borderId="17" xfId="0" applyFont="1" applyFill="1" applyBorder="1" applyAlignment="1">
      <alignment horizontal="left" vertical="top"/>
    </xf>
    <xf numFmtId="0" fontId="21" fillId="0" borderId="58" xfId="0" applyFont="1" applyBorder="1" applyAlignment="1" applyProtection="1">
      <alignment horizontal="center" vertical="center"/>
      <protection locked="0"/>
    </xf>
    <xf numFmtId="0" fontId="21" fillId="0" borderId="188" xfId="0" applyFont="1" applyBorder="1" applyAlignment="1" applyProtection="1">
      <alignment horizontal="center" vertical="center"/>
      <protection locked="0"/>
    </xf>
    <xf numFmtId="0" fontId="21" fillId="0" borderId="57" xfId="0" applyFont="1" applyBorder="1" applyAlignment="1" applyProtection="1">
      <alignment horizontal="center" vertical="center"/>
      <protection locked="0"/>
    </xf>
    <xf numFmtId="0" fontId="21" fillId="0" borderId="66" xfId="0" applyFont="1" applyBorder="1" applyAlignment="1" applyProtection="1">
      <alignment horizontal="center" vertical="center"/>
      <protection locked="0"/>
    </xf>
    <xf numFmtId="0" fontId="21" fillId="0" borderId="139" xfId="0" applyFont="1" applyBorder="1" applyAlignment="1" applyProtection="1">
      <alignment horizontal="center" vertical="center"/>
      <protection locked="0"/>
    </xf>
    <xf numFmtId="0" fontId="21" fillId="0" borderId="124" xfId="0" applyFont="1" applyBorder="1" applyAlignment="1" applyProtection="1">
      <alignment horizontal="center" vertical="center"/>
      <protection locked="0"/>
    </xf>
    <xf numFmtId="0" fontId="21" fillId="0" borderId="165" xfId="0" applyFont="1" applyBorder="1" applyAlignment="1" applyProtection="1">
      <alignment horizontal="center" vertical="center"/>
      <protection locked="0"/>
    </xf>
    <xf numFmtId="0" fontId="29" fillId="5" borderId="59" xfId="0" applyFont="1" applyFill="1" applyBorder="1" applyAlignment="1" applyProtection="1">
      <alignment horizontal="center" vertical="center"/>
      <protection locked="0"/>
    </xf>
    <xf numFmtId="0" fontId="29" fillId="5" borderId="68" xfId="0" applyFont="1" applyFill="1" applyBorder="1" applyAlignment="1" applyProtection="1">
      <alignment horizontal="center" vertical="center"/>
      <protection locked="0"/>
    </xf>
    <xf numFmtId="0" fontId="29" fillId="5" borderId="71" xfId="0" applyFont="1" applyFill="1" applyBorder="1" applyAlignment="1" applyProtection="1">
      <alignment horizontal="center" vertical="center"/>
      <protection locked="0"/>
    </xf>
    <xf numFmtId="0" fontId="25" fillId="6" borderId="2" xfId="0" applyFont="1" applyFill="1" applyBorder="1" applyAlignment="1" applyProtection="1">
      <alignment horizontal="center" vertical="center"/>
    </xf>
    <xf numFmtId="0" fontId="25" fillId="6" borderId="17" xfId="0" applyFont="1" applyFill="1" applyBorder="1" applyAlignment="1" applyProtection="1">
      <alignment horizontal="center" vertical="center"/>
    </xf>
    <xf numFmtId="0" fontId="25" fillId="6" borderId="62" xfId="0" applyFont="1" applyFill="1" applyBorder="1" applyAlignment="1" applyProtection="1">
      <alignment horizontal="center" vertical="center"/>
    </xf>
    <xf numFmtId="0" fontId="25" fillId="6" borderId="55" xfId="0" applyFont="1" applyFill="1" applyBorder="1" applyAlignment="1" applyProtection="1">
      <alignment horizontal="center" vertical="center"/>
    </xf>
    <xf numFmtId="0" fontId="25" fillId="4" borderId="43" xfId="0" applyFont="1" applyFill="1" applyBorder="1" applyAlignment="1">
      <alignment vertical="center"/>
    </xf>
    <xf numFmtId="0" fontId="23" fillId="4" borderId="179" xfId="0" applyFont="1" applyFill="1" applyBorder="1" applyAlignment="1" applyProtection="1">
      <alignment horizontal="center" vertical="center"/>
    </xf>
    <xf numFmtId="0" fontId="23" fillId="4" borderId="11" xfId="0" applyFont="1" applyFill="1" applyBorder="1" applyAlignment="1" applyProtection="1">
      <alignment horizontal="center" vertical="center"/>
    </xf>
    <xf numFmtId="0" fontId="25" fillId="0" borderId="11" xfId="0" applyFont="1" applyBorder="1" applyAlignment="1" applyProtection="1">
      <alignment horizontal="center" vertical="center"/>
      <protection locked="0"/>
    </xf>
    <xf numFmtId="0" fontId="25" fillId="0" borderId="27" xfId="0" applyFont="1" applyBorder="1" applyAlignment="1" applyProtection="1">
      <alignment horizontal="center" vertical="center"/>
      <protection locked="0"/>
    </xf>
    <xf numFmtId="0" fontId="21" fillId="6" borderId="147" xfId="0" applyFont="1" applyFill="1" applyBorder="1" applyAlignment="1">
      <alignment horizontal="center" vertical="center"/>
    </xf>
    <xf numFmtId="0" fontId="21" fillId="6" borderId="177" xfId="0" applyFont="1" applyFill="1" applyBorder="1" applyAlignment="1">
      <alignment horizontal="center" vertical="center"/>
    </xf>
    <xf numFmtId="0" fontId="25" fillId="0" borderId="28" xfId="0" applyFont="1" applyBorder="1" applyAlignment="1" applyProtection="1">
      <alignment horizontal="center" vertical="center"/>
      <protection locked="0"/>
    </xf>
    <xf numFmtId="0" fontId="31" fillId="6" borderId="117" xfId="0" applyFont="1" applyFill="1" applyBorder="1" applyAlignment="1">
      <alignment horizontal="center" vertical="center"/>
    </xf>
    <xf numFmtId="0" fontId="25" fillId="4" borderId="22" xfId="0" applyFont="1" applyFill="1" applyBorder="1" applyAlignment="1">
      <alignment vertical="center"/>
    </xf>
    <xf numFmtId="0" fontId="25" fillId="0" borderId="129" xfId="0" applyFont="1" applyBorder="1" applyAlignment="1" applyProtection="1">
      <alignment horizontal="center" vertical="center"/>
      <protection locked="0"/>
    </xf>
    <xf numFmtId="0" fontId="25" fillId="0" borderId="130" xfId="0" applyFont="1" applyBorder="1" applyAlignment="1" applyProtection="1">
      <alignment horizontal="center" vertical="center"/>
      <protection locked="0"/>
    </xf>
    <xf numFmtId="0" fontId="25" fillId="0" borderId="203" xfId="0" applyFont="1" applyBorder="1" applyAlignment="1" applyProtection="1">
      <alignment horizontal="center" vertical="center"/>
      <protection locked="0"/>
    </xf>
    <xf numFmtId="0" fontId="31" fillId="6" borderId="115" xfId="0" applyFont="1" applyFill="1" applyBorder="1" applyAlignment="1">
      <alignment horizontal="center" vertical="center"/>
    </xf>
    <xf numFmtId="0" fontId="21" fillId="2" borderId="17" xfId="0" applyFont="1" applyFill="1" applyBorder="1" applyAlignment="1">
      <alignment vertical="top"/>
    </xf>
    <xf numFmtId="0" fontId="25" fillId="4" borderId="142" xfId="0" applyFont="1" applyFill="1" applyBorder="1" applyAlignment="1">
      <alignment vertical="center"/>
    </xf>
    <xf numFmtId="0" fontId="31" fillId="0" borderId="186" xfId="0" applyFont="1" applyBorder="1" applyAlignment="1" applyProtection="1">
      <alignment horizontal="center" vertical="center"/>
      <protection locked="0"/>
    </xf>
    <xf numFmtId="0" fontId="31" fillId="0" borderId="198" xfId="0" applyFont="1" applyBorder="1" applyAlignment="1" applyProtection="1">
      <alignment horizontal="center" vertical="center"/>
      <protection locked="0"/>
    </xf>
    <xf numFmtId="0" fontId="31" fillId="0" borderId="202" xfId="0" applyFont="1" applyBorder="1" applyAlignment="1" applyProtection="1">
      <alignment horizontal="center" vertical="center"/>
      <protection locked="0"/>
    </xf>
    <xf numFmtId="0" fontId="21" fillId="16" borderId="17" xfId="0" applyFont="1" applyFill="1" applyBorder="1" applyAlignment="1">
      <alignment horizontal="left" vertical="top"/>
    </xf>
    <xf numFmtId="0" fontId="21" fillId="0" borderId="186" xfId="0" applyFont="1" applyBorder="1" applyAlignment="1" applyProtection="1">
      <alignment horizontal="center" vertical="center"/>
      <protection locked="0"/>
    </xf>
    <xf numFmtId="0" fontId="21" fillId="0" borderId="198" xfId="0" applyFont="1" applyBorder="1" applyAlignment="1" applyProtection="1">
      <alignment horizontal="center" vertical="center"/>
      <protection locked="0"/>
    </xf>
    <xf numFmtId="0" fontId="21" fillId="0" borderId="202" xfId="0" applyFont="1" applyBorder="1" applyAlignment="1" applyProtection="1">
      <alignment horizontal="center" vertical="center"/>
      <protection locked="0"/>
    </xf>
    <xf numFmtId="0" fontId="21" fillId="2" borderId="0" xfId="0" applyFont="1" applyFill="1" applyBorder="1" applyAlignment="1">
      <alignment horizontal="left" vertical="top"/>
    </xf>
    <xf numFmtId="0" fontId="25" fillId="4" borderId="194" xfId="0" applyFont="1" applyFill="1" applyBorder="1" applyAlignment="1">
      <alignment vertical="center"/>
    </xf>
    <xf numFmtId="0" fontId="25" fillId="4" borderId="63" xfId="0" applyFont="1" applyFill="1" applyBorder="1" applyAlignment="1" applyProtection="1">
      <alignment horizontal="center" vertical="center"/>
    </xf>
    <xf numFmtId="0" fontId="25" fillId="4" borderId="9" xfId="0" applyFont="1" applyFill="1" applyBorder="1" applyAlignment="1" applyProtection="1">
      <alignment horizontal="center" vertical="center"/>
    </xf>
    <xf numFmtId="0" fontId="29" fillId="5" borderId="200" xfId="0" applyFont="1" applyFill="1" applyBorder="1" applyAlignment="1" applyProtection="1">
      <alignment horizontal="center" vertical="center"/>
      <protection locked="0"/>
    </xf>
    <xf numFmtId="0" fontId="29" fillId="5" borderId="201" xfId="0" applyFont="1" applyFill="1" applyBorder="1" applyAlignment="1" applyProtection="1">
      <alignment horizontal="center" vertical="center"/>
      <protection locked="0"/>
    </xf>
    <xf numFmtId="0" fontId="21" fillId="6" borderId="199" xfId="0" applyFont="1" applyFill="1" applyBorder="1" applyAlignment="1">
      <alignment horizontal="center" vertical="center"/>
    </xf>
    <xf numFmtId="0" fontId="21" fillId="6" borderId="201" xfId="0" applyFont="1" applyFill="1" applyBorder="1" applyAlignment="1">
      <alignment horizontal="center" vertical="center"/>
    </xf>
    <xf numFmtId="0" fontId="29" fillId="5" borderId="204" xfId="0" applyFont="1" applyFill="1" applyBorder="1" applyAlignment="1" applyProtection="1">
      <alignment horizontal="center" vertical="center"/>
      <protection locked="0"/>
    </xf>
    <xf numFmtId="0" fontId="25" fillId="4" borderId="129" xfId="0" applyFont="1" applyFill="1" applyBorder="1" applyAlignment="1" applyProtection="1">
      <alignment horizontal="center" vertical="center"/>
    </xf>
    <xf numFmtId="0" fontId="25" fillId="4" borderId="130" xfId="0" applyFont="1" applyFill="1" applyBorder="1" applyAlignment="1" applyProtection="1">
      <alignment horizontal="center" vertical="center"/>
    </xf>
    <xf numFmtId="0" fontId="25" fillId="4" borderId="186" xfId="0" applyFont="1" applyFill="1" applyBorder="1" applyAlignment="1" applyProtection="1">
      <alignment horizontal="center" vertical="center"/>
    </xf>
    <xf numFmtId="0" fontId="25" fillId="4" borderId="198" xfId="0" applyFont="1" applyFill="1" applyBorder="1" applyAlignment="1" applyProtection="1">
      <alignment horizontal="center" vertical="center"/>
    </xf>
    <xf numFmtId="0" fontId="25" fillId="4" borderId="207" xfId="0" applyFont="1" applyFill="1" applyBorder="1" applyAlignment="1" applyProtection="1">
      <alignment horizontal="center" vertical="center"/>
    </xf>
    <xf numFmtId="0" fontId="25" fillId="4" borderId="208" xfId="0" applyFont="1" applyFill="1" applyBorder="1" applyAlignment="1" applyProtection="1">
      <alignment horizontal="center" vertical="center"/>
    </xf>
    <xf numFmtId="0" fontId="25" fillId="0" borderId="207" xfId="0" applyFont="1" applyBorder="1" applyAlignment="1" applyProtection="1">
      <alignment horizontal="center" vertical="center"/>
      <protection locked="0"/>
    </xf>
    <xf numFmtId="0" fontId="31" fillId="0" borderId="208" xfId="0" applyFont="1" applyBorder="1" applyAlignment="1" applyProtection="1">
      <alignment horizontal="center" vertical="center"/>
      <protection locked="0"/>
    </xf>
    <xf numFmtId="0" fontId="21" fillId="0" borderId="208" xfId="0" applyFont="1" applyBorder="1" applyAlignment="1" applyProtection="1">
      <alignment horizontal="center" vertical="center"/>
      <protection locked="0"/>
    </xf>
    <xf numFmtId="0" fontId="29" fillId="5" borderId="209" xfId="0" applyFont="1" applyFill="1" applyBorder="1" applyAlignment="1" applyProtection="1">
      <alignment horizontal="center" vertical="center"/>
      <protection locked="0"/>
    </xf>
    <xf numFmtId="0" fontId="25" fillId="10" borderId="129" xfId="0" applyFont="1" applyFill="1" applyBorder="1" applyAlignment="1" applyProtection="1">
      <alignment horizontal="center" vertical="center"/>
    </xf>
    <xf numFmtId="0" fontId="25" fillId="10" borderId="207" xfId="0" applyFont="1" applyFill="1" applyBorder="1" applyAlignment="1" applyProtection="1">
      <alignment horizontal="center" vertical="center"/>
    </xf>
    <xf numFmtId="0" fontId="31" fillId="0" borderId="186" xfId="0" applyFont="1" applyBorder="1" applyAlignment="1" applyProtection="1">
      <alignment horizontal="center" vertical="center"/>
    </xf>
    <xf numFmtId="0" fontId="31" fillId="0" borderId="208" xfId="0" applyFont="1" applyBorder="1" applyAlignment="1" applyProtection="1">
      <alignment horizontal="center" vertical="center"/>
    </xf>
    <xf numFmtId="0" fontId="33" fillId="4" borderId="142" xfId="0" applyFont="1" applyFill="1" applyBorder="1" applyAlignment="1">
      <alignment vertical="center"/>
    </xf>
    <xf numFmtId="0" fontId="33" fillId="4" borderId="194" xfId="0" applyFont="1" applyFill="1" applyBorder="1" applyAlignment="1">
      <alignment vertical="center"/>
    </xf>
    <xf numFmtId="0" fontId="25" fillId="4" borderId="126" xfId="0" applyFont="1" applyFill="1" applyBorder="1" applyAlignment="1" applyProtection="1">
      <alignment horizontal="center" vertical="center"/>
    </xf>
    <xf numFmtId="0" fontId="25" fillId="4" borderId="3" xfId="0" applyFont="1" applyFill="1" applyBorder="1" applyAlignment="1" applyProtection="1">
      <alignment horizontal="center" vertical="center"/>
    </xf>
    <xf numFmtId="0" fontId="29" fillId="5" borderId="196" xfId="0" applyFont="1" applyFill="1" applyBorder="1" applyAlignment="1" applyProtection="1">
      <alignment horizontal="center" vertical="center"/>
      <protection locked="0"/>
    </xf>
    <xf numFmtId="0" fontId="33" fillId="4" borderId="22" xfId="0" applyFont="1" applyFill="1" applyBorder="1" applyAlignment="1">
      <alignment vertical="center"/>
    </xf>
    <xf numFmtId="0" fontId="25" fillId="4" borderId="106" xfId="0" applyFont="1" applyFill="1" applyBorder="1" applyAlignment="1" applyProtection="1">
      <alignment horizontal="center" vertical="center"/>
    </xf>
    <xf numFmtId="0" fontId="25" fillId="10" borderId="137" xfId="0" applyFont="1" applyFill="1" applyBorder="1" applyAlignment="1" applyProtection="1">
      <alignment horizontal="center" vertical="center"/>
    </xf>
    <xf numFmtId="0" fontId="25" fillId="10" borderId="143" xfId="0" applyFont="1" applyFill="1" applyBorder="1" applyAlignment="1" applyProtection="1">
      <alignment horizontal="center" vertical="center"/>
    </xf>
    <xf numFmtId="0" fontId="21" fillId="6" borderId="171" xfId="0" applyFont="1" applyFill="1" applyBorder="1" applyAlignment="1">
      <alignment horizontal="center" vertical="center"/>
    </xf>
    <xf numFmtId="0" fontId="31" fillId="0" borderId="57" xfId="0" applyFont="1" applyBorder="1" applyAlignment="1" applyProtection="1">
      <alignment horizontal="center" vertical="center"/>
    </xf>
    <xf numFmtId="0" fontId="31" fillId="0" borderId="159" xfId="0" applyFont="1" applyBorder="1" applyAlignment="1" applyProtection="1">
      <alignment horizontal="center" vertical="center"/>
    </xf>
    <xf numFmtId="0" fontId="25" fillId="10" borderId="57" xfId="0" applyFont="1" applyFill="1" applyBorder="1" applyAlignment="1" applyProtection="1">
      <alignment horizontal="center" vertical="center"/>
    </xf>
    <xf numFmtId="0" fontId="25" fillId="10" borderId="159" xfId="0" applyFont="1" applyFill="1" applyBorder="1" applyAlignment="1" applyProtection="1">
      <alignment horizontal="center" vertical="center"/>
    </xf>
    <xf numFmtId="0" fontId="25" fillId="4" borderId="40" xfId="0" applyFont="1" applyFill="1" applyBorder="1" applyAlignment="1" applyProtection="1">
      <alignment horizontal="center" vertical="center"/>
    </xf>
    <xf numFmtId="0" fontId="25" fillId="10" borderId="68" xfId="0" applyFont="1" applyFill="1" applyBorder="1" applyAlignment="1" applyProtection="1">
      <alignment horizontal="center" vertical="center"/>
    </xf>
    <xf numFmtId="0" fontId="25" fillId="10" borderId="144" xfId="0" applyFont="1" applyFill="1" applyBorder="1" applyAlignment="1" applyProtection="1">
      <alignment horizontal="center" vertical="center"/>
    </xf>
    <xf numFmtId="0" fontId="33" fillId="4" borderId="18" xfId="0" applyFont="1" applyFill="1" applyBorder="1" applyAlignment="1">
      <alignment vertical="center"/>
    </xf>
    <xf numFmtId="0" fontId="23" fillId="4" borderId="127" xfId="0" applyFont="1" applyFill="1" applyBorder="1" applyAlignment="1" applyProtection="1">
      <alignment horizontal="center" vertical="center"/>
    </xf>
    <xf numFmtId="0" fontId="23" fillId="4" borderId="4" xfId="0" applyFont="1" applyFill="1" applyBorder="1" applyAlignment="1" applyProtection="1">
      <alignment horizontal="center" vertical="center"/>
    </xf>
    <xf numFmtId="0" fontId="25" fillId="10" borderId="4" xfId="0" applyFont="1" applyFill="1" applyBorder="1" applyAlignment="1" applyProtection="1">
      <alignment horizontal="center" vertical="center"/>
    </xf>
    <xf numFmtId="0" fontId="33" fillId="4" borderId="173" xfId="0" applyFont="1" applyFill="1" applyBorder="1" applyAlignment="1">
      <alignment vertical="center"/>
    </xf>
    <xf numFmtId="0" fontId="23" fillId="4" borderId="126" xfId="0" applyFont="1" applyFill="1" applyBorder="1" applyAlignment="1" applyProtection="1">
      <alignment horizontal="center" vertical="center"/>
    </xf>
    <xf numFmtId="0" fontId="23" fillId="4" borderId="3" xfId="0" applyFont="1" applyFill="1" applyBorder="1" applyAlignment="1" applyProtection="1">
      <alignment horizontal="center" vertical="center"/>
    </xf>
    <xf numFmtId="0" fontId="25" fillId="10" borderId="11" xfId="0" applyFont="1" applyFill="1" applyBorder="1" applyAlignment="1" applyProtection="1">
      <alignment horizontal="center" vertical="center"/>
    </xf>
    <xf numFmtId="0" fontId="23" fillId="4" borderId="49" xfId="0" applyFont="1" applyFill="1" applyBorder="1" applyAlignment="1" applyProtection="1">
      <alignment horizontal="center" vertical="center"/>
    </xf>
    <xf numFmtId="0" fontId="23" fillId="4" borderId="53" xfId="0" applyFont="1" applyFill="1" applyBorder="1" applyAlignment="1" applyProtection="1">
      <alignment horizontal="center" vertical="center"/>
    </xf>
    <xf numFmtId="0" fontId="33" fillId="4" borderId="148" xfId="0" applyFont="1" applyFill="1" applyBorder="1" applyAlignment="1">
      <alignment vertical="center"/>
    </xf>
    <xf numFmtId="0" fontId="23" fillId="4" borderId="63" xfId="0" applyFont="1" applyFill="1" applyBorder="1" applyAlignment="1" applyProtection="1">
      <alignment horizontal="center" vertical="center"/>
    </xf>
    <xf numFmtId="0" fontId="23" fillId="4" borderId="9" xfId="0" applyFont="1" applyFill="1" applyBorder="1" applyAlignment="1" applyProtection="1">
      <alignment horizontal="center" vertical="center"/>
    </xf>
    <xf numFmtId="0" fontId="33" fillId="4" borderId="50" xfId="0" applyFont="1" applyFill="1" applyBorder="1" applyAlignment="1">
      <alignment vertical="center"/>
    </xf>
    <xf numFmtId="0" fontId="25" fillId="10" borderId="6" xfId="0" applyFont="1" applyFill="1" applyBorder="1" applyAlignment="1" applyProtection="1">
      <alignment horizontal="center" vertical="center"/>
    </xf>
    <xf numFmtId="0" fontId="25" fillId="10" borderId="106" xfId="0" applyFont="1" applyFill="1" applyBorder="1" applyAlignment="1" applyProtection="1">
      <alignment horizontal="center" vertical="center"/>
    </xf>
    <xf numFmtId="0" fontId="21" fillId="0" borderId="58" xfId="0" applyFont="1" applyBorder="1" applyAlignment="1" applyProtection="1">
      <alignment horizontal="center" vertical="center"/>
    </xf>
    <xf numFmtId="0" fontId="21" fillId="0" borderId="188" xfId="0" applyFont="1" applyBorder="1" applyAlignment="1" applyProtection="1">
      <alignment horizontal="center" vertical="center"/>
    </xf>
    <xf numFmtId="0" fontId="21" fillId="0" borderId="139" xfId="0" applyFont="1" applyBorder="1" applyAlignment="1" applyProtection="1">
      <alignment horizontal="center" vertical="center"/>
    </xf>
    <xf numFmtId="0" fontId="21" fillId="0" borderId="189" xfId="0" applyFont="1" applyBorder="1" applyAlignment="1" applyProtection="1">
      <alignment horizontal="center" vertical="center"/>
    </xf>
    <xf numFmtId="0" fontId="33" fillId="4" borderId="51" xfId="0" applyFont="1" applyFill="1" applyBorder="1" applyAlignment="1">
      <alignment vertical="center"/>
    </xf>
    <xf numFmtId="0" fontId="29" fillId="5" borderId="205" xfId="0" applyFont="1" applyFill="1" applyBorder="1" applyAlignment="1" applyProtection="1">
      <alignment horizontal="center" vertical="center"/>
      <protection locked="0"/>
    </xf>
    <xf numFmtId="0" fontId="21" fillId="6" borderId="154" xfId="0" applyFont="1" applyFill="1" applyBorder="1" applyAlignment="1">
      <alignment horizontal="center" vertical="center"/>
    </xf>
    <xf numFmtId="0" fontId="21" fillId="6" borderId="206" xfId="0" applyFont="1" applyFill="1" applyBorder="1" applyAlignment="1">
      <alignment horizontal="center" vertical="center"/>
    </xf>
    <xf numFmtId="0" fontId="25" fillId="4" borderId="25" xfId="0" applyFont="1" applyFill="1" applyBorder="1" applyAlignment="1" applyProtection="1">
      <alignment horizontal="center" vertical="center"/>
    </xf>
    <xf numFmtId="0" fontId="25" fillId="0" borderId="137" xfId="0" applyFont="1" applyBorder="1" applyAlignment="1" applyProtection="1">
      <alignment horizontal="center" vertical="center"/>
      <protection locked="0"/>
    </xf>
    <xf numFmtId="0" fontId="25" fillId="0" borderId="143" xfId="0" applyFont="1" applyBorder="1" applyAlignment="1" applyProtection="1">
      <alignment horizontal="center" vertical="center"/>
      <protection locked="0"/>
    </xf>
    <xf numFmtId="0" fontId="21" fillId="6" borderId="58" xfId="0" applyFont="1" applyFill="1" applyBorder="1" applyAlignment="1">
      <alignment horizontal="center" vertical="center"/>
    </xf>
    <xf numFmtId="0" fontId="21" fillId="6" borderId="66" xfId="0" applyFont="1" applyFill="1" applyBorder="1" applyAlignment="1">
      <alignment horizontal="center" vertical="center"/>
    </xf>
    <xf numFmtId="0" fontId="25" fillId="0" borderId="121" xfId="0" applyFont="1" applyBorder="1" applyAlignment="1" applyProtection="1">
      <alignment horizontal="center" vertical="center"/>
      <protection locked="0"/>
    </xf>
    <xf numFmtId="0" fontId="21" fillId="6" borderId="115" xfId="0" applyFont="1" applyFill="1" applyBorder="1" applyAlignment="1">
      <alignment horizontal="center" vertical="center"/>
    </xf>
    <xf numFmtId="0" fontId="25" fillId="4" borderId="173" xfId="0" applyFont="1" applyFill="1" applyBorder="1" applyAlignment="1">
      <alignment vertical="center"/>
    </xf>
    <xf numFmtId="0" fontId="30" fillId="0" borderId="57" xfId="0" applyFont="1" applyBorder="1" applyAlignment="1" applyProtection="1">
      <alignment horizontal="center" vertical="center"/>
      <protection locked="0"/>
    </xf>
    <xf numFmtId="0" fontId="30" fillId="0" borderId="159" xfId="0" applyFont="1" applyBorder="1" applyAlignment="1" applyProtection="1">
      <alignment horizontal="center" vertical="center"/>
      <protection locked="0"/>
    </xf>
    <xf numFmtId="0" fontId="30" fillId="0" borderId="122" xfId="0" applyFont="1" applyBorder="1" applyAlignment="1" applyProtection="1">
      <alignment horizontal="center" vertical="center"/>
      <protection locked="0"/>
    </xf>
    <xf numFmtId="0" fontId="21" fillId="0" borderId="159" xfId="0" applyFont="1" applyBorder="1" applyAlignment="1" applyProtection="1">
      <alignment horizontal="center" vertical="center"/>
      <protection locked="0"/>
    </xf>
    <xf numFmtId="0" fontId="21" fillId="0" borderId="122" xfId="0" applyFont="1" applyBorder="1" applyAlignment="1" applyProtection="1">
      <alignment horizontal="center" vertical="center"/>
      <protection locked="0"/>
    </xf>
    <xf numFmtId="0" fontId="21" fillId="6" borderId="116" xfId="0" applyFont="1" applyFill="1" applyBorder="1" applyAlignment="1">
      <alignment horizontal="center" vertical="center"/>
    </xf>
    <xf numFmtId="0" fontId="25" fillId="4" borderId="174" xfId="0" applyFont="1" applyFill="1" applyBorder="1" applyAlignment="1">
      <alignment vertical="center"/>
    </xf>
    <xf numFmtId="0" fontId="25" fillId="4" borderId="30" xfId="0" applyFont="1" applyFill="1" applyBorder="1" applyAlignment="1" applyProtection="1">
      <alignment horizontal="center" vertical="center"/>
    </xf>
    <xf numFmtId="0" fontId="29" fillId="5" borderId="144" xfId="0" applyFont="1" applyFill="1" applyBorder="1" applyAlignment="1" applyProtection="1">
      <alignment horizontal="center" vertical="center"/>
      <protection locked="0"/>
    </xf>
    <xf numFmtId="0" fontId="21" fillId="6" borderId="139" xfId="0" applyFont="1" applyFill="1" applyBorder="1" applyAlignment="1">
      <alignment horizontal="center" vertical="center"/>
    </xf>
    <xf numFmtId="0" fontId="21" fillId="6" borderId="165" xfId="0" applyFont="1" applyFill="1" applyBorder="1" applyAlignment="1">
      <alignment horizontal="center" vertical="center"/>
    </xf>
    <xf numFmtId="0" fontId="29" fillId="5" borderId="163" xfId="0" applyFont="1" applyFill="1" applyBorder="1" applyAlignment="1" applyProtection="1">
      <alignment horizontal="center" vertical="center"/>
      <protection locked="0"/>
    </xf>
    <xf numFmtId="0" fontId="25" fillId="4" borderId="172" xfId="0" applyFont="1" applyFill="1" applyBorder="1" applyAlignment="1">
      <alignment vertical="center"/>
    </xf>
    <xf numFmtId="0" fontId="23" fillId="4" borderId="145" xfId="0" applyFont="1" applyFill="1" applyBorder="1" applyAlignment="1" applyProtection="1">
      <alignment horizontal="center" vertical="center"/>
    </xf>
    <xf numFmtId="0" fontId="23" fillId="4" borderId="118" xfId="0" applyFont="1" applyFill="1" applyBorder="1" applyAlignment="1" applyProtection="1">
      <alignment horizontal="center" vertical="center"/>
    </xf>
    <xf numFmtId="0" fontId="21" fillId="6" borderId="121" xfId="0" applyFont="1" applyFill="1" applyBorder="1" applyAlignment="1">
      <alignment horizontal="center" vertical="center"/>
    </xf>
    <xf numFmtId="0" fontId="21" fillId="6" borderId="143" xfId="0" applyFont="1" applyFill="1" applyBorder="1" applyAlignment="1">
      <alignment horizontal="center" vertical="center"/>
    </xf>
    <xf numFmtId="0" fontId="25" fillId="4" borderId="146" xfId="0" applyFont="1" applyFill="1" applyBorder="1" applyAlignment="1" applyProtection="1">
      <alignment horizontal="center" vertical="center"/>
    </xf>
    <xf numFmtId="0" fontId="25" fillId="4" borderId="119" xfId="0" applyFont="1" applyFill="1" applyBorder="1" applyAlignment="1" applyProtection="1">
      <alignment horizontal="center" vertical="center"/>
    </xf>
    <xf numFmtId="0" fontId="25" fillId="0" borderId="57" xfId="0" applyFont="1" applyBorder="1" applyAlignment="1" applyProtection="1">
      <alignment horizontal="center" vertical="center"/>
      <protection locked="0"/>
    </xf>
    <xf numFmtId="0" fontId="25" fillId="0" borderId="159" xfId="0" applyFont="1" applyBorder="1" applyAlignment="1" applyProtection="1">
      <alignment horizontal="center" vertical="center"/>
      <protection locked="0"/>
    </xf>
    <xf numFmtId="0" fontId="21" fillId="6" borderId="122" xfId="0" applyFont="1" applyFill="1" applyBorder="1" applyAlignment="1">
      <alignment horizontal="center" vertical="center"/>
    </xf>
    <xf numFmtId="0" fontId="21" fillId="6" borderId="159" xfId="0" applyFont="1" applyFill="1" applyBorder="1" applyAlignment="1">
      <alignment horizontal="center" vertical="center"/>
    </xf>
    <xf numFmtId="0" fontId="25" fillId="0" borderId="122" xfId="0" applyFont="1" applyBorder="1" applyAlignment="1" applyProtection="1">
      <alignment horizontal="center" vertical="center"/>
      <protection locked="0"/>
    </xf>
    <xf numFmtId="0" fontId="25" fillId="4" borderId="192" xfId="0" applyFont="1" applyFill="1" applyBorder="1" applyAlignment="1">
      <alignment vertical="center"/>
    </xf>
    <xf numFmtId="0" fontId="25" fillId="4" borderId="154" xfId="0" applyFont="1" applyFill="1" applyBorder="1" applyAlignment="1" applyProtection="1">
      <alignment horizontal="center" vertical="center"/>
    </xf>
    <xf numFmtId="0" fontId="25" fillId="4" borderId="193" xfId="0" applyFont="1" applyFill="1" applyBorder="1" applyAlignment="1" applyProtection="1">
      <alignment horizontal="center" vertical="center"/>
    </xf>
    <xf numFmtId="0" fontId="31" fillId="0" borderId="57" xfId="0" applyFont="1" applyBorder="1" applyAlignment="1" applyProtection="1">
      <alignment horizontal="center" vertical="center"/>
      <protection locked="0"/>
    </xf>
    <xf numFmtId="0" fontId="31" fillId="0" borderId="159" xfId="0" applyFont="1" applyBorder="1" applyAlignment="1" applyProtection="1">
      <alignment horizontal="center" vertical="center"/>
      <protection locked="0"/>
    </xf>
    <xf numFmtId="0" fontId="31" fillId="0" borderId="122" xfId="0" applyFont="1" applyBorder="1" applyAlignment="1" applyProtection="1">
      <alignment horizontal="center" vertical="center"/>
      <protection locked="0"/>
    </xf>
    <xf numFmtId="0" fontId="21" fillId="4" borderId="146" xfId="0" applyFont="1" applyFill="1" applyBorder="1" applyAlignment="1" applyProtection="1">
      <alignment horizontal="center" vertical="center"/>
    </xf>
    <xf numFmtId="0" fontId="21" fillId="4" borderId="119" xfId="0" applyFont="1" applyFill="1" applyBorder="1" applyAlignment="1" applyProtection="1">
      <alignment horizontal="center" vertical="center"/>
    </xf>
    <xf numFmtId="0" fontId="29" fillId="5" borderId="57" xfId="0" applyFont="1" applyFill="1" applyBorder="1" applyAlignment="1" applyProtection="1">
      <alignment horizontal="center" vertical="center"/>
      <protection locked="0"/>
    </xf>
    <xf numFmtId="0" fontId="29" fillId="5" borderId="159" xfId="0" applyFont="1" applyFill="1" applyBorder="1" applyAlignment="1" applyProtection="1">
      <alignment horizontal="center" vertical="center"/>
      <protection locked="0"/>
    </xf>
    <xf numFmtId="0" fontId="29" fillId="5" borderId="122" xfId="0" applyFont="1" applyFill="1" applyBorder="1" applyAlignment="1" applyProtection="1">
      <alignment horizontal="center" vertical="center"/>
      <protection locked="0"/>
    </xf>
    <xf numFmtId="0" fontId="25" fillId="6" borderId="57" xfId="0" applyFont="1" applyFill="1" applyBorder="1" applyAlignment="1" applyProtection="1">
      <alignment horizontal="center" vertical="center"/>
    </xf>
    <xf numFmtId="0" fontId="25" fillId="6" borderId="159" xfId="0" applyFont="1" applyFill="1" applyBorder="1" applyAlignment="1" applyProtection="1">
      <alignment horizontal="center" vertical="center"/>
    </xf>
    <xf numFmtId="0" fontId="25" fillId="6" borderId="127" xfId="0" applyFont="1" applyFill="1" applyBorder="1" applyAlignment="1" applyProtection="1">
      <alignment horizontal="center" vertical="center"/>
    </xf>
    <xf numFmtId="0" fontId="25" fillId="6" borderId="32" xfId="0" applyFont="1" applyFill="1" applyBorder="1" applyAlignment="1" applyProtection="1">
      <alignment horizontal="center" vertical="center"/>
    </xf>
    <xf numFmtId="0" fontId="25" fillId="6" borderId="67" xfId="0" applyFont="1" applyFill="1" applyBorder="1" applyAlignment="1" applyProtection="1">
      <alignment horizontal="center" vertical="center"/>
    </xf>
    <xf numFmtId="0" fontId="31" fillId="6" borderId="35" xfId="0" applyFont="1" applyFill="1" applyBorder="1" applyAlignment="1">
      <alignment horizontal="center" vertical="center"/>
    </xf>
    <xf numFmtId="0" fontId="21" fillId="4" borderId="154" xfId="0" applyFont="1" applyFill="1" applyBorder="1" applyAlignment="1" applyProtection="1">
      <alignment horizontal="center" vertical="center"/>
    </xf>
    <xf numFmtId="0" fontId="21" fillId="4" borderId="193" xfId="0" applyFont="1" applyFill="1" applyBorder="1" applyAlignment="1" applyProtection="1">
      <alignment horizontal="center" vertical="center"/>
    </xf>
    <xf numFmtId="0" fontId="21" fillId="0" borderId="155" xfId="0" applyFont="1" applyBorder="1" applyAlignment="1" applyProtection="1">
      <alignment horizontal="center" vertical="center"/>
      <protection locked="0"/>
    </xf>
    <xf numFmtId="0" fontId="21" fillId="6" borderId="123" xfId="0" applyFont="1" applyFill="1" applyBorder="1" applyAlignment="1">
      <alignment horizontal="center" vertical="center"/>
    </xf>
    <xf numFmtId="0" fontId="21" fillId="6" borderId="155" xfId="0" applyFont="1" applyFill="1" applyBorder="1" applyAlignment="1">
      <alignment horizontal="center" vertical="center"/>
    </xf>
    <xf numFmtId="0" fontId="21" fillId="0" borderId="211" xfId="0" applyFont="1" applyBorder="1" applyAlignment="1" applyProtection="1">
      <alignment horizontal="center" vertical="center"/>
      <protection locked="0"/>
    </xf>
    <xf numFmtId="0" fontId="21" fillId="0" borderId="187" xfId="0" applyFont="1" applyBorder="1" applyAlignment="1" applyProtection="1">
      <alignment horizontal="center" vertical="center"/>
      <protection locked="0"/>
    </xf>
    <xf numFmtId="0" fontId="21" fillId="0" borderId="56" xfId="0" applyFont="1" applyBorder="1" applyAlignment="1" applyProtection="1">
      <alignment horizontal="center" vertical="center"/>
      <protection locked="0"/>
    </xf>
    <xf numFmtId="0" fontId="31" fillId="6" borderId="210" xfId="0" applyFont="1" applyFill="1" applyBorder="1" applyAlignment="1">
      <alignment horizontal="center" vertical="center"/>
    </xf>
    <xf numFmtId="0" fontId="25" fillId="4" borderId="121" xfId="0" applyFont="1" applyFill="1" applyBorder="1" applyAlignment="1" applyProtection="1">
      <alignment horizontal="center" vertical="center"/>
    </xf>
    <xf numFmtId="0" fontId="25" fillId="4" borderId="137" xfId="0" applyFont="1" applyFill="1" applyBorder="1" applyAlignment="1" applyProtection="1">
      <alignment horizontal="center" vertical="center"/>
    </xf>
    <xf numFmtId="0" fontId="31" fillId="6" borderId="195" xfId="0" applyFont="1" applyFill="1" applyBorder="1" applyAlignment="1">
      <alignment horizontal="center" vertical="center"/>
    </xf>
    <xf numFmtId="0" fontId="25" fillId="4" borderId="163" xfId="0" applyFont="1" applyFill="1" applyBorder="1" applyAlignment="1" applyProtection="1">
      <alignment horizontal="center" vertical="center"/>
    </xf>
    <xf numFmtId="0" fontId="25" fillId="4" borderId="68" xfId="0" applyFont="1" applyFill="1" applyBorder="1" applyAlignment="1" applyProtection="1">
      <alignment horizontal="center" vertical="center"/>
    </xf>
    <xf numFmtId="0" fontId="29" fillId="5" borderId="124" xfId="0" applyFont="1" applyFill="1" applyBorder="1" applyAlignment="1" applyProtection="1">
      <alignment horizontal="center" vertical="center"/>
      <protection locked="0"/>
    </xf>
    <xf numFmtId="0" fontId="29" fillId="5" borderId="155" xfId="0" applyFont="1" applyFill="1" applyBorder="1" applyAlignment="1" applyProtection="1">
      <alignment horizontal="center" vertical="center"/>
      <protection locked="0"/>
    </xf>
    <xf numFmtId="0" fontId="29" fillId="5" borderId="123" xfId="0" applyFont="1" applyFill="1" applyBorder="1" applyAlignment="1" applyProtection="1">
      <alignment horizontal="center" vertical="center"/>
      <protection locked="0"/>
    </xf>
    <xf numFmtId="0" fontId="31" fillId="6" borderId="197" xfId="0" applyFont="1" applyFill="1" applyBorder="1" applyAlignment="1">
      <alignment horizontal="center" vertical="center"/>
    </xf>
    <xf numFmtId="0" fontId="25" fillId="4" borderId="115" xfId="0" applyFont="1" applyFill="1" applyBorder="1" applyAlignment="1">
      <alignment vertical="center"/>
    </xf>
    <xf numFmtId="0" fontId="35" fillId="6" borderId="121" xfId="0" applyFont="1" applyFill="1" applyBorder="1" applyAlignment="1">
      <alignment horizontal="center" vertical="center"/>
    </xf>
    <xf numFmtId="0" fontId="35" fillId="6" borderId="137" xfId="0" applyFont="1" applyFill="1" applyBorder="1" applyAlignment="1">
      <alignment horizontal="center" vertical="center"/>
    </xf>
    <xf numFmtId="0" fontId="35" fillId="6" borderId="143" xfId="0" applyFont="1" applyFill="1" applyBorder="1" applyAlignment="1">
      <alignment horizontal="center" vertical="center"/>
    </xf>
    <xf numFmtId="0" fontId="31" fillId="6" borderId="18" xfId="0" applyFont="1" applyFill="1" applyBorder="1" applyAlignment="1">
      <alignment horizontal="center" vertical="center"/>
    </xf>
    <xf numFmtId="0" fontId="21" fillId="2" borderId="178" xfId="0" applyFont="1" applyFill="1" applyBorder="1" applyAlignment="1">
      <alignment vertical="top"/>
    </xf>
    <xf numFmtId="0" fontId="21" fillId="10" borderId="17" xfId="0" applyFont="1" applyFill="1" applyBorder="1" applyAlignment="1">
      <alignment horizontal="left" vertical="top" wrapText="1"/>
    </xf>
    <xf numFmtId="0" fontId="35" fillId="6" borderId="122" xfId="0" applyFont="1" applyFill="1" applyBorder="1" applyAlignment="1">
      <alignment horizontal="center" vertical="center"/>
    </xf>
    <xf numFmtId="0" fontId="35" fillId="6" borderId="57" xfId="0" applyFont="1" applyFill="1" applyBorder="1" applyAlignment="1">
      <alignment horizontal="center" vertical="center"/>
    </xf>
    <xf numFmtId="0" fontId="35" fillId="6" borderId="159" xfId="0" applyFont="1" applyFill="1" applyBorder="1" applyAlignment="1">
      <alignment horizontal="center" vertical="center"/>
    </xf>
    <xf numFmtId="0" fontId="21" fillId="10" borderId="37" xfId="0" applyFont="1" applyFill="1" applyBorder="1" applyAlignment="1">
      <alignment horizontal="left" vertical="top"/>
    </xf>
    <xf numFmtId="0" fontId="21" fillId="2" borderId="0" xfId="0" applyFont="1" applyFill="1" applyBorder="1" applyAlignment="1">
      <alignment vertical="top"/>
    </xf>
    <xf numFmtId="0" fontId="21" fillId="10" borderId="0" xfId="0" applyFont="1" applyFill="1" applyBorder="1" applyAlignment="1">
      <alignment horizontal="left" vertical="top"/>
    </xf>
    <xf numFmtId="0" fontId="35" fillId="6" borderId="163" xfId="0" applyFont="1" applyFill="1" applyBorder="1" applyAlignment="1">
      <alignment horizontal="center" vertical="center"/>
    </xf>
    <xf numFmtId="0" fontId="35" fillId="6" borderId="68" xfId="0" applyFont="1" applyFill="1" applyBorder="1" applyAlignment="1">
      <alignment horizontal="center" vertical="center"/>
    </xf>
    <xf numFmtId="0" fontId="35" fillId="6" borderId="144" xfId="0" applyFont="1" applyFill="1" applyBorder="1" applyAlignment="1">
      <alignment horizontal="center" vertical="center"/>
    </xf>
    <xf numFmtId="0" fontId="23" fillId="0" borderId="42" xfId="0" applyFont="1" applyFill="1" applyBorder="1" applyAlignment="1">
      <alignment horizontal="center"/>
    </xf>
    <xf numFmtId="0" fontId="23" fillId="4" borderId="61" xfId="0" applyFont="1" applyFill="1" applyBorder="1" applyAlignment="1" applyProtection="1">
      <alignment horizontal="center" vertical="center"/>
    </xf>
    <xf numFmtId="0" fontId="23" fillId="4" borderId="6" xfId="0" applyFont="1" applyFill="1" applyBorder="1" applyAlignment="1" applyProtection="1">
      <alignment horizontal="center" vertical="center"/>
    </xf>
    <xf numFmtId="0" fontId="25" fillId="4" borderId="42" xfId="0" applyFont="1" applyFill="1" applyBorder="1" applyAlignment="1" applyProtection="1">
      <alignment horizontal="center" vertical="center"/>
    </xf>
    <xf numFmtId="0" fontId="25" fillId="4" borderId="0" xfId="0" applyFont="1" applyFill="1" applyBorder="1" applyAlignment="1" applyProtection="1">
      <alignment horizontal="center" vertical="center"/>
    </xf>
    <xf numFmtId="0" fontId="25" fillId="4" borderId="56" xfId="0" applyFont="1" applyFill="1" applyBorder="1" applyAlignment="1" applyProtection="1">
      <alignment horizontal="center" vertical="center"/>
    </xf>
    <xf numFmtId="0" fontId="21" fillId="6" borderId="47" xfId="0" applyFont="1" applyFill="1" applyBorder="1" applyAlignment="1">
      <alignment horizontal="center" vertical="center"/>
    </xf>
    <xf numFmtId="0" fontId="25" fillId="4" borderId="20" xfId="0" applyFont="1" applyFill="1" applyBorder="1" applyAlignment="1">
      <alignment vertical="center"/>
    </xf>
    <xf numFmtId="0" fontId="30" fillId="0" borderId="9" xfId="0" applyFont="1" applyBorder="1" applyAlignment="1" applyProtection="1">
      <alignment horizontal="center" vertical="center"/>
      <protection locked="0"/>
    </xf>
    <xf numFmtId="0" fontId="30" fillId="0" borderId="40" xfId="0" applyFont="1" applyBorder="1" applyAlignment="1" applyProtection="1">
      <alignment horizontal="center" vertical="center"/>
      <protection locked="0"/>
    </xf>
    <xf numFmtId="0" fontId="31" fillId="6" borderId="46" xfId="0" applyFont="1" applyFill="1" applyBorder="1" applyAlignment="1">
      <alignment horizontal="center" vertical="center"/>
    </xf>
    <xf numFmtId="49" fontId="32" fillId="4" borderId="42" xfId="1" applyNumberFormat="1" applyFont="1" applyFill="1" applyBorder="1" applyAlignment="1">
      <alignment horizontal="center" vertical="center"/>
    </xf>
    <xf numFmtId="49" fontId="32" fillId="4" borderId="0" xfId="1" applyNumberFormat="1" applyFont="1" applyFill="1" applyBorder="1" applyAlignment="1">
      <alignment horizontal="center" vertical="center"/>
    </xf>
    <xf numFmtId="49" fontId="32" fillId="4" borderId="56" xfId="1" applyNumberFormat="1" applyFont="1" applyFill="1" applyBorder="1" applyAlignment="1">
      <alignment horizontal="center" vertical="center"/>
    </xf>
    <xf numFmtId="0" fontId="25" fillId="4" borderId="7" xfId="0" applyFont="1" applyFill="1" applyBorder="1" applyAlignment="1" applyProtection="1">
      <alignment horizontal="center" vertical="center"/>
    </xf>
    <xf numFmtId="0" fontId="25" fillId="4" borderId="48" xfId="0" applyFont="1" applyFill="1" applyBorder="1" applyAlignment="1" applyProtection="1">
      <alignment horizontal="center" vertical="center"/>
    </xf>
    <xf numFmtId="0" fontId="25" fillId="4" borderId="107" xfId="0" applyFont="1" applyFill="1" applyBorder="1" applyAlignment="1" applyProtection="1">
      <alignment horizontal="center" vertical="center"/>
    </xf>
    <xf numFmtId="0" fontId="25" fillId="4" borderId="105" xfId="0" applyFont="1" applyFill="1" applyBorder="1" applyAlignment="1" applyProtection="1">
      <alignment horizontal="center" vertical="center"/>
    </xf>
    <xf numFmtId="0" fontId="21" fillId="6" borderId="54" xfId="0" applyFont="1" applyFill="1" applyBorder="1" applyAlignment="1">
      <alignment horizontal="center" vertical="center"/>
    </xf>
    <xf numFmtId="0" fontId="25" fillId="2" borderId="17" xfId="0" applyFont="1" applyFill="1" applyBorder="1" applyAlignment="1">
      <alignment horizontal="left" vertical="top"/>
    </xf>
    <xf numFmtId="0" fontId="25" fillId="6" borderId="1" xfId="0" applyFont="1" applyFill="1" applyBorder="1" applyAlignment="1" applyProtection="1">
      <alignment horizontal="center" vertical="center"/>
    </xf>
    <xf numFmtId="0" fontId="25" fillId="6" borderId="16" xfId="0" applyFont="1" applyFill="1" applyBorder="1" applyAlignment="1" applyProtection="1">
      <alignment horizontal="center" vertical="center"/>
    </xf>
    <xf numFmtId="0" fontId="21" fillId="6" borderId="55" xfId="0" applyFont="1" applyFill="1" applyBorder="1" applyAlignment="1">
      <alignment horizontal="center" vertical="center"/>
    </xf>
    <xf numFmtId="0" fontId="25" fillId="4" borderId="36" xfId="0" applyFont="1" applyFill="1" applyBorder="1" applyAlignment="1">
      <alignment vertical="center"/>
    </xf>
    <xf numFmtId="0" fontId="25" fillId="4" borderId="31" xfId="0" applyFont="1" applyFill="1" applyBorder="1" applyAlignment="1" applyProtection="1">
      <alignment horizontal="center" vertical="center"/>
    </xf>
    <xf numFmtId="0" fontId="25" fillId="0" borderId="30" xfId="0" applyFont="1" applyBorder="1" applyAlignment="1" applyProtection="1">
      <alignment horizontal="center" vertical="center"/>
      <protection locked="0"/>
    </xf>
    <xf numFmtId="0" fontId="25" fillId="0" borderId="3" xfId="0" applyFont="1" applyBorder="1" applyAlignment="1" applyProtection="1">
      <alignment horizontal="center" vertical="center"/>
      <protection locked="0"/>
    </xf>
    <xf numFmtId="0" fontId="25" fillId="0" borderId="21" xfId="0" applyFont="1" applyBorder="1" applyAlignment="1" applyProtection="1">
      <alignment horizontal="center" vertical="center"/>
      <protection locked="0"/>
    </xf>
    <xf numFmtId="0" fontId="25" fillId="2" borderId="37" xfId="0" applyFont="1" applyFill="1" applyBorder="1" applyAlignment="1">
      <alignment horizontal="left" vertical="top"/>
    </xf>
    <xf numFmtId="0" fontId="25" fillId="10" borderId="37" xfId="0" applyFont="1" applyFill="1" applyBorder="1" applyAlignment="1">
      <alignment horizontal="left" vertical="top" wrapText="1"/>
    </xf>
    <xf numFmtId="49" fontId="32" fillId="4" borderId="26" xfId="1" applyNumberFormat="1" applyFont="1" applyFill="1" applyBorder="1" applyAlignment="1">
      <alignment horizontal="center" vertical="center"/>
    </xf>
    <xf numFmtId="49" fontId="32" fillId="4" borderId="40" xfId="1" applyNumberFormat="1" applyFont="1" applyFill="1" applyBorder="1" applyAlignment="1">
      <alignment horizontal="center" vertical="center"/>
    </xf>
    <xf numFmtId="49" fontId="32" fillId="4" borderId="69" xfId="1" applyNumberFormat="1" applyFont="1" applyFill="1" applyBorder="1" applyAlignment="1">
      <alignment horizontal="center" vertical="center"/>
    </xf>
    <xf numFmtId="49" fontId="32" fillId="4" borderId="108" xfId="1" applyNumberFormat="1" applyFont="1" applyFill="1" applyBorder="1" applyAlignment="1">
      <alignment horizontal="center" vertical="center"/>
    </xf>
    <xf numFmtId="49" fontId="32" fillId="4" borderId="98" xfId="1" applyNumberFormat="1" applyFont="1" applyFill="1" applyBorder="1" applyAlignment="1">
      <alignment horizontal="center" vertical="center"/>
    </xf>
    <xf numFmtId="0" fontId="25" fillId="4" borderId="50" xfId="0" applyFont="1" applyFill="1" applyBorder="1" applyAlignment="1">
      <alignment vertical="center"/>
    </xf>
    <xf numFmtId="0" fontId="25" fillId="4" borderId="135" xfId="0" applyFont="1" applyFill="1" applyBorder="1" applyAlignment="1" applyProtection="1">
      <alignment horizontal="center" vertical="center"/>
    </xf>
    <xf numFmtId="0" fontId="25" fillId="4" borderId="53" xfId="0" applyFont="1" applyFill="1" applyBorder="1" applyAlignment="1" applyProtection="1">
      <alignment horizontal="center" vertical="center"/>
    </xf>
    <xf numFmtId="1" fontId="21" fillId="6" borderId="53" xfId="0" applyNumberFormat="1" applyFont="1" applyFill="1" applyBorder="1" applyAlignment="1" applyProtection="1">
      <alignment horizontal="center" vertical="center"/>
    </xf>
    <xf numFmtId="0" fontId="25" fillId="0" borderId="7" xfId="0" applyFont="1" applyBorder="1" applyAlignment="1" applyProtection="1">
      <alignment horizontal="center" vertical="center"/>
      <protection locked="0"/>
    </xf>
    <xf numFmtId="0" fontId="25" fillId="0" borderId="8" xfId="0" applyFont="1" applyBorder="1" applyAlignment="1" applyProtection="1">
      <alignment horizontal="center" vertical="center"/>
      <protection locked="0"/>
    </xf>
    <xf numFmtId="0" fontId="21" fillId="6" borderId="111" xfId="0" applyFont="1" applyFill="1" applyBorder="1" applyAlignment="1">
      <alignment horizontal="center" vertical="center"/>
    </xf>
    <xf numFmtId="0" fontId="21" fillId="6" borderId="67" xfId="0" applyFont="1" applyFill="1" applyBorder="1" applyAlignment="1">
      <alignment horizontal="center" vertical="center"/>
    </xf>
    <xf numFmtId="0" fontId="21" fillId="6" borderId="52" xfId="0" applyFont="1" applyFill="1" applyBorder="1" applyAlignment="1">
      <alignment horizontal="center" vertical="center"/>
    </xf>
    <xf numFmtId="0" fontId="25" fillId="2" borderId="17" xfId="0" applyFont="1" applyFill="1" applyBorder="1" applyAlignment="1">
      <alignment vertical="top"/>
    </xf>
    <xf numFmtId="0" fontId="25" fillId="0" borderId="18" xfId="0" applyFont="1" applyBorder="1" applyAlignment="1">
      <alignment horizontal="left" vertical="center" wrapText="1"/>
    </xf>
    <xf numFmtId="0" fontId="25" fillId="4" borderId="145" xfId="0" applyFont="1" applyFill="1" applyBorder="1" applyAlignment="1" applyProtection="1">
      <alignment horizontal="center" vertical="center"/>
    </xf>
    <xf numFmtId="0" fontId="25" fillId="4" borderId="113" xfId="0" applyFont="1" applyFill="1" applyBorder="1" applyAlignment="1" applyProtection="1">
      <alignment horizontal="center" vertical="center"/>
    </xf>
    <xf numFmtId="0" fontId="25" fillId="0" borderId="113" xfId="0" applyFont="1" applyBorder="1" applyAlignment="1" applyProtection="1">
      <alignment horizontal="center" vertical="center"/>
      <protection locked="0"/>
    </xf>
    <xf numFmtId="0" fontId="25" fillId="0" borderId="175" xfId="0" applyFont="1" applyBorder="1" applyAlignment="1" applyProtection="1">
      <alignment horizontal="center" vertical="center"/>
      <protection locked="0"/>
    </xf>
    <xf numFmtId="0" fontId="25" fillId="4" borderId="51" xfId="0" applyFont="1" applyFill="1" applyBorder="1" applyAlignment="1">
      <alignment vertical="center"/>
    </xf>
    <xf numFmtId="0" fontId="25" fillId="4" borderId="147" xfId="0" applyFont="1" applyFill="1" applyBorder="1" applyAlignment="1" applyProtection="1">
      <alignment horizontal="center" vertical="center"/>
    </xf>
    <xf numFmtId="0" fontId="25" fillId="4" borderId="114" xfId="0" applyFont="1" applyFill="1" applyBorder="1" applyAlignment="1" applyProtection="1">
      <alignment horizontal="center" vertical="center"/>
    </xf>
    <xf numFmtId="0" fontId="25" fillId="0" borderId="114" xfId="0" applyFont="1" applyBorder="1" applyAlignment="1" applyProtection="1">
      <alignment horizontal="center" vertical="center"/>
      <protection locked="0"/>
    </xf>
    <xf numFmtId="0" fontId="25" fillId="0" borderId="177" xfId="0" applyFont="1" applyBorder="1" applyAlignment="1" applyProtection="1">
      <alignment horizontal="center" vertical="center"/>
      <protection locked="0"/>
    </xf>
    <xf numFmtId="0" fontId="25" fillId="4" borderId="180" xfId="0" applyFont="1" applyFill="1" applyBorder="1" applyAlignment="1" applyProtection="1">
      <alignment horizontal="center" vertical="center"/>
    </xf>
    <xf numFmtId="0" fontId="25" fillId="4" borderId="134" xfId="0" applyFont="1" applyFill="1" applyBorder="1" applyAlignment="1" applyProtection="1">
      <alignment horizontal="center" vertical="center"/>
    </xf>
    <xf numFmtId="0" fontId="25" fillId="4" borderId="5" xfId="0" applyFont="1" applyFill="1" applyBorder="1" applyAlignment="1">
      <alignment vertical="center"/>
    </xf>
    <xf numFmtId="0" fontId="25" fillId="4" borderId="34" xfId="0" applyFont="1" applyFill="1" applyBorder="1" applyAlignment="1" applyProtection="1">
      <alignment horizontal="center" vertical="center"/>
    </xf>
    <xf numFmtId="0" fontId="25" fillId="4" borderId="13" xfId="0" applyFont="1" applyFill="1" applyBorder="1" applyAlignment="1" applyProtection="1">
      <alignment horizontal="center" vertical="center"/>
    </xf>
    <xf numFmtId="0" fontId="25" fillId="0" borderId="13" xfId="0" applyFont="1" applyBorder="1" applyAlignment="1" applyProtection="1">
      <alignment horizontal="center" vertical="center"/>
      <protection locked="0"/>
    </xf>
    <xf numFmtId="0" fontId="25" fillId="0" borderId="14" xfId="0" applyFont="1" applyBorder="1" applyAlignment="1" applyProtection="1">
      <alignment horizontal="center" vertical="center"/>
      <protection locked="0"/>
    </xf>
    <xf numFmtId="0" fontId="25" fillId="4" borderId="24" xfId="0" applyFont="1" applyFill="1" applyBorder="1" applyAlignment="1">
      <alignment vertical="center"/>
    </xf>
    <xf numFmtId="0" fontId="25" fillId="0" borderId="9" xfId="0" applyFont="1" applyBorder="1" applyAlignment="1" applyProtection="1">
      <alignment horizontal="center" vertical="center"/>
      <protection locked="0"/>
    </xf>
    <xf numFmtId="0" fontId="25" fillId="0" borderId="10" xfId="0" applyFont="1" applyBorder="1" applyAlignment="1" applyProtection="1">
      <alignment horizontal="center" vertical="center"/>
      <protection locked="0"/>
    </xf>
    <xf numFmtId="0" fontId="21" fillId="6" borderId="19" xfId="0" applyFont="1" applyFill="1" applyBorder="1" applyAlignment="1">
      <alignment horizontal="center" vertical="center"/>
    </xf>
    <xf numFmtId="0" fontId="25" fillId="4" borderId="42" xfId="0" applyFont="1" applyFill="1" applyBorder="1" applyAlignment="1">
      <alignment vertical="center"/>
    </xf>
    <xf numFmtId="0" fontId="25" fillId="4" borderId="11" xfId="0" applyFont="1" applyFill="1" applyBorder="1" applyAlignment="1" applyProtection="1">
      <alignment horizontal="center" vertical="center"/>
    </xf>
    <xf numFmtId="0" fontId="25" fillId="4" borderId="4" xfId="0" applyFont="1" applyFill="1" applyBorder="1" applyAlignment="1" applyProtection="1">
      <alignment horizontal="center" vertical="center"/>
    </xf>
    <xf numFmtId="0" fontId="25" fillId="0" borderId="64" xfId="0" applyFont="1" applyBorder="1" applyAlignment="1" applyProtection="1">
      <alignment horizontal="center" vertical="center"/>
      <protection locked="0"/>
    </xf>
    <xf numFmtId="0" fontId="25" fillId="4" borderId="109" xfId="0" applyFont="1" applyFill="1" applyBorder="1" applyAlignment="1" applyProtection="1">
      <alignment horizontal="center" vertical="center"/>
    </xf>
    <xf numFmtId="0" fontId="25" fillId="0" borderId="109" xfId="0" applyFont="1" applyBorder="1" applyAlignment="1" applyProtection="1">
      <alignment horizontal="center" vertical="center"/>
      <protection locked="0"/>
    </xf>
    <xf numFmtId="0" fontId="25" fillId="0" borderId="72" xfId="0" applyFont="1" applyBorder="1" applyAlignment="1" applyProtection="1">
      <alignment horizontal="center" vertical="center"/>
      <protection locked="0"/>
    </xf>
    <xf numFmtId="0" fontId="25" fillId="4" borderId="150" xfId="0" applyFont="1" applyFill="1" applyBorder="1" applyAlignment="1" applyProtection="1">
      <alignment horizontal="center" vertical="center"/>
    </xf>
    <xf numFmtId="0" fontId="25" fillId="0" borderId="150" xfId="0" applyFont="1" applyBorder="1" applyAlignment="1" applyProtection="1">
      <alignment horizontal="center" vertical="center"/>
      <protection locked="0"/>
    </xf>
    <xf numFmtId="0" fontId="25" fillId="0" borderId="151" xfId="0" applyFont="1" applyBorder="1" applyAlignment="1" applyProtection="1">
      <alignment horizontal="center" vertical="center"/>
      <protection locked="0"/>
    </xf>
    <xf numFmtId="0" fontId="25" fillId="2" borderId="178" xfId="0" applyFont="1" applyFill="1" applyBorder="1" applyAlignment="1">
      <alignment horizontal="left" vertical="top"/>
    </xf>
    <xf numFmtId="0" fontId="25" fillId="10" borderId="0" xfId="0" applyFont="1" applyFill="1" applyBorder="1" applyAlignment="1">
      <alignment horizontal="left" vertical="top" wrapText="1"/>
    </xf>
    <xf numFmtId="0" fontId="25" fillId="4" borderId="152" xfId="0" applyFont="1" applyFill="1" applyBorder="1" applyAlignment="1" applyProtection="1">
      <alignment horizontal="center" vertical="center"/>
    </xf>
    <xf numFmtId="0" fontId="25" fillId="0" borderId="152" xfId="0" applyFont="1" applyBorder="1" applyAlignment="1" applyProtection="1">
      <alignment horizontal="center" vertical="center"/>
      <protection locked="0"/>
    </xf>
    <xf numFmtId="0" fontId="25" fillId="4" borderId="153" xfId="0" applyFont="1" applyFill="1" applyBorder="1" applyAlignment="1" applyProtection="1">
      <alignment horizontal="center" vertical="center"/>
    </xf>
    <xf numFmtId="0" fontId="25" fillId="4" borderId="35" xfId="0" applyFont="1" applyFill="1" applyBorder="1" applyAlignment="1">
      <alignment vertical="center"/>
    </xf>
    <xf numFmtId="0" fontId="25" fillId="5" borderId="6" xfId="0" applyFont="1" applyFill="1" applyBorder="1" applyAlignment="1" applyProtection="1">
      <alignment horizontal="center" vertical="center"/>
      <protection locked="0"/>
    </xf>
    <xf numFmtId="49" fontId="21" fillId="6" borderId="67" xfId="0" applyNumberFormat="1" applyFont="1" applyFill="1" applyBorder="1" applyAlignment="1">
      <alignment horizontal="center" vertical="center"/>
    </xf>
    <xf numFmtId="0" fontId="25" fillId="2" borderId="38" xfId="0" applyFont="1" applyFill="1" applyBorder="1" applyAlignment="1">
      <alignment horizontal="left" vertical="top"/>
    </xf>
    <xf numFmtId="0" fontId="25" fillId="10" borderId="38" xfId="0" applyFont="1" applyFill="1" applyBorder="1" applyAlignment="1">
      <alignment wrapText="1"/>
    </xf>
    <xf numFmtId="0" fontId="25" fillId="10" borderId="48" xfId="0" applyFont="1" applyFill="1" applyBorder="1" applyAlignment="1">
      <alignment vertical="top" wrapText="1"/>
    </xf>
    <xf numFmtId="0" fontId="31" fillId="0" borderId="1" xfId="0" applyFont="1" applyBorder="1" applyAlignment="1" applyProtection="1">
      <alignment horizontal="center" vertical="center"/>
      <protection locked="0"/>
    </xf>
    <xf numFmtId="0" fontId="31" fillId="4" borderId="1" xfId="0" applyFont="1" applyFill="1" applyBorder="1" applyAlignment="1" applyProtection="1">
      <alignment horizontal="center" vertical="center"/>
    </xf>
    <xf numFmtId="49" fontId="21" fillId="6" borderId="55" xfId="0" applyNumberFormat="1" applyFont="1" applyFill="1" applyBorder="1" applyAlignment="1">
      <alignment horizontal="center" vertical="center"/>
    </xf>
    <xf numFmtId="0" fontId="25" fillId="10" borderId="17" xfId="0" applyFont="1" applyFill="1" applyBorder="1" applyAlignment="1">
      <alignment wrapText="1"/>
    </xf>
    <xf numFmtId="0" fontId="25" fillId="10" borderId="42" xfId="0" applyFont="1" applyFill="1" applyBorder="1" applyAlignment="1">
      <alignment vertical="top" wrapText="1"/>
    </xf>
    <xf numFmtId="0" fontId="31" fillId="0" borderId="3" xfId="0" applyFont="1" applyBorder="1" applyAlignment="1" applyProtection="1">
      <alignment horizontal="center" vertical="center"/>
      <protection locked="0"/>
    </xf>
    <xf numFmtId="0" fontId="21" fillId="0" borderId="137" xfId="0" applyFont="1" applyBorder="1" applyAlignment="1" applyProtection="1">
      <alignment horizontal="center" vertical="center"/>
      <protection locked="0"/>
    </xf>
    <xf numFmtId="0" fontId="21" fillId="4" borderId="137" xfId="0" applyFont="1" applyFill="1" applyBorder="1" applyAlignment="1" applyProtection="1">
      <alignment horizontal="center" vertical="center"/>
    </xf>
    <xf numFmtId="0" fontId="21" fillId="4" borderId="58" xfId="0" applyFont="1" applyFill="1" applyBorder="1" applyAlignment="1" applyProtection="1">
      <alignment horizontal="center" vertical="center"/>
    </xf>
    <xf numFmtId="0" fontId="21" fillId="4" borderId="57" xfId="0" applyFont="1" applyFill="1" applyBorder="1" applyAlignment="1" applyProtection="1">
      <alignment horizontal="center" vertical="center"/>
    </xf>
    <xf numFmtId="0" fontId="21" fillId="4" borderId="68" xfId="0" applyFont="1" applyFill="1" applyBorder="1" applyAlignment="1" applyProtection="1">
      <alignment horizontal="center" vertical="center"/>
    </xf>
    <xf numFmtId="0" fontId="25" fillId="4" borderId="10" xfId="0" applyFont="1" applyFill="1" applyBorder="1" applyAlignment="1" applyProtection="1">
      <alignment horizontal="center" vertical="center"/>
    </xf>
    <xf numFmtId="0" fontId="21" fillId="4" borderId="139" xfId="0" applyFont="1" applyFill="1" applyBorder="1" applyAlignment="1" applyProtection="1">
      <alignment horizontal="center" vertical="center"/>
    </xf>
    <xf numFmtId="0" fontId="21" fillId="4" borderId="124" xfId="0" applyFont="1" applyFill="1" applyBorder="1" applyAlignment="1" applyProtection="1">
      <alignment horizontal="center" vertical="center"/>
    </xf>
    <xf numFmtId="0" fontId="25" fillId="4" borderId="127" xfId="0" applyFont="1" applyFill="1" applyBorder="1" applyAlignment="1" applyProtection="1">
      <alignment horizontal="center" vertical="center"/>
    </xf>
    <xf numFmtId="49" fontId="21" fillId="6" borderId="4" xfId="0" applyNumberFormat="1" applyFont="1" applyFill="1" applyBorder="1" applyAlignment="1" applyProtection="1">
      <alignment horizontal="center" vertical="center"/>
    </xf>
    <xf numFmtId="0" fontId="25" fillId="4" borderId="29" xfId="0" applyFont="1" applyFill="1" applyBorder="1" applyAlignment="1" applyProtection="1">
      <alignment horizontal="center" vertical="center"/>
    </xf>
    <xf numFmtId="49" fontId="21" fillId="6" borderId="9" xfId="0" applyNumberFormat="1" applyFont="1" applyFill="1" applyBorder="1" applyAlignment="1" applyProtection="1">
      <alignment horizontal="center" vertical="center"/>
    </xf>
    <xf numFmtId="49" fontId="21" fillId="6" borderId="52" xfId="0" applyNumberFormat="1" applyFont="1" applyFill="1" applyBorder="1" applyAlignment="1">
      <alignment horizontal="center" vertical="center"/>
    </xf>
    <xf numFmtId="49" fontId="21" fillId="6" borderId="54" xfId="0" applyNumberFormat="1" applyFont="1" applyFill="1" applyBorder="1" applyAlignment="1">
      <alignment horizontal="center" vertical="center"/>
    </xf>
    <xf numFmtId="0" fontId="25" fillId="4" borderId="26" xfId="0" applyFont="1" applyFill="1" applyBorder="1" applyAlignment="1" applyProtection="1">
      <alignment horizontal="center" vertical="center"/>
    </xf>
    <xf numFmtId="0" fontId="31" fillId="4" borderId="9" xfId="0" applyFont="1" applyFill="1" applyBorder="1" applyAlignment="1" applyProtection="1">
      <alignment horizontal="center" vertical="center"/>
    </xf>
    <xf numFmtId="0" fontId="31" fillId="0" borderId="9" xfId="0" applyFont="1" applyBorder="1" applyAlignment="1" applyProtection="1">
      <alignment horizontal="center" vertical="center"/>
      <protection locked="0"/>
    </xf>
    <xf numFmtId="0" fontId="21" fillId="4" borderId="2" xfId="0" applyFont="1" applyFill="1" applyBorder="1" applyAlignment="1" applyProtection="1">
      <alignment horizontal="center" vertical="center"/>
    </xf>
    <xf numFmtId="0" fontId="21" fillId="4" borderId="1" xfId="0" applyFont="1" applyFill="1" applyBorder="1" applyAlignment="1" applyProtection="1">
      <alignment horizontal="center" vertical="center"/>
    </xf>
    <xf numFmtId="0" fontId="31" fillId="4" borderId="3" xfId="0" applyFont="1" applyFill="1" applyBorder="1" applyAlignment="1" applyProtection="1">
      <alignment horizontal="center" vertical="center"/>
    </xf>
    <xf numFmtId="0" fontId="25" fillId="4" borderId="21" xfId="0" applyFont="1" applyFill="1" applyBorder="1" applyAlignment="1" applyProtection="1">
      <alignment horizontal="center" vertical="center"/>
    </xf>
    <xf numFmtId="0" fontId="31" fillId="4" borderId="10" xfId="0" applyFont="1" applyFill="1" applyBorder="1" applyAlignment="1" applyProtection="1">
      <alignment horizontal="center" vertical="center"/>
    </xf>
    <xf numFmtId="0" fontId="31" fillId="4" borderId="42" xfId="0" applyFont="1" applyFill="1" applyBorder="1" applyAlignment="1" applyProtection="1">
      <alignment horizontal="center" vertical="center"/>
    </xf>
    <xf numFmtId="0" fontId="31" fillId="4" borderId="0" xfId="0" applyFont="1" applyFill="1" applyBorder="1" applyAlignment="1" applyProtection="1">
      <alignment horizontal="center" vertical="center"/>
    </xf>
    <xf numFmtId="0" fontId="31" fillId="4" borderId="56" xfId="0" applyFont="1" applyFill="1" applyBorder="1" applyAlignment="1" applyProtection="1">
      <alignment horizontal="center" vertical="center"/>
    </xf>
    <xf numFmtId="0" fontId="31" fillId="4" borderId="31" xfId="0" applyFont="1" applyFill="1" applyBorder="1" applyAlignment="1" applyProtection="1">
      <alignment horizontal="center" vertical="center"/>
    </xf>
    <xf numFmtId="0" fontId="33" fillId="4" borderId="141" xfId="0" applyFont="1" applyFill="1" applyBorder="1" applyAlignment="1">
      <alignment vertical="center"/>
    </xf>
    <xf numFmtId="0" fontId="25" fillId="4" borderId="216" xfId="0" applyFont="1" applyFill="1" applyBorder="1" applyAlignment="1" applyProtection="1">
      <alignment horizontal="center" vertical="center"/>
    </xf>
    <xf numFmtId="0" fontId="21" fillId="6" borderId="137" xfId="0" applyNumberFormat="1" applyFont="1" applyFill="1" applyBorder="1" applyAlignment="1" applyProtection="1">
      <alignment horizontal="center" vertical="center"/>
    </xf>
    <xf numFmtId="0" fontId="21" fillId="6" borderId="143" xfId="0" applyNumberFormat="1" applyFont="1" applyFill="1" applyBorder="1" applyAlignment="1" applyProtection="1">
      <alignment horizontal="center" vertical="center"/>
    </xf>
    <xf numFmtId="0" fontId="25" fillId="4" borderId="215" xfId="0" applyFont="1" applyFill="1" applyBorder="1" applyAlignment="1" applyProtection="1">
      <alignment horizontal="center" vertical="center"/>
    </xf>
    <xf numFmtId="0" fontId="25" fillId="4" borderId="217" xfId="0" applyFont="1" applyFill="1" applyBorder="1" applyAlignment="1" applyProtection="1">
      <alignment horizontal="center" vertical="center"/>
    </xf>
    <xf numFmtId="0" fontId="21" fillId="4" borderId="59" xfId="0" applyFont="1" applyFill="1" applyBorder="1" applyAlignment="1" applyProtection="1">
      <alignment horizontal="center" vertical="center"/>
    </xf>
    <xf numFmtId="0" fontId="29" fillId="3" borderId="107" xfId="0" applyFont="1" applyFill="1" applyBorder="1" applyAlignment="1">
      <alignment horizontal="left" vertical="center"/>
    </xf>
    <xf numFmtId="0" fontId="29" fillId="3" borderId="135" xfId="0" applyFont="1" applyFill="1" applyBorder="1" applyAlignment="1">
      <alignment horizontal="left" vertical="center"/>
    </xf>
    <xf numFmtId="0" fontId="29" fillId="3" borderId="53" xfId="0" applyFont="1" applyFill="1" applyBorder="1" applyAlignment="1">
      <alignment horizontal="left" vertical="center"/>
    </xf>
    <xf numFmtId="0" fontId="29" fillId="3" borderId="104" xfId="0" applyFont="1" applyFill="1" applyBorder="1" applyAlignment="1">
      <alignment horizontal="left" vertical="center"/>
    </xf>
    <xf numFmtId="0" fontId="29" fillId="3" borderId="27" xfId="0" applyFont="1" applyFill="1" applyBorder="1" applyAlignment="1">
      <alignment horizontal="left" vertical="center"/>
    </xf>
    <xf numFmtId="0" fontId="29" fillId="3" borderId="28" xfId="0" applyFont="1" applyFill="1" applyBorder="1" applyAlignment="1">
      <alignment horizontal="left" vertical="center"/>
    </xf>
    <xf numFmtId="0" fontId="29" fillId="3" borderId="0" xfId="0" applyFont="1" applyFill="1" applyAlignment="1">
      <alignment horizontal="left" vertical="center"/>
    </xf>
    <xf numFmtId="49" fontId="32" fillId="4" borderId="30" xfId="1" applyNumberFormat="1" applyFont="1" applyFill="1" applyBorder="1" applyAlignment="1">
      <alignment horizontal="center" vertical="center"/>
    </xf>
    <xf numFmtId="49" fontId="32" fillId="4" borderId="21" xfId="1" applyNumberFormat="1" applyFont="1" applyFill="1" applyBorder="1" applyAlignment="1">
      <alignment horizontal="center" vertical="center"/>
    </xf>
    <xf numFmtId="49" fontId="32" fillId="4" borderId="31" xfId="1" applyNumberFormat="1" applyFont="1" applyFill="1" applyBorder="1" applyAlignment="1">
      <alignment horizontal="center" vertical="center"/>
    </xf>
    <xf numFmtId="0" fontId="25" fillId="4" borderId="138" xfId="0" applyFont="1" applyFill="1" applyBorder="1" applyAlignment="1" applyProtection="1">
      <alignment horizontal="center" vertical="center"/>
    </xf>
    <xf numFmtId="0" fontId="25" fillId="4" borderId="169" xfId="0" applyFont="1" applyFill="1" applyBorder="1" applyAlignment="1" applyProtection="1">
      <alignment horizontal="center" vertical="center"/>
    </xf>
    <xf numFmtId="0" fontId="25" fillId="0" borderId="138" xfId="0" applyFont="1" applyBorder="1" applyAlignment="1" applyProtection="1">
      <alignment horizontal="center" vertical="center"/>
      <protection locked="0"/>
    </xf>
    <xf numFmtId="0" fontId="25" fillId="2" borderId="137" xfId="0" applyFont="1" applyFill="1" applyBorder="1" applyAlignment="1" applyProtection="1">
      <alignment horizontal="center" vertical="center"/>
    </xf>
    <xf numFmtId="0" fontId="25" fillId="4" borderId="156" xfId="0" applyFont="1" applyFill="1" applyBorder="1" applyAlignment="1" applyProtection="1">
      <alignment horizontal="center" vertical="center"/>
    </xf>
    <xf numFmtId="0" fontId="25" fillId="10" borderId="39" xfId="0" applyFont="1" applyFill="1" applyBorder="1" applyAlignment="1">
      <alignment vertical="top" wrapText="1"/>
    </xf>
    <xf numFmtId="0" fontId="25" fillId="4" borderId="58" xfId="0" applyFont="1" applyFill="1" applyBorder="1" applyAlignment="1" applyProtection="1">
      <alignment horizontal="center" vertical="center"/>
    </xf>
    <xf numFmtId="0" fontId="25" fillId="4" borderId="57" xfId="0" applyFont="1" applyFill="1" applyBorder="1" applyAlignment="1" applyProtection="1">
      <alignment horizontal="center" vertical="center"/>
    </xf>
    <xf numFmtId="0" fontId="25" fillId="4" borderId="66" xfId="0" applyFont="1" applyFill="1" applyBorder="1" applyAlignment="1" applyProtection="1">
      <alignment horizontal="center" vertical="center"/>
    </xf>
    <xf numFmtId="0" fontId="25" fillId="0" borderId="58" xfId="0" applyFont="1" applyBorder="1" applyAlignment="1" applyProtection="1">
      <alignment horizontal="center" vertical="center"/>
      <protection locked="0"/>
    </xf>
    <xf numFmtId="0" fontId="25" fillId="2" borderId="57" xfId="0" applyFont="1" applyFill="1" applyBorder="1" applyAlignment="1" applyProtection="1">
      <alignment horizontal="center" vertical="center"/>
    </xf>
    <xf numFmtId="0" fontId="25" fillId="4" borderId="157" xfId="0" applyFont="1" applyFill="1" applyBorder="1" applyAlignment="1" applyProtection="1">
      <alignment horizontal="center" vertical="center"/>
    </xf>
    <xf numFmtId="0" fontId="25" fillId="10" borderId="23" xfId="0" applyFont="1" applyFill="1" applyBorder="1" applyAlignment="1">
      <alignment vertical="top" wrapText="1"/>
    </xf>
    <xf numFmtId="0" fontId="25" fillId="4" borderId="59" xfId="0" applyFont="1" applyFill="1" applyBorder="1" applyAlignment="1" applyProtection="1">
      <alignment horizontal="center" vertical="center"/>
    </xf>
    <xf numFmtId="0" fontId="25" fillId="4" borderId="71" xfId="0" applyFont="1" applyFill="1" applyBorder="1" applyAlignment="1" applyProtection="1">
      <alignment horizontal="center" vertical="center"/>
    </xf>
    <xf numFmtId="49" fontId="21" fillId="6" borderId="163" xfId="0" applyNumberFormat="1" applyFont="1" applyFill="1" applyBorder="1" applyAlignment="1" applyProtection="1">
      <alignment horizontal="center" vertical="center"/>
    </xf>
    <xf numFmtId="49" fontId="21" fillId="6" borderId="68" xfId="0" applyNumberFormat="1" applyFont="1" applyFill="1" applyBorder="1" applyAlignment="1" applyProtection="1">
      <alignment horizontal="center" vertical="center"/>
    </xf>
    <xf numFmtId="0" fontId="21" fillId="6" borderId="144" xfId="0" applyFont="1" applyFill="1" applyBorder="1" applyAlignment="1">
      <alignment horizontal="center" vertical="center"/>
    </xf>
    <xf numFmtId="49" fontId="21" fillId="6" borderId="59" xfId="0" applyNumberFormat="1" applyFont="1" applyFill="1" applyBorder="1" applyAlignment="1" applyProtection="1">
      <alignment horizontal="center" vertical="center"/>
    </xf>
    <xf numFmtId="49" fontId="21" fillId="6" borderId="144" xfId="0" applyNumberFormat="1" applyFont="1" applyFill="1" applyBorder="1" applyAlignment="1" applyProtection="1">
      <alignment horizontal="center" vertical="center"/>
    </xf>
    <xf numFmtId="0" fontId="25" fillId="4" borderId="158" xfId="0" applyFont="1" applyFill="1" applyBorder="1" applyAlignment="1" applyProtection="1">
      <alignment horizontal="center" vertical="center"/>
    </xf>
    <xf numFmtId="0" fontId="25" fillId="4" borderId="149" xfId="0" applyFont="1" applyFill="1" applyBorder="1" applyAlignment="1" applyProtection="1">
      <alignment horizontal="center" vertical="center"/>
    </xf>
    <xf numFmtId="0" fontId="21" fillId="6" borderId="57" xfId="0" applyFont="1" applyFill="1" applyBorder="1" applyAlignment="1">
      <alignment horizontal="center" vertical="center"/>
    </xf>
    <xf numFmtId="0" fontId="25" fillId="0" borderId="163" xfId="0" applyFont="1" applyBorder="1" applyAlignment="1" applyProtection="1">
      <alignment horizontal="center" vertical="center"/>
      <protection locked="0"/>
    </xf>
    <xf numFmtId="0" fontId="25" fillId="0" borderId="68" xfId="0" applyFont="1" applyBorder="1" applyAlignment="1" applyProtection="1">
      <alignment horizontal="center" vertical="center"/>
      <protection locked="0"/>
    </xf>
    <xf numFmtId="0" fontId="25" fillId="0" borderId="59" xfId="0" applyFont="1" applyBorder="1" applyAlignment="1" applyProtection="1">
      <alignment horizontal="center" vertical="center"/>
      <protection locked="0"/>
    </xf>
    <xf numFmtId="0" fontId="25" fillId="2" borderId="68" xfId="0" applyFont="1" applyFill="1" applyBorder="1" applyAlignment="1" applyProtection="1">
      <alignment horizontal="center" vertical="center"/>
    </xf>
    <xf numFmtId="0" fontId="25" fillId="0" borderId="144" xfId="0" applyFont="1" applyBorder="1" applyAlignment="1" applyProtection="1">
      <alignment horizontal="center" vertical="center"/>
      <protection locked="0"/>
    </xf>
    <xf numFmtId="0" fontId="23" fillId="2" borderId="17" xfId="0" applyFont="1" applyFill="1" applyBorder="1" applyAlignment="1">
      <alignment horizontal="left" vertical="top"/>
    </xf>
    <xf numFmtId="0" fontId="25" fillId="4" borderId="60" xfId="0" applyFont="1" applyFill="1" applyBorder="1" applyAlignment="1" applyProtection="1">
      <alignment horizontal="center" vertical="center"/>
    </xf>
    <xf numFmtId="0" fontId="25" fillId="4" borderId="164" xfId="0" applyFont="1" applyFill="1" applyBorder="1" applyAlignment="1" applyProtection="1">
      <alignment horizontal="center" vertical="center"/>
    </xf>
    <xf numFmtId="0" fontId="25" fillId="0" borderId="125" xfId="0" applyFont="1" applyBorder="1" applyAlignment="1" applyProtection="1">
      <alignment horizontal="center" vertical="center"/>
      <protection locked="0"/>
    </xf>
    <xf numFmtId="0" fontId="25" fillId="0" borderId="60" xfId="0" applyFont="1" applyBorder="1" applyAlignment="1" applyProtection="1">
      <alignment horizontal="center" vertical="center"/>
      <protection locked="0"/>
    </xf>
    <xf numFmtId="0" fontId="21" fillId="6" borderId="162" xfId="0" applyFont="1" applyFill="1" applyBorder="1" applyAlignment="1">
      <alignment horizontal="center" vertical="center"/>
    </xf>
    <xf numFmtId="0" fontId="37" fillId="4" borderId="20" xfId="0" applyFont="1" applyFill="1" applyBorder="1" applyAlignment="1">
      <alignment vertical="center"/>
    </xf>
    <xf numFmtId="0" fontId="25" fillId="4" borderId="139" xfId="0" applyFont="1" applyFill="1" applyBorder="1" applyAlignment="1" applyProtection="1">
      <alignment horizontal="center" vertical="center"/>
    </xf>
    <xf numFmtId="0" fontId="25" fillId="4" borderId="124" xfId="0" applyFont="1" applyFill="1" applyBorder="1" applyAlignment="1" applyProtection="1">
      <alignment horizontal="center" vertical="center"/>
    </xf>
    <xf numFmtId="0" fontId="25" fillId="4" borderId="165" xfId="0" applyFont="1" applyFill="1" applyBorder="1" applyAlignment="1" applyProtection="1">
      <alignment horizontal="center" vertical="center"/>
    </xf>
    <xf numFmtId="0" fontId="25" fillId="0" borderId="123" xfId="0" applyFont="1" applyBorder="1" applyAlignment="1" applyProtection="1">
      <alignment horizontal="center" vertical="center"/>
      <protection locked="0"/>
    </xf>
    <xf numFmtId="0" fontId="25" fillId="0" borderId="124" xfId="0" applyFont="1" applyBorder="1" applyAlignment="1" applyProtection="1">
      <alignment horizontal="center" vertical="center"/>
      <protection locked="0"/>
    </xf>
    <xf numFmtId="0" fontId="25" fillId="4" borderId="143" xfId="0" applyFont="1" applyFill="1" applyBorder="1" applyAlignment="1" applyProtection="1">
      <alignment horizontal="center" vertical="center"/>
    </xf>
    <xf numFmtId="0" fontId="25" fillId="2" borderId="18" xfId="0" applyFont="1" applyFill="1" applyBorder="1" applyAlignment="1">
      <alignment horizontal="left" vertical="top"/>
    </xf>
    <xf numFmtId="0" fontId="33" fillId="4" borderId="19" xfId="0" applyFont="1" applyFill="1" applyBorder="1" applyAlignment="1">
      <alignment vertical="center"/>
    </xf>
    <xf numFmtId="0" fontId="25" fillId="4" borderId="125" xfId="0" applyFont="1" applyFill="1" applyBorder="1" applyAlignment="1" applyProtection="1">
      <alignment horizontal="center" vertical="center"/>
    </xf>
    <xf numFmtId="0" fontId="25" fillId="4" borderId="162" xfId="0" applyFont="1" applyFill="1" applyBorder="1" applyAlignment="1" applyProtection="1">
      <alignment horizontal="center" vertical="center"/>
    </xf>
    <xf numFmtId="0" fontId="25" fillId="2" borderId="19" xfId="0" applyFont="1" applyFill="1" applyBorder="1" applyAlignment="1">
      <alignment horizontal="left" vertical="top"/>
    </xf>
    <xf numFmtId="0" fontId="25" fillId="4" borderId="122" xfId="0" applyFont="1" applyFill="1" applyBorder="1" applyAlignment="1" applyProtection="1">
      <alignment horizontal="center" vertical="center"/>
    </xf>
    <xf numFmtId="0" fontId="25" fillId="2" borderId="36" xfId="0" applyFont="1" applyFill="1" applyBorder="1" applyAlignment="1">
      <alignment horizontal="left" vertical="top"/>
    </xf>
    <xf numFmtId="0" fontId="25" fillId="10" borderId="44" xfId="0" applyFont="1" applyFill="1" applyBorder="1" applyAlignment="1">
      <alignment vertical="top" wrapText="1"/>
    </xf>
    <xf numFmtId="0" fontId="33" fillId="4" borderId="210" xfId="0" applyFont="1" applyFill="1" applyBorder="1" applyAlignment="1">
      <alignment vertical="center"/>
    </xf>
    <xf numFmtId="0" fontId="25" fillId="4" borderId="123" xfId="0" applyFont="1" applyFill="1" applyBorder="1" applyAlignment="1" applyProtection="1">
      <alignment horizontal="center" vertical="center"/>
    </xf>
    <xf numFmtId="0" fontId="25" fillId="4" borderId="187" xfId="0" applyFont="1" applyFill="1" applyBorder="1" applyAlignment="1" applyProtection="1">
      <alignment horizontal="center" vertical="center"/>
    </xf>
    <xf numFmtId="0" fontId="25" fillId="4" borderId="212" xfId="0" applyFont="1" applyFill="1" applyBorder="1" applyAlignment="1" applyProtection="1">
      <alignment horizontal="center" vertical="center"/>
    </xf>
    <xf numFmtId="0" fontId="25" fillId="4" borderId="213" xfId="0" applyFont="1" applyFill="1" applyBorder="1" applyAlignment="1" applyProtection="1">
      <alignment horizontal="center" vertical="center"/>
    </xf>
    <xf numFmtId="0" fontId="21" fillId="6" borderId="0" xfId="0" applyFont="1" applyFill="1" applyBorder="1" applyAlignment="1">
      <alignment horizontal="center" vertical="center"/>
    </xf>
    <xf numFmtId="0" fontId="25" fillId="2" borderId="43" xfId="0" applyFont="1" applyFill="1" applyBorder="1" applyAlignment="1">
      <alignment horizontal="left" vertical="top"/>
    </xf>
    <xf numFmtId="0" fontId="25" fillId="10" borderId="0" xfId="0" applyFont="1" applyFill="1" applyBorder="1" applyAlignment="1">
      <alignment vertical="top" wrapText="1"/>
    </xf>
    <xf numFmtId="0" fontId="25" fillId="4" borderId="35" xfId="0" applyFont="1" applyFill="1" applyBorder="1" applyAlignment="1"/>
    <xf numFmtId="0" fontId="25" fillId="0" borderId="4" xfId="0" applyFont="1" applyBorder="1" applyAlignment="1" applyProtection="1">
      <alignment horizontal="center"/>
      <protection locked="0"/>
    </xf>
    <xf numFmtId="0" fontId="21" fillId="6" borderId="112" xfId="0" applyFont="1" applyFill="1" applyBorder="1" applyAlignment="1">
      <alignment horizontal="center"/>
    </xf>
    <xf numFmtId="0" fontId="21" fillId="6" borderId="67" xfId="0" applyFont="1" applyFill="1" applyBorder="1" applyAlignment="1">
      <alignment horizontal="center"/>
    </xf>
    <xf numFmtId="0" fontId="21" fillId="2" borderId="38" xfId="0" applyFont="1" applyFill="1" applyBorder="1" applyAlignment="1"/>
    <xf numFmtId="0" fontId="25" fillId="10" borderId="38" xfId="0" applyFont="1" applyFill="1" applyBorder="1" applyAlignment="1">
      <alignment horizontal="left" wrapText="1"/>
    </xf>
    <xf numFmtId="0" fontId="25" fillId="10" borderId="43" xfId="0" applyFont="1" applyFill="1" applyBorder="1" applyAlignment="1">
      <alignment wrapText="1"/>
    </xf>
    <xf numFmtId="0" fontId="25" fillId="4" borderId="19" xfId="0" applyFont="1" applyFill="1" applyBorder="1" applyAlignment="1"/>
    <xf numFmtId="0" fontId="25" fillId="0" borderId="1" xfId="0" applyFont="1" applyBorder="1" applyAlignment="1" applyProtection="1">
      <alignment horizontal="center" wrapText="1"/>
      <protection locked="0"/>
    </xf>
    <xf numFmtId="0" fontId="21" fillId="6" borderId="55" xfId="0" applyFont="1" applyFill="1" applyBorder="1" applyAlignment="1">
      <alignment horizontal="center"/>
    </xf>
    <xf numFmtId="0" fontId="25" fillId="2" borderId="17" xfId="0" applyFont="1" applyFill="1" applyBorder="1" applyAlignment="1"/>
    <xf numFmtId="0" fontId="25" fillId="10" borderId="17" xfId="0" applyFont="1" applyFill="1" applyBorder="1" applyAlignment="1">
      <alignment horizontal="left" wrapText="1"/>
    </xf>
    <xf numFmtId="49" fontId="35" fillId="4" borderId="2" xfId="1" applyNumberFormat="1" applyFont="1" applyFill="1" applyBorder="1" applyAlignment="1">
      <alignment horizontal="center"/>
    </xf>
    <xf numFmtId="49" fontId="35" fillId="4" borderId="1" xfId="1" applyNumberFormat="1" applyFont="1" applyFill="1" applyBorder="1" applyAlignment="1">
      <alignment horizontal="center"/>
    </xf>
    <xf numFmtId="0" fontId="25" fillId="3" borderId="1" xfId="0" applyFont="1" applyFill="1" applyBorder="1" applyAlignment="1" applyProtection="1">
      <alignment horizontal="center"/>
    </xf>
    <xf numFmtId="0" fontId="25" fillId="5" borderId="1" xfId="0" applyFont="1" applyFill="1" applyBorder="1" applyAlignment="1" applyProtection="1">
      <alignment horizontal="center"/>
      <protection locked="0"/>
    </xf>
    <xf numFmtId="0" fontId="21" fillId="2" borderId="17" xfId="0" applyFont="1" applyFill="1" applyBorder="1" applyAlignment="1"/>
    <xf numFmtId="0" fontId="25" fillId="10" borderId="17" xfId="0" applyFont="1" applyFill="1" applyBorder="1" applyAlignment="1">
      <alignment horizontal="left"/>
    </xf>
    <xf numFmtId="0" fontId="25" fillId="0" borderId="1" xfId="0" applyFont="1" applyBorder="1" applyAlignment="1" applyProtection="1">
      <alignment horizontal="center"/>
      <protection locked="0"/>
    </xf>
    <xf numFmtId="0" fontId="25" fillId="4" borderId="36" xfId="0" applyFont="1" applyFill="1" applyBorder="1" applyAlignment="1"/>
    <xf numFmtId="0" fontId="25" fillId="4" borderId="146" xfId="0" applyFont="1" applyFill="1" applyBorder="1" applyAlignment="1">
      <alignment horizontal="center" vertical="center"/>
    </xf>
    <xf numFmtId="0" fontId="25" fillId="4" borderId="176" xfId="0" applyFont="1" applyFill="1" applyBorder="1" applyAlignment="1">
      <alignment horizontal="center" vertical="center"/>
    </xf>
    <xf numFmtId="0" fontId="21" fillId="0" borderId="138" xfId="0" applyFont="1" applyBorder="1" applyAlignment="1" applyProtection="1">
      <alignment horizontal="center" vertical="center"/>
      <protection locked="0"/>
    </xf>
    <xf numFmtId="0" fontId="21" fillId="6" borderId="112" xfId="0" applyFont="1" applyFill="1" applyBorder="1" applyAlignment="1">
      <alignment horizontal="center" vertical="center"/>
    </xf>
    <xf numFmtId="0" fontId="21" fillId="4" borderId="146" xfId="0" applyFont="1" applyFill="1" applyBorder="1" applyAlignment="1">
      <alignment horizontal="center" vertical="center"/>
    </xf>
    <xf numFmtId="0" fontId="21" fillId="4" borderId="176" xfId="0" applyFont="1" applyFill="1" applyBorder="1" applyAlignment="1">
      <alignment horizontal="center" vertical="center"/>
    </xf>
    <xf numFmtId="0" fontId="21" fillId="2" borderId="0" xfId="0" applyFont="1" applyFill="1" applyAlignment="1">
      <alignment horizontal="left" vertical="top"/>
    </xf>
    <xf numFmtId="0" fontId="21" fillId="4" borderId="147" xfId="0" applyFont="1" applyFill="1" applyBorder="1" applyAlignment="1">
      <alignment horizontal="center" vertical="center"/>
    </xf>
    <xf numFmtId="0" fontId="21" fillId="4" borderId="177" xfId="0" applyFont="1" applyFill="1" applyBorder="1" applyAlignment="1">
      <alignment horizontal="center" vertical="center"/>
    </xf>
    <xf numFmtId="0" fontId="25" fillId="3" borderId="3" xfId="0" applyFont="1" applyFill="1" applyBorder="1" applyAlignment="1" applyProtection="1">
      <alignment horizontal="center"/>
    </xf>
    <xf numFmtId="0" fontId="21" fillId="6" borderId="111" xfId="0" applyFont="1" applyFill="1" applyBorder="1" applyAlignment="1">
      <alignment horizontal="center"/>
    </xf>
    <xf numFmtId="0" fontId="25" fillId="2" borderId="17" xfId="0" applyFont="1" applyFill="1" applyBorder="1" applyAlignment="1">
      <alignment horizontal="left"/>
    </xf>
    <xf numFmtId="0" fontId="25" fillId="4" borderId="18" xfId="0" applyFont="1" applyFill="1" applyBorder="1" applyAlignment="1"/>
    <xf numFmtId="0" fontId="25" fillId="0" borderId="6" xfId="0" applyFont="1" applyBorder="1" applyAlignment="1" applyProtection="1">
      <alignment horizontal="center"/>
      <protection locked="0"/>
    </xf>
    <xf numFmtId="0" fontId="21" fillId="6" borderId="54" xfId="0" applyFont="1" applyFill="1" applyBorder="1" applyAlignment="1">
      <alignment horizontal="center"/>
    </xf>
    <xf numFmtId="0" fontId="25" fillId="4" borderId="20" xfId="0" applyFont="1" applyFill="1" applyBorder="1" applyAlignment="1"/>
    <xf numFmtId="0" fontId="25" fillId="3" borderId="9" xfId="0" applyFont="1" applyFill="1" applyBorder="1" applyAlignment="1" applyProtection="1">
      <alignment horizontal="center"/>
    </xf>
    <xf numFmtId="0" fontId="21" fillId="6" borderId="52" xfId="0" applyFont="1" applyFill="1" applyBorder="1" applyAlignment="1">
      <alignment horizontal="center"/>
    </xf>
    <xf numFmtId="0" fontId="25" fillId="10" borderId="51" xfId="0" applyFont="1" applyFill="1" applyBorder="1" applyAlignment="1">
      <alignment wrapText="1"/>
    </xf>
    <xf numFmtId="0" fontId="40" fillId="6" borderId="34" xfId="2" applyFont="1" applyFill="1" applyBorder="1" applyAlignment="1" applyProtection="1">
      <alignment horizontal="center" vertical="center" wrapText="1"/>
    </xf>
    <xf numFmtId="0" fontId="40" fillId="6" borderId="13" xfId="2" applyFont="1" applyFill="1" applyBorder="1" applyAlignment="1" applyProtection="1">
      <alignment horizontal="center" vertical="center" wrapText="1"/>
    </xf>
    <xf numFmtId="0" fontId="21" fillId="6" borderId="99" xfId="0" applyFont="1" applyFill="1" applyBorder="1" applyAlignment="1">
      <alignment horizontal="center" vertical="center" wrapText="1"/>
    </xf>
    <xf numFmtId="0" fontId="21" fillId="6" borderId="18" xfId="0" applyFont="1" applyFill="1" applyBorder="1" applyAlignment="1">
      <alignment horizontal="center" vertical="center" wrapText="1"/>
    </xf>
    <xf numFmtId="0" fontId="25" fillId="4" borderId="23" xfId="0" applyFont="1" applyFill="1" applyBorder="1" applyAlignment="1">
      <alignment vertical="center"/>
    </xf>
    <xf numFmtId="0" fontId="21" fillId="6" borderId="19" xfId="0" applyFont="1" applyFill="1" applyBorder="1" applyAlignment="1">
      <alignment horizontal="center" vertical="center" wrapText="1"/>
    </xf>
    <xf numFmtId="0" fontId="25" fillId="0" borderId="26" xfId="0" applyFont="1" applyBorder="1" applyAlignment="1" applyProtection="1">
      <alignment horizontal="center" vertical="center"/>
      <protection locked="0"/>
    </xf>
    <xf numFmtId="0" fontId="25" fillId="0" borderId="40" xfId="0" applyFont="1" applyBorder="1" applyAlignment="1" applyProtection="1">
      <alignment horizontal="center" vertical="center"/>
      <protection locked="0"/>
    </xf>
    <xf numFmtId="0" fontId="21" fillId="6" borderId="20" xfId="0" applyFont="1" applyFill="1" applyBorder="1" applyAlignment="1">
      <alignment horizontal="center" vertical="center" wrapText="1"/>
    </xf>
    <xf numFmtId="0" fontId="25" fillId="0" borderId="5" xfId="0" applyFont="1" applyBorder="1" applyAlignment="1">
      <alignment horizontal="left" vertical="center" wrapText="1"/>
    </xf>
    <xf numFmtId="0" fontId="25" fillId="4" borderId="69" xfId="0" applyFont="1" applyFill="1" applyBorder="1" applyAlignment="1" applyProtection="1">
      <alignment horizontal="center" vertical="center"/>
    </xf>
    <xf numFmtId="0" fontId="25" fillId="4" borderId="108" xfId="0" applyFont="1" applyFill="1" applyBorder="1" applyAlignment="1" applyProtection="1">
      <alignment horizontal="center" vertical="center"/>
    </xf>
    <xf numFmtId="0" fontId="25" fillId="4" borderId="98" xfId="0" applyFont="1" applyFill="1" applyBorder="1" applyAlignment="1" applyProtection="1">
      <alignment horizontal="center" vertical="center"/>
    </xf>
    <xf numFmtId="0" fontId="21" fillId="6" borderId="99" xfId="0" applyFont="1" applyFill="1" applyBorder="1" applyAlignment="1">
      <alignment horizontal="center" vertical="center"/>
    </xf>
    <xf numFmtId="0" fontId="40" fillId="6" borderId="34" xfId="2" applyFont="1" applyFill="1" applyBorder="1" applyAlignment="1" applyProtection="1">
      <alignment horizontal="center" vertical="center"/>
    </xf>
    <xf numFmtId="0" fontId="21" fillId="6" borderId="132" xfId="0" applyFont="1" applyFill="1" applyBorder="1" applyAlignment="1">
      <alignment horizontal="center" vertical="center"/>
    </xf>
    <xf numFmtId="0" fontId="40" fillId="6" borderId="14" xfId="2" applyFont="1" applyFill="1" applyBorder="1" applyAlignment="1" applyProtection="1">
      <alignment horizontal="center" vertical="center"/>
    </xf>
    <xf numFmtId="0" fontId="25" fillId="2" borderId="17" xfId="0" applyFont="1" applyFill="1" applyBorder="1" applyAlignment="1">
      <alignment horizontal="left" vertical="center"/>
    </xf>
    <xf numFmtId="0" fontId="25" fillId="10" borderId="17" xfId="0" applyFont="1" applyFill="1" applyBorder="1" applyAlignment="1">
      <alignment horizontal="left" vertical="center" wrapText="1"/>
    </xf>
    <xf numFmtId="0" fontId="23" fillId="0" borderId="42" xfId="0" applyFont="1" applyFill="1" applyBorder="1" applyAlignment="1">
      <alignment horizontal="center" vertical="center"/>
    </xf>
    <xf numFmtId="0" fontId="25" fillId="0" borderId="4" xfId="0" applyFont="1" applyBorder="1" applyAlignment="1" applyProtection="1">
      <alignment horizontal="center" vertical="center"/>
      <protection locked="0"/>
    </xf>
    <xf numFmtId="0" fontId="25" fillId="0" borderId="15" xfId="0" applyFont="1" applyBorder="1" applyAlignment="1" applyProtection="1">
      <alignment horizontal="center" vertical="center"/>
      <protection locked="0"/>
    </xf>
    <xf numFmtId="0" fontId="21" fillId="6" borderId="29" xfId="0" applyFont="1" applyFill="1" applyBorder="1" applyAlignment="1">
      <alignment horizontal="center" vertical="center"/>
    </xf>
    <xf numFmtId="0" fontId="21" fillId="6" borderId="8" xfId="0" applyFont="1" applyFill="1" applyBorder="1" applyAlignment="1">
      <alignment horizontal="center" vertical="center"/>
    </xf>
    <xf numFmtId="0" fontId="21" fillId="6" borderId="10" xfId="0" applyFont="1" applyFill="1" applyBorder="1" applyAlignment="1">
      <alignment horizontal="center" vertical="center"/>
    </xf>
    <xf numFmtId="0" fontId="21" fillId="6" borderId="7" xfId="0" applyFont="1" applyFill="1" applyBorder="1" applyAlignment="1">
      <alignment horizontal="center" vertical="center"/>
    </xf>
    <xf numFmtId="0" fontId="21" fillId="6" borderId="31" xfId="0" applyFont="1" applyFill="1" applyBorder="1" applyAlignment="1">
      <alignment horizontal="center" vertical="center"/>
    </xf>
    <xf numFmtId="0" fontId="25" fillId="4" borderId="33" xfId="0" applyFont="1" applyFill="1" applyBorder="1" applyAlignment="1">
      <alignment vertical="center"/>
    </xf>
    <xf numFmtId="0" fontId="25" fillId="4" borderId="140" xfId="0" applyFont="1" applyFill="1" applyBorder="1" applyAlignment="1">
      <alignment horizontal="center" vertical="center"/>
    </xf>
    <xf numFmtId="0" fontId="25" fillId="4" borderId="160" xfId="0" applyFont="1" applyFill="1" applyBorder="1" applyAlignment="1">
      <alignment horizontal="center" vertical="center"/>
    </xf>
    <xf numFmtId="0" fontId="25" fillId="4" borderId="170" xfId="0" applyFont="1" applyFill="1" applyBorder="1" applyAlignment="1">
      <alignment horizontal="center" vertical="center"/>
    </xf>
    <xf numFmtId="0" fontId="25" fillId="0" borderId="140" xfId="0" applyFont="1" applyBorder="1" applyAlignment="1" applyProtection="1">
      <alignment horizontal="center" vertical="center"/>
      <protection locked="0"/>
    </xf>
    <xf numFmtId="0" fontId="25" fillId="0" borderId="160" xfId="0" applyFont="1" applyBorder="1" applyAlignment="1" applyProtection="1">
      <alignment horizontal="center" vertical="center"/>
      <protection locked="0"/>
    </xf>
    <xf numFmtId="0" fontId="25" fillId="4" borderId="161" xfId="0" applyFont="1" applyFill="1" applyBorder="1" applyAlignment="1">
      <alignment horizontal="center" vertical="center"/>
    </xf>
    <xf numFmtId="0" fontId="25" fillId="4" borderId="166" xfId="0" applyFont="1" applyFill="1" applyBorder="1" applyAlignment="1">
      <alignment horizontal="center" vertical="center"/>
    </xf>
    <xf numFmtId="0" fontId="25" fillId="4" borderId="167" xfId="0" applyFont="1" applyFill="1" applyBorder="1" applyAlignment="1">
      <alignment horizontal="center" vertical="center"/>
    </xf>
    <xf numFmtId="0" fontId="25" fillId="4" borderId="168" xfId="0" applyFont="1" applyFill="1" applyBorder="1" applyAlignment="1">
      <alignment horizontal="center" vertical="center"/>
    </xf>
    <xf numFmtId="0" fontId="25" fillId="4" borderId="58" xfId="0" applyFont="1" applyFill="1" applyBorder="1" applyAlignment="1">
      <alignment horizontal="center" vertical="center"/>
    </xf>
    <xf numFmtId="0" fontId="25" fillId="6" borderId="26" xfId="0" applyFont="1" applyFill="1" applyBorder="1" applyAlignment="1" applyProtection="1">
      <alignment horizontal="center" vertical="center"/>
    </xf>
    <xf numFmtId="0" fontId="25" fillId="0" borderId="32" xfId="0" applyFont="1" applyBorder="1" applyAlignment="1" applyProtection="1">
      <alignment horizontal="center" vertical="center"/>
      <protection locked="0"/>
    </xf>
    <xf numFmtId="0" fontId="40" fillId="6" borderId="26" xfId="2" applyFont="1" applyFill="1" applyBorder="1" applyAlignment="1" applyProtection="1">
      <alignment horizontal="center" vertical="center"/>
    </xf>
    <xf numFmtId="0" fontId="40" fillId="6" borderId="46" xfId="2" applyFont="1" applyFill="1" applyBorder="1" applyAlignment="1" applyProtection="1">
      <alignment horizontal="center" vertical="center"/>
    </xf>
    <xf numFmtId="0" fontId="25" fillId="6" borderId="9" xfId="0" applyFont="1" applyFill="1" applyBorder="1" applyAlignment="1" applyProtection="1">
      <alignment horizontal="center" vertical="center"/>
    </xf>
    <xf numFmtId="0" fontId="25" fillId="4" borderId="39" xfId="0" applyFont="1" applyFill="1" applyBorder="1" applyAlignment="1">
      <alignment vertical="center"/>
    </xf>
    <xf numFmtId="0" fontId="25" fillId="4" borderId="69" xfId="0" applyFont="1" applyFill="1" applyBorder="1" applyAlignment="1">
      <alignment vertical="center"/>
    </xf>
    <xf numFmtId="0" fontId="21" fillId="6" borderId="20" xfId="0" applyFont="1" applyFill="1" applyBorder="1" applyAlignment="1">
      <alignment horizontal="center" vertical="center"/>
    </xf>
    <xf numFmtId="0" fontId="25" fillId="4" borderId="67" xfId="0" applyFont="1" applyFill="1" applyBorder="1" applyAlignment="1">
      <alignment vertical="center"/>
    </xf>
    <xf numFmtId="0" fontId="25" fillId="10" borderId="38" xfId="0" applyFont="1" applyFill="1" applyBorder="1" applyAlignment="1">
      <alignment horizontal="left" vertical="top"/>
    </xf>
    <xf numFmtId="0" fontId="21" fillId="8" borderId="42" xfId="0" applyFont="1" applyFill="1" applyBorder="1" applyAlignment="1">
      <alignment horizontal="center" vertical="center" wrapText="1"/>
    </xf>
    <xf numFmtId="0" fontId="25" fillId="4" borderId="105" xfId="0" applyFont="1" applyFill="1" applyBorder="1" applyAlignment="1">
      <alignment vertical="center"/>
    </xf>
    <xf numFmtId="0" fontId="21" fillId="6" borderId="56" xfId="0" applyFont="1" applyFill="1" applyBorder="1" applyAlignment="1">
      <alignment horizontal="center" vertical="center"/>
    </xf>
    <xf numFmtId="0" fontId="25" fillId="2" borderId="0" xfId="0" applyFont="1" applyFill="1" applyBorder="1" applyAlignment="1">
      <alignment horizontal="left" vertical="top"/>
    </xf>
    <xf numFmtId="0" fontId="25" fillId="10" borderId="0" xfId="0" applyFont="1" applyFill="1" applyBorder="1" applyAlignment="1">
      <alignment horizontal="left" vertical="top"/>
    </xf>
    <xf numFmtId="0" fontId="25" fillId="4" borderId="107" xfId="0" applyFont="1" applyFill="1" applyBorder="1" applyAlignment="1">
      <alignment vertical="center"/>
    </xf>
    <xf numFmtId="0" fontId="21" fillId="8" borderId="0" xfId="0" applyFont="1" applyFill="1" applyBorder="1" applyAlignment="1">
      <alignment horizontal="center" vertical="center" wrapText="1"/>
    </xf>
    <xf numFmtId="0" fontId="21" fillId="10" borderId="23" xfId="0" applyFont="1" applyFill="1" applyBorder="1" applyAlignment="1">
      <alignment vertical="top" wrapText="1"/>
    </xf>
    <xf numFmtId="0" fontId="25" fillId="10" borderId="37" xfId="0" applyFont="1" applyFill="1" applyBorder="1" applyAlignment="1">
      <alignment horizontal="left" vertical="top"/>
    </xf>
    <xf numFmtId="0" fontId="21" fillId="10" borderId="44" xfId="0" applyFont="1" applyFill="1" applyBorder="1" applyAlignment="1">
      <alignment vertical="top" wrapText="1"/>
    </xf>
    <xf numFmtId="0" fontId="25" fillId="0" borderId="32" xfId="0" applyFont="1" applyBorder="1" applyAlignment="1" applyProtection="1">
      <alignment horizontal="center" vertical="center" wrapText="1"/>
      <protection locked="0"/>
    </xf>
    <xf numFmtId="0" fontId="25" fillId="0" borderId="4" xfId="0" applyFont="1" applyBorder="1" applyAlignment="1" applyProtection="1">
      <alignment horizontal="center" vertical="center" wrapText="1"/>
      <protection locked="0"/>
    </xf>
    <xf numFmtId="0" fontId="25" fillId="0" borderId="15" xfId="0" applyFont="1" applyBorder="1" applyAlignment="1" applyProtection="1">
      <alignment horizontal="center" vertical="center" wrapText="1"/>
      <protection locked="0"/>
    </xf>
    <xf numFmtId="0" fontId="21" fillId="10" borderId="39" xfId="0" applyFont="1" applyFill="1" applyBorder="1" applyAlignment="1">
      <alignment vertical="top" wrapText="1"/>
    </xf>
    <xf numFmtId="0" fontId="25" fillId="0" borderId="26" xfId="0" applyFont="1" applyBorder="1" applyAlignment="1" applyProtection="1">
      <alignment horizontal="center" vertical="center" wrapText="1"/>
      <protection locked="0"/>
    </xf>
    <xf numFmtId="0" fontId="25" fillId="0" borderId="9" xfId="0" applyFont="1" applyBorder="1" applyAlignment="1" applyProtection="1">
      <alignment horizontal="center" vertical="center" wrapText="1"/>
      <protection locked="0"/>
    </xf>
    <xf numFmtId="0" fontId="25" fillId="0" borderId="40" xfId="0" applyFont="1" applyBorder="1" applyAlignment="1" applyProtection="1">
      <alignment horizontal="center" vertical="center" wrapText="1"/>
      <protection locked="0"/>
    </xf>
    <xf numFmtId="0" fontId="25" fillId="0" borderId="25" xfId="0" applyFont="1" applyBorder="1" applyAlignment="1" applyProtection="1">
      <alignment horizontal="center" vertical="center" wrapText="1"/>
      <protection locked="0"/>
    </xf>
    <xf numFmtId="0" fontId="25" fillId="0" borderId="6" xfId="0" applyFont="1" applyBorder="1" applyAlignment="1" applyProtection="1">
      <alignment horizontal="center" vertical="center" wrapText="1"/>
      <protection locked="0"/>
    </xf>
    <xf numFmtId="0" fontId="25" fillId="0" borderId="106" xfId="0" applyFont="1" applyBorder="1" applyAlignment="1" applyProtection="1">
      <alignment horizontal="center" vertical="center" wrapText="1"/>
      <protection locked="0"/>
    </xf>
    <xf numFmtId="49" fontId="32" fillId="4" borderId="63" xfId="1" applyNumberFormat="1" applyFont="1" applyFill="1" applyBorder="1" applyAlignment="1">
      <alignment horizontal="center" vertical="center"/>
    </xf>
    <xf numFmtId="49" fontId="32" fillId="4" borderId="10" xfId="1" applyNumberFormat="1" applyFont="1" applyFill="1" applyBorder="1" applyAlignment="1">
      <alignment horizontal="center" vertical="center"/>
    </xf>
    <xf numFmtId="0" fontId="25" fillId="4" borderId="32" xfId="0" applyFont="1" applyFill="1" applyBorder="1" applyAlignment="1" applyProtection="1">
      <alignment horizontal="center" vertical="center"/>
    </xf>
    <xf numFmtId="0" fontId="25" fillId="2" borderId="4" xfId="0" applyFont="1" applyFill="1" applyBorder="1" applyAlignment="1" applyProtection="1">
      <alignment horizontal="center" vertical="center"/>
    </xf>
    <xf numFmtId="0" fontId="25" fillId="2" borderId="15" xfId="0" applyFont="1" applyFill="1" applyBorder="1" applyAlignment="1" applyProtection="1">
      <alignment horizontal="center" vertical="center"/>
    </xf>
    <xf numFmtId="0" fontId="21" fillId="6" borderId="60" xfId="0" applyFont="1" applyFill="1" applyBorder="1" applyAlignment="1">
      <alignment horizontal="center" vertical="center"/>
    </xf>
    <xf numFmtId="0" fontId="25" fillId="2" borderId="32" xfId="0" applyFont="1" applyFill="1" applyBorder="1" applyAlignment="1" applyProtection="1">
      <alignment horizontal="center" vertical="center"/>
    </xf>
    <xf numFmtId="0" fontId="25" fillId="2" borderId="1" xfId="0" applyFont="1" applyFill="1" applyBorder="1" applyAlignment="1" applyProtection="1">
      <alignment horizontal="center" vertical="center"/>
    </xf>
    <xf numFmtId="0" fontId="25" fillId="2" borderId="16" xfId="0" applyFont="1" applyFill="1" applyBorder="1" applyAlignment="1" applyProtection="1">
      <alignment horizontal="center" vertical="center"/>
    </xf>
    <xf numFmtId="0" fontId="25" fillId="2" borderId="2" xfId="0" applyFont="1" applyFill="1" applyBorder="1" applyAlignment="1" applyProtection="1">
      <alignment horizontal="center" vertical="center"/>
    </xf>
    <xf numFmtId="0" fontId="25" fillId="3" borderId="1" xfId="0" applyFont="1" applyFill="1" applyBorder="1" applyAlignment="1" applyProtection="1">
      <alignment horizontal="center" vertical="center"/>
    </xf>
    <xf numFmtId="0" fontId="25" fillId="4" borderId="1" xfId="0" applyFont="1" applyFill="1" applyBorder="1" applyAlignment="1" applyProtection="1">
      <alignment horizontal="center" vertical="center"/>
      <protection locked="0"/>
    </xf>
    <xf numFmtId="0" fontId="25" fillId="3" borderId="16" xfId="0" applyFont="1" applyFill="1" applyBorder="1" applyAlignment="1" applyProtection="1">
      <alignment horizontal="center" vertical="center"/>
    </xf>
    <xf numFmtId="0" fontId="25" fillId="0" borderId="1" xfId="0" applyFont="1" applyFill="1" applyBorder="1" applyAlignment="1" applyProtection="1">
      <alignment horizontal="center" vertical="center"/>
      <protection locked="0"/>
    </xf>
    <xf numFmtId="0" fontId="25" fillId="0" borderId="16" xfId="0" applyFont="1" applyFill="1" applyBorder="1" applyAlignment="1" applyProtection="1">
      <alignment horizontal="center" vertical="center"/>
      <protection locked="0"/>
    </xf>
    <xf numFmtId="0" fontId="25" fillId="2" borderId="9" xfId="0" applyFont="1" applyFill="1" applyBorder="1" applyAlignment="1" applyProtection="1">
      <alignment horizontal="center" vertical="center"/>
    </xf>
    <xf numFmtId="0" fontId="25" fillId="2" borderId="40" xfId="0" applyFont="1" applyFill="1" applyBorder="1" applyAlignment="1" applyProtection="1">
      <alignment horizontal="center" vertical="center"/>
    </xf>
    <xf numFmtId="0" fontId="25" fillId="2" borderId="26" xfId="0" applyFont="1" applyFill="1" applyBorder="1" applyAlignment="1" applyProtection="1">
      <alignment horizontal="center" vertical="center"/>
    </xf>
    <xf numFmtId="0" fontId="28" fillId="4" borderId="20" xfId="0" applyFont="1" applyFill="1" applyBorder="1" applyAlignment="1">
      <alignment vertical="center"/>
    </xf>
    <xf numFmtId="0" fontId="25" fillId="2" borderId="6" xfId="0" applyFont="1" applyFill="1" applyBorder="1" applyAlignment="1" applyProtection="1">
      <alignment horizontal="center" vertical="center"/>
    </xf>
    <xf numFmtId="0" fontId="25" fillId="2" borderId="106" xfId="0" applyFont="1" applyFill="1" applyBorder="1" applyAlignment="1" applyProtection="1">
      <alignment horizontal="center" vertical="center"/>
    </xf>
    <xf numFmtId="0" fontId="25" fillId="2" borderId="25" xfId="0" applyFont="1" applyFill="1" applyBorder="1" applyAlignment="1" applyProtection="1">
      <alignment horizontal="center" vertical="center"/>
    </xf>
    <xf numFmtId="0" fontId="28" fillId="4" borderId="19" xfId="0" applyFont="1" applyFill="1" applyBorder="1" applyAlignment="1">
      <alignment vertical="center"/>
    </xf>
    <xf numFmtId="0" fontId="25" fillId="4" borderId="28" xfId="0" applyFont="1" applyFill="1" applyBorder="1" applyAlignment="1" applyProtection="1">
      <alignment horizontal="center" vertical="center"/>
    </xf>
    <xf numFmtId="0" fontId="25" fillId="2" borderId="11" xfId="0" applyFont="1" applyFill="1" applyBorder="1" applyAlignment="1" applyProtection="1">
      <alignment horizontal="center" vertical="center"/>
    </xf>
    <xf numFmtId="0" fontId="25" fillId="2" borderId="27" xfId="0" applyFont="1" applyFill="1" applyBorder="1" applyAlignment="1" applyProtection="1">
      <alignment horizontal="center" vertical="center"/>
    </xf>
    <xf numFmtId="0" fontId="25" fillId="2" borderId="28" xfId="0" applyFont="1" applyFill="1" applyBorder="1" applyAlignment="1" applyProtection="1">
      <alignment horizontal="center" vertical="center"/>
    </xf>
    <xf numFmtId="1" fontId="21" fillId="6" borderId="25" xfId="0" applyNumberFormat="1" applyFont="1" applyFill="1" applyBorder="1" applyAlignment="1" applyProtection="1">
      <alignment horizontal="center" vertical="center"/>
    </xf>
    <xf numFmtId="0" fontId="25" fillId="5" borderId="50" xfId="0" applyFont="1" applyFill="1" applyBorder="1" applyAlignment="1">
      <alignment horizontal="left" vertical="center" wrapText="1"/>
    </xf>
    <xf numFmtId="0" fontId="21" fillId="5" borderId="182" xfId="0" applyFont="1" applyFill="1" applyBorder="1" applyAlignment="1" applyProtection="1">
      <alignment horizontal="center" vertical="center" wrapText="1"/>
      <protection locked="0"/>
    </xf>
    <xf numFmtId="0" fontId="21" fillId="5" borderId="183" xfId="0" applyFont="1" applyFill="1" applyBorder="1" applyAlignment="1" applyProtection="1">
      <alignment horizontal="center" vertical="center" wrapText="1"/>
      <protection locked="0"/>
    </xf>
    <xf numFmtId="0" fontId="21" fillId="5" borderId="218" xfId="0" applyFont="1" applyFill="1" applyBorder="1" applyAlignment="1" applyProtection="1">
      <alignment horizontal="center" vertical="center" wrapText="1"/>
      <protection locked="0"/>
    </xf>
    <xf numFmtId="0" fontId="21" fillId="6" borderId="50" xfId="0" applyFont="1" applyFill="1" applyBorder="1" applyAlignment="1">
      <alignment horizontal="center" vertical="center"/>
    </xf>
    <xf numFmtId="0" fontId="25" fillId="10" borderId="43" xfId="0" applyFont="1" applyFill="1" applyBorder="1" applyAlignment="1">
      <alignment vertical="top" wrapText="1"/>
    </xf>
    <xf numFmtId="0" fontId="21" fillId="5" borderId="145" xfId="0" applyFont="1" applyFill="1" applyBorder="1" applyAlignment="1" applyProtection="1">
      <alignment horizontal="center" vertical="center" wrapText="1"/>
      <protection locked="0"/>
    </xf>
    <xf numFmtId="0" fontId="21" fillId="5" borderId="113" xfId="0" applyFont="1" applyFill="1" applyBorder="1" applyAlignment="1" applyProtection="1">
      <alignment horizontal="center" vertical="center" wrapText="1"/>
      <protection locked="0"/>
    </xf>
    <xf numFmtId="0" fontId="21" fillId="5" borderId="175" xfId="0" applyFont="1" applyFill="1" applyBorder="1" applyAlignment="1" applyProtection="1">
      <alignment horizontal="center" vertical="center" wrapText="1"/>
      <protection locked="0"/>
    </xf>
    <xf numFmtId="0" fontId="25" fillId="2" borderId="47" xfId="0" applyFont="1" applyFill="1" applyBorder="1" applyAlignment="1">
      <alignment horizontal="left" vertical="top"/>
    </xf>
    <xf numFmtId="0" fontId="25" fillId="10" borderId="47" xfId="0" applyFont="1" applyFill="1" applyBorder="1" applyAlignment="1">
      <alignment horizontal="left" vertical="top" wrapText="1"/>
    </xf>
    <xf numFmtId="0" fontId="25" fillId="10" borderId="50" xfId="0" applyFont="1" applyFill="1" applyBorder="1" applyAlignment="1">
      <alignment vertical="top" wrapText="1"/>
    </xf>
    <xf numFmtId="0" fontId="21" fillId="5" borderId="146" xfId="0" applyFont="1" applyFill="1" applyBorder="1" applyAlignment="1" applyProtection="1">
      <alignment horizontal="center" vertical="center" wrapText="1"/>
      <protection locked="0"/>
    </xf>
    <xf numFmtId="0" fontId="21" fillId="5" borderId="112" xfId="0" applyFont="1" applyFill="1" applyBorder="1" applyAlignment="1" applyProtection="1">
      <alignment horizontal="center" vertical="center" wrapText="1"/>
      <protection locked="0"/>
    </xf>
    <xf numFmtId="0" fontId="21" fillId="5" borderId="176" xfId="0" applyFont="1" applyFill="1" applyBorder="1" applyAlignment="1" applyProtection="1">
      <alignment horizontal="center" vertical="center" wrapText="1"/>
      <protection locked="0"/>
    </xf>
    <xf numFmtId="0" fontId="25" fillId="0" borderId="62" xfId="0" applyFont="1" applyBorder="1" applyAlignment="1" applyProtection="1">
      <alignment horizontal="center" vertical="center" wrapText="1"/>
      <protection locked="0"/>
    </xf>
    <xf numFmtId="0" fontId="25" fillId="0" borderId="1" xfId="0" applyFont="1" applyBorder="1" applyAlignment="1" applyProtection="1">
      <alignment horizontal="center" vertical="center" wrapText="1"/>
      <protection locked="0"/>
    </xf>
    <xf numFmtId="0" fontId="25" fillId="0" borderId="8" xfId="0" applyFont="1" applyBorder="1" applyAlignment="1" applyProtection="1">
      <alignment horizontal="center" vertical="center" wrapText="1"/>
      <protection locked="0"/>
    </xf>
    <xf numFmtId="0" fontId="25" fillId="5" borderId="63" xfId="0" applyFont="1" applyFill="1" applyBorder="1" applyAlignment="1" applyProtection="1">
      <alignment horizontal="center" vertical="center"/>
      <protection locked="0"/>
    </xf>
    <xf numFmtId="0" fontId="25" fillId="5" borderId="26" xfId="0" applyFont="1" applyFill="1" applyBorder="1" applyAlignment="1" applyProtection="1">
      <alignment horizontal="center" vertical="center"/>
      <protection locked="0"/>
    </xf>
    <xf numFmtId="0" fontId="25" fillId="5" borderId="52" xfId="0" applyFont="1" applyFill="1" applyBorder="1" applyAlignment="1" applyProtection="1">
      <alignment horizontal="center" vertical="center"/>
      <protection locked="0"/>
    </xf>
    <xf numFmtId="0" fontId="21" fillId="5" borderId="184" xfId="0" applyFont="1" applyFill="1" applyBorder="1" applyAlignment="1" applyProtection="1">
      <alignment horizontal="center" vertical="center" wrapText="1"/>
      <protection locked="0"/>
    </xf>
    <xf numFmtId="0" fontId="21" fillId="5" borderId="185" xfId="0" applyFont="1" applyFill="1" applyBorder="1" applyAlignment="1" applyProtection="1">
      <alignment horizontal="center" vertical="center" wrapText="1"/>
      <protection locked="0"/>
    </xf>
    <xf numFmtId="0" fontId="21" fillId="5" borderId="56" xfId="0" applyFont="1" applyFill="1" applyBorder="1" applyAlignment="1" applyProtection="1">
      <alignment horizontal="center" vertical="center" wrapText="1"/>
      <protection locked="0"/>
    </xf>
    <xf numFmtId="0" fontId="25" fillId="5" borderId="2" xfId="0" applyFont="1" applyFill="1" applyBorder="1" applyAlignment="1" applyProtection="1">
      <alignment horizontal="center" vertical="center"/>
      <protection locked="0"/>
    </xf>
    <xf numFmtId="0" fontId="25" fillId="5" borderId="55" xfId="0" applyFont="1" applyFill="1" applyBorder="1" applyAlignment="1" applyProtection="1">
      <alignment horizontal="center" vertical="center"/>
      <protection locked="0"/>
    </xf>
    <xf numFmtId="0" fontId="25" fillId="0" borderId="127" xfId="0" applyFont="1" applyBorder="1" applyAlignment="1" applyProtection="1">
      <alignment horizontal="center" vertical="center" wrapText="1"/>
      <protection locked="0"/>
    </xf>
    <xf numFmtId="0" fontId="25" fillId="0" borderId="67" xfId="0" applyFont="1" applyBorder="1" applyAlignment="1" applyProtection="1">
      <alignment horizontal="center" vertical="center" wrapText="1"/>
      <protection locked="0"/>
    </xf>
    <xf numFmtId="0" fontId="25" fillId="0" borderId="2" xfId="0" applyFont="1" applyBorder="1" applyAlignment="1" applyProtection="1">
      <alignment horizontal="center" vertical="center" wrapText="1"/>
      <protection locked="0"/>
    </xf>
    <xf numFmtId="0" fontId="25" fillId="0" borderId="55" xfId="0" applyFont="1" applyBorder="1" applyAlignment="1" applyProtection="1">
      <alignment horizontal="center" vertical="center" wrapText="1"/>
      <protection locked="0"/>
    </xf>
    <xf numFmtId="0" fontId="25" fillId="5" borderId="9" xfId="0" applyFont="1" applyFill="1" applyBorder="1" applyAlignment="1" applyProtection="1">
      <alignment horizontal="center" vertical="center"/>
      <protection locked="0"/>
    </xf>
    <xf numFmtId="0" fontId="25" fillId="5" borderId="10" xfId="0" applyFont="1" applyFill="1" applyBorder="1" applyAlignment="1" applyProtection="1">
      <alignment horizontal="center" vertical="center"/>
      <protection locked="0"/>
    </xf>
    <xf numFmtId="0" fontId="21" fillId="6" borderId="117" xfId="0" applyFont="1" applyFill="1" applyBorder="1" applyAlignment="1">
      <alignment horizontal="center" vertical="center"/>
    </xf>
    <xf numFmtId="0" fontId="25" fillId="2" borderId="46" xfId="0" applyFont="1" applyFill="1" applyBorder="1" applyAlignment="1">
      <alignment vertical="top"/>
    </xf>
    <xf numFmtId="0" fontId="25" fillId="10" borderId="46" xfId="0" applyFont="1" applyFill="1" applyBorder="1" applyAlignment="1">
      <alignment horizontal="left" vertical="top" wrapText="1"/>
    </xf>
    <xf numFmtId="0" fontId="25" fillId="10" borderId="51" xfId="0" applyFont="1" applyFill="1" applyBorder="1" applyAlignment="1">
      <alignment vertical="top" wrapText="1"/>
    </xf>
    <xf numFmtId="0" fontId="25" fillId="0" borderId="0" xfId="0" applyFont="1" applyAlignment="1"/>
    <xf numFmtId="0" fontId="25" fillId="0" borderId="0" xfId="0" applyFont="1"/>
    <xf numFmtId="0" fontId="21" fillId="0" borderId="0" xfId="0" applyFont="1"/>
    <xf numFmtId="0" fontId="23" fillId="0" borderId="0" xfId="0" applyFont="1" applyFill="1" applyBorder="1"/>
    <xf numFmtId="0" fontId="43" fillId="0" borderId="0" xfId="0" applyFont="1" applyAlignment="1"/>
    <xf numFmtId="0" fontId="43" fillId="5" borderId="0" xfId="0" applyFont="1" applyFill="1" applyAlignment="1"/>
    <xf numFmtId="0" fontId="43" fillId="0" borderId="0" xfId="0" applyFont="1" applyAlignment="1">
      <alignment vertical="center"/>
    </xf>
    <xf numFmtId="0" fontId="41" fillId="0" borderId="0" xfId="0" applyFont="1" applyAlignment="1"/>
    <xf numFmtId="0" fontId="21" fillId="6" borderId="5" xfId="0" applyFont="1" applyFill="1" applyBorder="1" applyAlignment="1">
      <alignment horizontal="left" vertical="center" wrapText="1"/>
    </xf>
    <xf numFmtId="0" fontId="21" fillId="5" borderId="51" xfId="0" applyFont="1" applyFill="1" applyBorder="1" applyAlignment="1">
      <alignment horizontal="left" vertical="center" wrapText="1"/>
    </xf>
    <xf numFmtId="0" fontId="25" fillId="5" borderId="51" xfId="0" applyFont="1" applyFill="1" applyBorder="1" applyAlignment="1">
      <alignment horizontal="left" vertical="center" wrapText="1"/>
    </xf>
    <xf numFmtId="0" fontId="29" fillId="3" borderId="48" xfId="0" applyFont="1" applyFill="1" applyBorder="1" applyAlignment="1">
      <alignment horizontal="left" vertical="center"/>
    </xf>
    <xf numFmtId="0" fontId="21" fillId="0" borderId="33" xfId="0" applyFont="1" applyBorder="1" applyAlignment="1">
      <alignment horizontal="left" vertical="center" wrapText="1"/>
    </xf>
    <xf numFmtId="0" fontId="25" fillId="0" borderId="38" xfId="0" applyFont="1" applyBorder="1" applyAlignment="1">
      <alignment wrapText="1"/>
    </xf>
    <xf numFmtId="0" fontId="25" fillId="5" borderId="17" xfId="0" applyFont="1" applyFill="1" applyBorder="1" applyAlignment="1">
      <alignment wrapText="1"/>
    </xf>
    <xf numFmtId="0" fontId="25" fillId="5" borderId="17" xfId="0" applyFont="1" applyFill="1" applyBorder="1" applyAlignment="1"/>
    <xf numFmtId="49" fontId="21" fillId="6" borderId="17" xfId="0" applyNumberFormat="1" applyFont="1" applyFill="1" applyBorder="1" applyAlignment="1">
      <alignment wrapText="1"/>
    </xf>
    <xf numFmtId="0" fontId="25" fillId="5" borderId="37" xfId="0" applyFont="1" applyFill="1" applyBorder="1" applyAlignment="1">
      <alignment wrapText="1"/>
    </xf>
    <xf numFmtId="49" fontId="21" fillId="6" borderId="37" xfId="0" applyNumberFormat="1" applyFont="1" applyFill="1" applyBorder="1" applyAlignment="1">
      <alignment wrapText="1"/>
    </xf>
    <xf numFmtId="0" fontId="25" fillId="5" borderId="22" xfId="0" applyFont="1" applyFill="1" applyBorder="1" applyAlignment="1">
      <alignment wrapText="1"/>
    </xf>
    <xf numFmtId="0" fontId="25" fillId="5" borderId="23" xfId="0" applyFont="1" applyFill="1" applyBorder="1" applyAlignment="1">
      <alignment wrapText="1"/>
    </xf>
    <xf numFmtId="49" fontId="21" fillId="6" borderId="24" xfId="0" applyNumberFormat="1" applyFont="1" applyFill="1" applyBorder="1" applyAlignment="1">
      <alignment wrapText="1"/>
    </xf>
    <xf numFmtId="0" fontId="25" fillId="0" borderId="17" xfId="0" applyFont="1" applyBorder="1" applyAlignment="1">
      <alignment wrapText="1"/>
    </xf>
    <xf numFmtId="0" fontId="21" fillId="0" borderId="17" xfId="0" applyFont="1" applyFill="1" applyBorder="1" applyAlignment="1">
      <alignment wrapText="1"/>
    </xf>
    <xf numFmtId="0" fontId="25" fillId="0" borderId="17" xfId="0" applyFont="1" applyFill="1" applyBorder="1" applyAlignment="1">
      <alignment wrapText="1"/>
    </xf>
    <xf numFmtId="0" fontId="25" fillId="0" borderId="0" xfId="0" applyFont="1" applyBorder="1" applyAlignment="1">
      <alignment wrapText="1"/>
    </xf>
    <xf numFmtId="0" fontId="25" fillId="0" borderId="47" xfId="0" applyFont="1" applyBorder="1" applyAlignment="1">
      <alignment wrapText="1"/>
    </xf>
    <xf numFmtId="0" fontId="21" fillId="0" borderId="119" xfId="0" applyFont="1" applyBorder="1" applyAlignment="1">
      <alignment wrapText="1"/>
    </xf>
    <xf numFmtId="0" fontId="25" fillId="0" borderId="119" xfId="0" applyFont="1" applyBorder="1" applyAlignment="1">
      <alignment wrapText="1"/>
    </xf>
    <xf numFmtId="0" fontId="25" fillId="5" borderId="120" xfId="0" applyFont="1" applyFill="1" applyBorder="1" applyAlignment="1">
      <alignment wrapText="1"/>
    </xf>
    <xf numFmtId="0" fontId="33" fillId="0" borderId="119" xfId="0" applyFont="1" applyBorder="1" applyAlignment="1">
      <alignment wrapText="1"/>
    </xf>
    <xf numFmtId="0" fontId="33" fillId="5" borderId="120" xfId="0" applyFont="1" applyFill="1" applyBorder="1" applyAlignment="1">
      <alignment wrapText="1"/>
    </xf>
    <xf numFmtId="0" fontId="33" fillId="0" borderId="47" xfId="0" applyFont="1" applyBorder="1" applyAlignment="1">
      <alignment wrapText="1"/>
    </xf>
    <xf numFmtId="0" fontId="34" fillId="0" borderId="119" xfId="0" applyFont="1" applyBorder="1" applyAlignment="1">
      <alignment wrapText="1"/>
    </xf>
    <xf numFmtId="0" fontId="33" fillId="0" borderId="18" xfId="0" applyFont="1" applyBorder="1" applyAlignment="1">
      <alignment wrapText="1"/>
    </xf>
    <xf numFmtId="0" fontId="34" fillId="0" borderId="174" xfId="0" applyFont="1" applyBorder="1" applyAlignment="1">
      <alignment wrapText="1"/>
    </xf>
    <xf numFmtId="0" fontId="33" fillId="5" borderId="0" xfId="0" applyFont="1" applyFill="1" applyBorder="1" applyAlignment="1">
      <alignment wrapText="1"/>
    </xf>
    <xf numFmtId="0" fontId="21" fillId="0" borderId="115" xfId="0" applyFont="1" applyBorder="1" applyAlignment="1">
      <alignment wrapText="1"/>
    </xf>
    <xf numFmtId="0" fontId="25" fillId="0" borderId="116" xfId="0" applyFont="1" applyBorder="1" applyAlignment="1">
      <alignment wrapText="1"/>
    </xf>
    <xf numFmtId="0" fontId="21" fillId="0" borderId="210" xfId="0" applyFont="1" applyBorder="1" applyAlignment="1">
      <alignment wrapText="1"/>
    </xf>
    <xf numFmtId="0" fontId="25" fillId="0" borderId="173" xfId="0" applyFont="1" applyBorder="1" applyAlignment="1">
      <alignment wrapText="1"/>
    </xf>
    <xf numFmtId="0" fontId="25" fillId="0" borderId="192" xfId="0" applyFont="1" applyBorder="1" applyAlignment="1">
      <alignment wrapText="1"/>
    </xf>
    <xf numFmtId="0" fontId="21" fillId="6" borderId="115" xfId="0" applyFont="1" applyFill="1" applyBorder="1" applyAlignment="1">
      <alignment wrapText="1"/>
    </xf>
    <xf numFmtId="0" fontId="21" fillId="6" borderId="116" xfId="0" applyFont="1" applyFill="1" applyBorder="1" applyAlignment="1">
      <alignment wrapText="1"/>
    </xf>
    <xf numFmtId="0" fontId="21" fillId="6" borderId="117" xfId="0" applyFont="1" applyFill="1" applyBorder="1" applyAlignment="1">
      <alignment wrapText="1"/>
    </xf>
    <xf numFmtId="0" fontId="21" fillId="0" borderId="46" xfId="0" applyFont="1" applyBorder="1" applyAlignment="1">
      <alignment wrapText="1"/>
    </xf>
    <xf numFmtId="0" fontId="25" fillId="0" borderId="37" xfId="0" applyFont="1" applyBorder="1" applyAlignment="1">
      <alignment wrapText="1"/>
    </xf>
    <xf numFmtId="49" fontId="21" fillId="5" borderId="107" xfId="0" applyNumberFormat="1" applyFont="1" applyFill="1" applyBorder="1" applyAlignment="1">
      <alignment wrapText="1"/>
    </xf>
    <xf numFmtId="0" fontId="25" fillId="0" borderId="46" xfId="0" applyFont="1" applyBorder="1" applyAlignment="1">
      <alignment wrapText="1"/>
    </xf>
    <xf numFmtId="0" fontId="25" fillId="0" borderId="18" xfId="0" applyFont="1" applyBorder="1" applyAlignment="1">
      <alignment wrapText="1"/>
    </xf>
    <xf numFmtId="0" fontId="25" fillId="0" borderId="20" xfId="0" applyFont="1" applyBorder="1" applyAlignment="1">
      <alignment wrapText="1"/>
    </xf>
    <xf numFmtId="0" fontId="25" fillId="0" borderId="43" xfId="0" applyFont="1" applyBorder="1" applyAlignment="1">
      <alignment wrapText="1"/>
    </xf>
    <xf numFmtId="0" fontId="37" fillId="0" borderId="33" xfId="0" applyFont="1" applyBorder="1" applyAlignment="1">
      <alignment wrapText="1"/>
    </xf>
    <xf numFmtId="0" fontId="25" fillId="0" borderId="22" xfId="0" applyFont="1" applyBorder="1" applyAlignment="1">
      <alignment wrapText="1"/>
    </xf>
    <xf numFmtId="0" fontId="25" fillId="0" borderId="24" xfId="0" applyFont="1" applyBorder="1" applyAlignment="1">
      <alignment wrapText="1"/>
    </xf>
    <xf numFmtId="0" fontId="25" fillId="0" borderId="108" xfId="0" applyFont="1" applyBorder="1" applyAlignment="1">
      <alignment wrapText="1"/>
    </xf>
    <xf numFmtId="0" fontId="25" fillId="0" borderId="214" xfId="0" applyFont="1" applyBorder="1" applyAlignment="1">
      <alignment wrapText="1"/>
    </xf>
    <xf numFmtId="0" fontId="25" fillId="12" borderId="38" xfId="0" applyFont="1" applyFill="1" applyBorder="1" applyAlignment="1">
      <alignment wrapText="1"/>
    </xf>
    <xf numFmtId="0" fontId="25" fillId="12" borderId="17" xfId="0" applyFont="1" applyFill="1" applyBorder="1" applyAlignment="1">
      <alignment wrapText="1"/>
    </xf>
    <xf numFmtId="0" fontId="21" fillId="0" borderId="37" xfId="0" applyFont="1" applyFill="1" applyBorder="1" applyAlignment="1">
      <alignment wrapText="1"/>
    </xf>
    <xf numFmtId="0" fontId="25" fillId="0" borderId="141" xfId="0" applyFont="1" applyBorder="1" applyAlignment="1">
      <alignment wrapText="1"/>
    </xf>
    <xf numFmtId="0" fontId="25" fillId="0" borderId="142" xfId="0" applyFont="1" applyBorder="1" applyAlignment="1">
      <alignment wrapText="1"/>
    </xf>
    <xf numFmtId="0" fontId="25" fillId="5" borderId="194" xfId="0" applyFont="1" applyFill="1" applyBorder="1" applyAlignment="1">
      <alignment wrapText="1"/>
    </xf>
    <xf numFmtId="49" fontId="25" fillId="6" borderId="38" xfId="0" applyNumberFormat="1" applyFont="1" applyFill="1" applyBorder="1" applyAlignment="1">
      <alignment wrapText="1"/>
    </xf>
    <xf numFmtId="49" fontId="25" fillId="6" borderId="46" xfId="0" applyNumberFormat="1" applyFont="1" applyFill="1" applyBorder="1" applyAlignment="1">
      <alignment wrapText="1"/>
    </xf>
    <xf numFmtId="0" fontId="25" fillId="12" borderId="47" xfId="0" applyFont="1" applyFill="1" applyBorder="1" applyAlignment="1">
      <alignment wrapText="1"/>
    </xf>
    <xf numFmtId="0" fontId="21" fillId="0" borderId="17" xfId="0" applyFont="1" applyBorder="1" applyAlignment="1">
      <alignment wrapText="1"/>
    </xf>
    <xf numFmtId="0" fontId="21" fillId="0" borderId="37" xfId="0" applyFont="1" applyBorder="1" applyAlignment="1">
      <alignment wrapText="1"/>
    </xf>
    <xf numFmtId="0" fontId="21" fillId="0" borderId="44" xfId="0" applyFont="1" applyBorder="1" applyAlignment="1">
      <alignment wrapText="1"/>
    </xf>
    <xf numFmtId="0" fontId="21" fillId="0" borderId="20" xfId="0" applyFont="1" applyBorder="1" applyAlignment="1">
      <alignment wrapText="1"/>
    </xf>
    <xf numFmtId="0" fontId="34" fillId="0" borderId="0" xfId="0" applyFont="1" applyFill="1" applyAlignment="1">
      <alignment wrapText="1"/>
    </xf>
    <xf numFmtId="0" fontId="29" fillId="3" borderId="107" xfId="0" applyFont="1" applyFill="1" applyBorder="1" applyAlignment="1"/>
    <xf numFmtId="0" fontId="25" fillId="0" borderId="23" xfId="0" applyFont="1" applyBorder="1" applyAlignment="1">
      <alignment wrapText="1"/>
    </xf>
    <xf numFmtId="0" fontId="25" fillId="0" borderId="42" xfId="0" applyFont="1" applyBorder="1" applyAlignment="1">
      <alignment wrapText="1"/>
    </xf>
    <xf numFmtId="0" fontId="33" fillId="0" borderId="38" xfId="0" applyFont="1" applyFill="1" applyBorder="1" applyAlignment="1">
      <alignment wrapText="1"/>
    </xf>
    <xf numFmtId="0" fontId="33" fillId="0" borderId="37" xfId="0" applyFont="1" applyBorder="1" applyAlignment="1">
      <alignment wrapText="1"/>
    </xf>
    <xf numFmtId="0" fontId="21" fillId="6" borderId="33" xfId="0" applyFont="1" applyFill="1" applyBorder="1" applyAlignment="1">
      <alignment wrapText="1"/>
    </xf>
    <xf numFmtId="0" fontId="25" fillId="0" borderId="5" xfId="0" applyFont="1" applyBorder="1" applyAlignment="1">
      <alignment wrapText="1"/>
    </xf>
    <xf numFmtId="0" fontId="25" fillId="0" borderId="39" xfId="0" applyFont="1" applyBorder="1" applyAlignment="1">
      <alignment wrapText="1"/>
    </xf>
    <xf numFmtId="0" fontId="21" fillId="6" borderId="24" xfId="0" applyFont="1" applyFill="1" applyBorder="1" applyAlignment="1">
      <alignment wrapText="1"/>
    </xf>
    <xf numFmtId="0" fontId="25" fillId="0" borderId="33" xfId="0" applyFont="1" applyBorder="1" applyAlignment="1">
      <alignment wrapText="1"/>
    </xf>
    <xf numFmtId="0" fontId="25" fillId="0" borderId="39" xfId="0" applyFont="1" applyBorder="1" applyAlignment="1"/>
    <xf numFmtId="0" fontId="25" fillId="0" borderId="23" xfId="0" applyFont="1" applyBorder="1" applyAlignment="1"/>
    <xf numFmtId="0" fontId="25" fillId="0" borderId="48" xfId="0" applyFont="1" applyBorder="1" applyAlignment="1">
      <alignment wrapText="1"/>
    </xf>
    <xf numFmtId="0" fontId="25" fillId="0" borderId="115" xfId="0" applyFont="1" applyBorder="1" applyAlignment="1">
      <alignment wrapText="1"/>
    </xf>
    <xf numFmtId="0" fontId="25" fillId="0" borderId="117" xfId="0" applyFont="1" applyBorder="1" applyAlignment="1">
      <alignment wrapText="1"/>
    </xf>
    <xf numFmtId="0" fontId="21" fillId="6" borderId="46" xfId="0" applyFont="1" applyFill="1" applyBorder="1" applyAlignment="1">
      <alignment wrapText="1"/>
    </xf>
    <xf numFmtId="0" fontId="25" fillId="0" borderId="133" xfId="0" applyFont="1" applyBorder="1" applyAlignment="1">
      <alignment wrapText="1"/>
    </xf>
    <xf numFmtId="0" fontId="25" fillId="0" borderId="131" xfId="0" applyFont="1" applyBorder="1" applyAlignment="1">
      <alignment wrapText="1"/>
    </xf>
    <xf numFmtId="0" fontId="25" fillId="0" borderId="175" xfId="0" applyFont="1" applyBorder="1" applyAlignment="1">
      <alignment wrapText="1"/>
    </xf>
    <xf numFmtId="0" fontId="25" fillId="0" borderId="177" xfId="0" applyFont="1" applyBorder="1" applyAlignment="1">
      <alignment wrapText="1"/>
    </xf>
    <xf numFmtId="0" fontId="25" fillId="0" borderId="67" xfId="0" applyFont="1" applyBorder="1" applyAlignment="1">
      <alignment wrapText="1"/>
    </xf>
    <xf numFmtId="0" fontId="25" fillId="0" borderId="52" xfId="0" applyFont="1" applyBorder="1" applyAlignment="1">
      <alignment wrapText="1"/>
    </xf>
    <xf numFmtId="0" fontId="21" fillId="3" borderId="37" xfId="0" applyFont="1" applyFill="1" applyBorder="1" applyAlignment="1">
      <alignment wrapText="1"/>
    </xf>
    <xf numFmtId="0" fontId="21" fillId="12" borderId="18" xfId="0" applyFont="1" applyFill="1" applyBorder="1" applyAlignment="1">
      <alignment wrapText="1"/>
    </xf>
    <xf numFmtId="0" fontId="25" fillId="0" borderId="19" xfId="0" applyFont="1" applyBorder="1" applyAlignment="1">
      <alignment wrapText="1"/>
    </xf>
    <xf numFmtId="0" fontId="21" fillId="3" borderId="20" xfId="0" applyFont="1" applyFill="1" applyBorder="1" applyAlignment="1">
      <alignment wrapText="1"/>
    </xf>
    <xf numFmtId="0" fontId="21" fillId="12" borderId="38" xfId="0" applyFont="1" applyFill="1" applyBorder="1" applyAlignment="1">
      <alignment wrapText="1"/>
    </xf>
    <xf numFmtId="0" fontId="21" fillId="3" borderId="17" xfId="0" applyFont="1" applyFill="1" applyBorder="1" applyAlignment="1">
      <alignment wrapText="1"/>
    </xf>
    <xf numFmtId="0" fontId="28" fillId="0" borderId="70" xfId="0" applyFont="1" applyBorder="1" applyAlignment="1">
      <alignment wrapText="1"/>
    </xf>
    <xf numFmtId="0" fontId="25" fillId="5" borderId="50" xfId="0" applyFont="1" applyFill="1" applyBorder="1" applyAlignment="1">
      <alignment wrapText="1"/>
    </xf>
    <xf numFmtId="0" fontId="25" fillId="5" borderId="75" xfId="0" applyFont="1" applyFill="1" applyBorder="1" applyAlignment="1">
      <alignment wrapText="1"/>
    </xf>
    <xf numFmtId="0" fontId="33" fillId="5" borderId="191" xfId="0" applyFont="1" applyFill="1" applyBorder="1" applyAlignment="1">
      <alignment wrapText="1"/>
    </xf>
    <xf numFmtId="0" fontId="25" fillId="5" borderId="157" xfId="0" applyFont="1" applyFill="1" applyBorder="1" applyAlignment="1">
      <alignment wrapText="1"/>
    </xf>
    <xf numFmtId="0" fontId="25" fillId="5" borderId="190" xfId="0" applyFont="1" applyFill="1" applyBorder="1" applyAlignment="1">
      <alignment wrapText="1"/>
    </xf>
    <xf numFmtId="0" fontId="32" fillId="5" borderId="74" xfId="0" applyFont="1" applyFill="1" applyBorder="1" applyAlignment="1">
      <alignment wrapText="1"/>
    </xf>
    <xf numFmtId="0" fontId="32" fillId="5" borderId="191" xfId="0" applyFont="1" applyFill="1" applyBorder="1" applyAlignment="1">
      <alignment wrapText="1"/>
    </xf>
    <xf numFmtId="0" fontId="32" fillId="5" borderId="219" xfId="0" applyFont="1" applyFill="1" applyBorder="1" applyAlignment="1">
      <alignment wrapText="1"/>
    </xf>
    <xf numFmtId="0" fontId="21" fillId="0" borderId="108" xfId="0" applyFont="1" applyBorder="1" applyAlignment="1" applyProtection="1">
      <alignment wrapText="1"/>
      <protection locked="0"/>
    </xf>
    <xf numFmtId="0" fontId="11" fillId="0" borderId="0" xfId="0" applyFont="1" applyAlignment="1">
      <alignment wrapText="1"/>
    </xf>
    <xf numFmtId="0" fontId="20" fillId="0" borderId="0" xfId="0" applyFont="1" applyAlignment="1">
      <alignment wrapText="1"/>
    </xf>
    <xf numFmtId="0" fontId="29" fillId="0" borderId="0" xfId="0" applyFont="1" applyAlignment="1">
      <alignment horizontal="left" vertical="center" wrapText="1"/>
    </xf>
    <xf numFmtId="0" fontId="25" fillId="0" borderId="220" xfId="0" applyFont="1" applyBorder="1" applyAlignment="1">
      <alignment wrapText="1"/>
    </xf>
    <xf numFmtId="0" fontId="25" fillId="4" borderId="221" xfId="0" applyFont="1" applyFill="1" applyBorder="1" applyAlignment="1" applyProtection="1">
      <alignment horizontal="center" vertical="center"/>
    </xf>
    <xf numFmtId="0" fontId="25" fillId="4" borderId="222" xfId="0" applyFont="1" applyFill="1" applyBorder="1" applyAlignment="1" applyProtection="1">
      <alignment horizontal="center" vertical="center"/>
    </xf>
    <xf numFmtId="0" fontId="25" fillId="4" borderId="223" xfId="0" applyFont="1" applyFill="1" applyBorder="1" applyAlignment="1" applyProtection="1">
      <alignment horizontal="center" vertical="center"/>
    </xf>
    <xf numFmtId="0" fontId="25" fillId="4" borderId="224" xfId="0" applyFont="1" applyFill="1" applyBorder="1" applyAlignment="1" applyProtection="1">
      <alignment horizontal="center" vertical="center"/>
    </xf>
    <xf numFmtId="0" fontId="25" fillId="4" borderId="225" xfId="0" applyFont="1" applyFill="1" applyBorder="1" applyAlignment="1" applyProtection="1">
      <alignment horizontal="center" vertical="center"/>
    </xf>
    <xf numFmtId="0" fontId="25" fillId="4" borderId="226" xfId="0" applyFont="1" applyFill="1" applyBorder="1" applyAlignment="1" applyProtection="1">
      <alignment horizontal="center" vertical="center"/>
    </xf>
    <xf numFmtId="0" fontId="25" fillId="4" borderId="227" xfId="0" applyFont="1" applyFill="1" applyBorder="1" applyAlignment="1">
      <alignment vertical="center"/>
    </xf>
    <xf numFmtId="0" fontId="25" fillId="4" borderId="228" xfId="0" applyFont="1" applyFill="1" applyBorder="1" applyAlignment="1">
      <alignment vertical="center"/>
    </xf>
    <xf numFmtId="0" fontId="29" fillId="3" borderId="13" xfId="0" applyFont="1" applyFill="1" applyBorder="1" applyAlignment="1">
      <alignment vertical="center"/>
    </xf>
    <xf numFmtId="0" fontId="29" fillId="3" borderId="14" xfId="0" applyFont="1" applyFill="1" applyBorder="1" applyAlignment="1">
      <alignment vertical="center"/>
    </xf>
    <xf numFmtId="0" fontId="29" fillId="3" borderId="41" xfId="0" applyFont="1" applyFill="1" applyBorder="1" applyAlignment="1">
      <alignment vertical="center" wrapText="1"/>
    </xf>
    <xf numFmtId="0" fontId="29" fillId="3" borderId="99" xfId="0" applyFont="1" applyFill="1" applyBorder="1" applyAlignment="1">
      <alignment vertical="center" wrapText="1"/>
    </xf>
    <xf numFmtId="0" fontId="25" fillId="4" borderId="38" xfId="0" applyFont="1" applyFill="1" applyBorder="1" applyAlignment="1">
      <alignment vertical="center"/>
    </xf>
    <xf numFmtId="0" fontId="25" fillId="0" borderId="61" xfId="0" applyFont="1" applyBorder="1" applyAlignment="1" applyProtection="1">
      <alignment horizontal="center" vertical="center"/>
      <protection locked="0"/>
    </xf>
    <xf numFmtId="0" fontId="25" fillId="0" borderId="179" xfId="0" applyFont="1" applyBorder="1" applyAlignment="1" applyProtection="1">
      <alignment horizontal="center" vertical="center"/>
      <protection locked="0"/>
    </xf>
    <xf numFmtId="0" fontId="25" fillId="0" borderId="128" xfId="0" applyFont="1" applyBorder="1" applyAlignment="1" applyProtection="1">
      <alignment horizontal="center" vertical="center"/>
      <protection locked="0"/>
    </xf>
    <xf numFmtId="0" fontId="28" fillId="0" borderId="51" xfId="0" applyFont="1" applyBorder="1" applyAlignment="1"/>
    <xf numFmtId="0" fontId="25" fillId="0" borderId="22" xfId="0" applyFont="1" applyBorder="1" applyAlignment="1">
      <alignment vertical="center" wrapText="1"/>
    </xf>
    <xf numFmtId="0" fontId="21" fillId="2" borderId="44" xfId="0" applyFont="1" applyFill="1" applyBorder="1" applyAlignment="1">
      <alignment vertical="top"/>
    </xf>
    <xf numFmtId="1" fontId="21" fillId="6" borderId="13" xfId="0" applyNumberFormat="1" applyFont="1" applyFill="1" applyBorder="1" applyAlignment="1" applyProtection="1">
      <alignment horizontal="center" vertical="center"/>
    </xf>
    <xf numFmtId="1" fontId="21" fillId="6" borderId="14" xfId="0" applyNumberFormat="1" applyFont="1" applyFill="1" applyBorder="1" applyAlignment="1" applyProtection="1">
      <alignment horizontal="center" vertical="center"/>
    </xf>
    <xf numFmtId="0" fontId="47" fillId="0" borderId="5" xfId="0" applyFont="1" applyBorder="1" applyAlignment="1">
      <alignment horizontal="left" vertical="center"/>
    </xf>
    <xf numFmtId="0" fontId="29" fillId="3" borderId="33" xfId="0" applyFont="1" applyFill="1" applyBorder="1" applyAlignment="1">
      <alignment horizontal="center" vertical="center" wrapText="1"/>
    </xf>
    <xf numFmtId="0" fontId="29" fillId="3" borderId="34" xfId="0" applyFont="1" applyFill="1" applyBorder="1" applyAlignment="1">
      <alignment horizontal="center" vertical="center" wrapText="1"/>
    </xf>
    <xf numFmtId="0" fontId="29" fillId="3" borderId="41" xfId="0" applyFont="1" applyFill="1" applyBorder="1" applyAlignment="1">
      <alignment horizontal="center" vertical="center" wrapText="1"/>
    </xf>
    <xf numFmtId="0" fontId="22" fillId="2" borderId="50" xfId="0" applyFont="1" applyFill="1" applyBorder="1" applyAlignment="1">
      <alignment horizontal="center" vertical="top" wrapText="1"/>
    </xf>
    <xf numFmtId="0" fontId="22" fillId="2" borderId="43" xfId="0" applyFont="1" applyFill="1" applyBorder="1" applyAlignment="1">
      <alignment horizontal="center" vertical="top" wrapText="1"/>
    </xf>
    <xf numFmtId="0" fontId="22" fillId="2" borderId="51" xfId="0" applyFont="1" applyFill="1" applyBorder="1" applyAlignment="1">
      <alignment horizontal="center" vertical="top" wrapText="1"/>
    </xf>
    <xf numFmtId="0" fontId="21" fillId="10" borderId="50" xfId="0" applyFont="1" applyFill="1" applyBorder="1" applyAlignment="1">
      <alignment horizontal="center" vertical="top" wrapText="1"/>
    </xf>
    <xf numFmtId="0" fontId="21" fillId="10" borderId="43" xfId="0" applyFont="1" applyFill="1" applyBorder="1" applyAlignment="1">
      <alignment horizontal="center" vertical="top" wrapText="1"/>
    </xf>
    <xf numFmtId="0" fontId="21" fillId="10" borderId="51" xfId="0" applyFont="1" applyFill="1" applyBorder="1" applyAlignment="1">
      <alignment horizontal="center" vertical="top" wrapText="1"/>
    </xf>
    <xf numFmtId="49" fontId="32" fillId="4" borderId="107" xfId="1" applyNumberFormat="1" applyFont="1" applyFill="1" applyBorder="1" applyAlignment="1">
      <alignment horizontal="center" vertical="center"/>
    </xf>
    <xf numFmtId="49" fontId="32" fillId="4" borderId="105" xfId="1" applyNumberFormat="1" applyFont="1" applyFill="1" applyBorder="1" applyAlignment="1">
      <alignment horizontal="center" vertical="center"/>
    </xf>
    <xf numFmtId="49" fontId="32" fillId="4" borderId="106" xfId="1" applyNumberFormat="1" applyFont="1" applyFill="1" applyBorder="1" applyAlignment="1">
      <alignment horizontal="center" vertical="center"/>
    </xf>
    <xf numFmtId="49" fontId="32" fillId="4" borderId="25" xfId="1" applyNumberFormat="1" applyFont="1" applyFill="1" applyBorder="1" applyAlignment="1">
      <alignment horizontal="center" vertical="center"/>
    </xf>
    <xf numFmtId="49" fontId="32" fillId="4" borderId="15" xfId="1" applyNumberFormat="1" applyFont="1" applyFill="1" applyBorder="1" applyAlignment="1">
      <alignment horizontal="center" vertical="center"/>
    </xf>
    <xf numFmtId="49" fontId="32" fillId="4" borderId="32" xfId="1" applyNumberFormat="1" applyFont="1" applyFill="1" applyBorder="1" applyAlignment="1">
      <alignment horizontal="center" vertical="center"/>
    </xf>
    <xf numFmtId="0" fontId="21" fillId="2" borderId="35" xfId="0" applyFont="1" applyFill="1" applyBorder="1" applyAlignment="1">
      <alignment horizontal="left" vertical="center" wrapText="1"/>
    </xf>
    <xf numFmtId="0" fontId="21" fillId="2" borderId="20" xfId="0" applyFont="1" applyFill="1" applyBorder="1" applyAlignment="1">
      <alignment horizontal="left" vertical="center" wrapText="1"/>
    </xf>
    <xf numFmtId="0" fontId="25" fillId="4" borderId="11" xfId="0" applyFont="1" applyFill="1" applyBorder="1" applyAlignment="1">
      <alignment horizontal="center" vertical="center" wrapText="1"/>
    </xf>
    <xf numFmtId="0" fontId="25" fillId="4" borderId="109" xfId="0" applyFont="1" applyFill="1" applyBorder="1" applyAlignment="1">
      <alignment horizontal="center" vertical="center" wrapText="1"/>
    </xf>
    <xf numFmtId="49" fontId="32" fillId="4" borderId="4" xfId="1" applyNumberFormat="1" applyFont="1" applyFill="1" applyBorder="1" applyAlignment="1">
      <alignment horizontal="center" vertical="center"/>
    </xf>
    <xf numFmtId="49" fontId="32" fillId="4" borderId="6" xfId="1" applyNumberFormat="1" applyFont="1" applyFill="1" applyBorder="1" applyAlignment="1">
      <alignment horizontal="center" vertical="center"/>
    </xf>
    <xf numFmtId="0" fontId="21" fillId="2" borderId="35" xfId="0" applyFont="1" applyFill="1" applyBorder="1" applyAlignment="1">
      <alignment wrapText="1"/>
    </xf>
    <xf numFmtId="0" fontId="21" fillId="2" borderId="20" xfId="0" applyFont="1" applyFill="1" applyBorder="1" applyAlignment="1">
      <alignment wrapText="1"/>
    </xf>
    <xf numFmtId="0" fontId="29" fillId="3" borderId="48" xfId="0" applyFont="1" applyFill="1" applyBorder="1" applyAlignment="1">
      <alignment horizontal="left" vertical="center"/>
    </xf>
    <xf numFmtId="0" fontId="29" fillId="3" borderId="107" xfId="0" applyFont="1" applyFill="1" applyBorder="1" applyAlignment="1">
      <alignment horizontal="left" vertical="center"/>
    </xf>
    <xf numFmtId="0" fontId="21" fillId="0" borderId="18" xfId="0" applyFont="1" applyFill="1" applyBorder="1" applyAlignment="1">
      <alignment horizontal="left" vertical="center" wrapText="1"/>
    </xf>
    <xf numFmtId="0" fontId="21" fillId="0" borderId="35" xfId="0" applyFont="1" applyFill="1" applyBorder="1" applyAlignment="1">
      <alignment horizontal="left" vertical="center" wrapText="1"/>
    </xf>
    <xf numFmtId="0" fontId="21" fillId="0" borderId="19" xfId="0" applyFont="1" applyFill="1" applyBorder="1" applyAlignment="1">
      <alignment horizontal="left" vertical="center" wrapText="1"/>
    </xf>
    <xf numFmtId="0" fontId="21" fillId="0" borderId="36" xfId="0" applyFont="1" applyFill="1" applyBorder="1" applyAlignment="1">
      <alignment horizontal="left" vertical="center" wrapText="1"/>
    </xf>
    <xf numFmtId="0" fontId="29" fillId="3" borderId="33" xfId="0" applyFont="1" applyFill="1" applyBorder="1" applyAlignment="1">
      <alignment horizontal="left" vertical="center"/>
    </xf>
    <xf numFmtId="0" fontId="29" fillId="3" borderId="41" xfId="0" applyFont="1" applyFill="1" applyBorder="1" applyAlignment="1">
      <alignment horizontal="left" vertical="center"/>
    </xf>
    <xf numFmtId="0" fontId="29" fillId="3" borderId="99" xfId="0" applyFont="1" applyFill="1" applyBorder="1" applyAlignment="1">
      <alignment horizontal="left" vertical="center"/>
    </xf>
    <xf numFmtId="0" fontId="25" fillId="0" borderId="50" xfId="0" applyFont="1" applyBorder="1" applyAlignment="1">
      <alignment horizontal="left" vertical="center" wrapText="1"/>
    </xf>
    <xf numFmtId="0" fontId="25" fillId="0" borderId="43" xfId="0" applyFont="1" applyBorder="1" applyAlignment="1">
      <alignment horizontal="left" vertical="center" wrapText="1"/>
    </xf>
    <xf numFmtId="0" fontId="25" fillId="0" borderId="51" xfId="0" applyFont="1" applyBorder="1" applyAlignment="1">
      <alignment horizontal="left" vertical="center" wrapText="1"/>
    </xf>
    <xf numFmtId="0" fontId="21" fillId="0" borderId="50" xfId="0" applyFont="1" applyBorder="1" applyAlignment="1">
      <alignment horizontal="left" vertical="center" wrapText="1"/>
    </xf>
    <xf numFmtId="0" fontId="21" fillId="0" borderId="43" xfId="0" applyFont="1" applyBorder="1" applyAlignment="1">
      <alignment horizontal="left" vertical="center" wrapText="1"/>
    </xf>
    <xf numFmtId="0" fontId="21" fillId="0" borderId="42" xfId="0" applyFont="1" applyBorder="1" applyAlignment="1">
      <alignment horizontal="left" vertical="center" wrapText="1"/>
    </xf>
    <xf numFmtId="0" fontId="21" fillId="0" borderId="69" xfId="0" applyFont="1" applyBorder="1" applyAlignment="1">
      <alignment horizontal="left" vertical="center" wrapText="1"/>
    </xf>
    <xf numFmtId="0" fontId="21" fillId="0" borderId="18" xfId="0" applyFont="1" applyBorder="1" applyAlignment="1">
      <alignment horizontal="left" vertical="center" wrapText="1"/>
    </xf>
    <xf numFmtId="0" fontId="21" fillId="0" borderId="19" xfId="0" applyFont="1" applyBorder="1" applyAlignment="1">
      <alignment horizontal="left" vertical="center" wrapText="1"/>
    </xf>
    <xf numFmtId="0" fontId="21" fillId="0" borderId="20" xfId="0" applyFont="1" applyBorder="1" applyAlignment="1">
      <alignment horizontal="left" vertical="center" wrapText="1"/>
    </xf>
    <xf numFmtId="0" fontId="21" fillId="0" borderId="39" xfId="0" applyFont="1" applyBorder="1" applyAlignment="1">
      <alignment horizontal="left" vertical="center" wrapText="1"/>
    </xf>
    <xf numFmtId="0" fontId="21" fillId="0" borderId="23" xfId="0" applyFont="1" applyBorder="1" applyAlignment="1">
      <alignment horizontal="left" vertical="center" wrapText="1"/>
    </xf>
    <xf numFmtId="0" fontId="21" fillId="0" borderId="24" xfId="0" applyFont="1" applyBorder="1" applyAlignment="1">
      <alignment horizontal="left" vertical="center" wrapText="1"/>
    </xf>
    <xf numFmtId="0" fontId="25" fillId="10" borderId="44" xfId="0" applyFont="1" applyFill="1" applyBorder="1" applyAlignment="1">
      <alignment horizontal="center" vertical="top" wrapText="1"/>
    </xf>
    <xf numFmtId="0" fontId="25" fillId="10" borderId="42" xfId="0" applyFont="1" applyFill="1" applyBorder="1" applyAlignment="1">
      <alignment horizontal="center" vertical="top" wrapText="1"/>
    </xf>
    <xf numFmtId="0" fontId="25" fillId="0" borderId="18" xfId="0" applyFont="1" applyBorder="1" applyAlignment="1">
      <alignment horizontal="left" vertical="center" wrapText="1"/>
    </xf>
    <xf numFmtId="0" fontId="25" fillId="0" borderId="19" xfId="0" applyFont="1" applyBorder="1" applyAlignment="1">
      <alignment horizontal="left" vertical="center" wrapText="1"/>
    </xf>
    <xf numFmtId="0" fontId="25" fillId="0" borderId="20" xfId="0" applyFont="1" applyBorder="1" applyAlignment="1">
      <alignment horizontal="left" vertical="center" wrapText="1"/>
    </xf>
    <xf numFmtId="0" fontId="21" fillId="7" borderId="18" xfId="0" applyFont="1" applyFill="1" applyBorder="1" applyAlignment="1">
      <alignment horizontal="center" vertical="center" wrapText="1"/>
    </xf>
    <xf numFmtId="0" fontId="21" fillId="7" borderId="20" xfId="0" applyFont="1" applyFill="1" applyBorder="1" applyAlignment="1">
      <alignment horizontal="center" vertical="center" wrapText="1"/>
    </xf>
    <xf numFmtId="0" fontId="21" fillId="7" borderId="6" xfId="0" applyFont="1" applyFill="1" applyBorder="1" applyAlignment="1">
      <alignment horizontal="center" vertical="center"/>
    </xf>
    <xf numFmtId="0" fontId="21" fillId="7" borderId="9" xfId="0" applyFont="1" applyFill="1" applyBorder="1" applyAlignment="1">
      <alignment horizontal="center" vertical="center"/>
    </xf>
    <xf numFmtId="0" fontId="21" fillId="8" borderId="17" xfId="0" applyFont="1" applyFill="1" applyBorder="1" applyAlignment="1">
      <alignment horizontal="center" vertical="center"/>
    </xf>
    <xf numFmtId="0" fontId="21" fillId="5" borderId="50" xfId="0" applyFont="1" applyFill="1" applyBorder="1" applyAlignment="1">
      <alignment horizontal="left" vertical="center" wrapText="1"/>
    </xf>
    <xf numFmtId="0" fontId="21" fillId="5" borderId="43" xfId="0" applyFont="1" applyFill="1" applyBorder="1" applyAlignment="1">
      <alignment horizontal="left" vertical="center" wrapText="1"/>
    </xf>
    <xf numFmtId="0" fontId="21" fillId="5" borderId="51" xfId="0" applyFont="1" applyFill="1" applyBorder="1" applyAlignment="1">
      <alignment horizontal="left" vertical="center" wrapText="1"/>
    </xf>
    <xf numFmtId="0" fontId="21" fillId="0" borderId="51" xfId="0" applyFont="1" applyBorder="1" applyAlignment="1">
      <alignment horizontal="left" vertical="center" wrapText="1"/>
    </xf>
    <xf numFmtId="0" fontId="4" fillId="0" borderId="78" xfId="0" applyFont="1" applyBorder="1" applyAlignment="1">
      <alignment horizontal="left" vertical="top" wrapText="1"/>
    </xf>
    <xf numFmtId="0" fontId="4" fillId="0" borderId="79" xfId="0" applyFont="1" applyBorder="1" applyAlignment="1">
      <alignment horizontal="left" vertical="top" wrapText="1"/>
    </xf>
    <xf numFmtId="0" fontId="4" fillId="0" borderId="80" xfId="0" applyFont="1" applyBorder="1" applyAlignment="1">
      <alignment horizontal="left" vertical="top" wrapText="1"/>
    </xf>
    <xf numFmtId="0" fontId="4" fillId="0" borderId="81" xfId="0" applyFont="1" applyBorder="1" applyAlignment="1">
      <alignment horizontal="left" vertical="top" wrapText="1"/>
    </xf>
    <xf numFmtId="0" fontId="4" fillId="0" borderId="0" xfId="0" applyFont="1" applyBorder="1" applyAlignment="1">
      <alignment horizontal="left" vertical="top" wrapText="1"/>
    </xf>
    <xf numFmtId="0" fontId="4" fillId="0" borderId="82" xfId="0" applyFont="1" applyBorder="1" applyAlignment="1">
      <alignment horizontal="left" vertical="top" wrapText="1"/>
    </xf>
    <xf numFmtId="0" fontId="4" fillId="0" borderId="83" xfId="0" applyFont="1" applyBorder="1" applyAlignment="1">
      <alignment horizontal="left" vertical="top" wrapText="1"/>
    </xf>
    <xf numFmtId="0" fontId="4" fillId="0" borderId="84" xfId="0" applyFont="1" applyBorder="1" applyAlignment="1">
      <alignment horizontal="left" vertical="top" wrapText="1"/>
    </xf>
    <xf numFmtId="0" fontId="4" fillId="0" borderId="85" xfId="0" applyFont="1" applyBorder="1" applyAlignment="1">
      <alignment horizontal="left" vertical="top" wrapText="1"/>
    </xf>
    <xf numFmtId="0" fontId="19" fillId="0" borderId="78" xfId="0" applyFont="1" applyBorder="1" applyAlignment="1" applyProtection="1">
      <alignment horizontal="left" vertical="top"/>
      <protection locked="0"/>
    </xf>
    <xf numFmtId="0" fontId="19" fillId="0" borderId="79" xfId="0" applyFont="1" applyBorder="1" applyAlignment="1" applyProtection="1">
      <alignment horizontal="left" vertical="top"/>
      <protection locked="0"/>
    </xf>
    <xf numFmtId="0" fontId="19" fillId="0" borderId="80" xfId="0" applyFont="1" applyBorder="1" applyAlignment="1" applyProtection="1">
      <alignment horizontal="left" vertical="top"/>
      <protection locked="0"/>
    </xf>
    <xf numFmtId="0" fontId="19" fillId="0" borderId="81" xfId="0" applyFont="1" applyBorder="1" applyAlignment="1" applyProtection="1">
      <alignment horizontal="left" vertical="top"/>
      <protection locked="0"/>
    </xf>
    <xf numFmtId="0" fontId="19" fillId="0" borderId="0" xfId="0" applyFont="1" applyBorder="1" applyAlignment="1" applyProtection="1">
      <alignment horizontal="left" vertical="top"/>
      <protection locked="0"/>
    </xf>
    <xf numFmtId="0" fontId="19" fillId="0" borderId="82" xfId="0" applyFont="1" applyBorder="1" applyAlignment="1" applyProtection="1">
      <alignment horizontal="left" vertical="top"/>
      <protection locked="0"/>
    </xf>
    <xf numFmtId="0" fontId="19" fillId="0" borderId="83" xfId="0" applyFont="1" applyBorder="1" applyAlignment="1" applyProtection="1">
      <alignment horizontal="left" vertical="top"/>
      <protection locked="0"/>
    </xf>
    <xf numFmtId="0" fontId="19" fillId="0" borderId="84" xfId="0" applyFont="1" applyBorder="1" applyAlignment="1" applyProtection="1">
      <alignment horizontal="left" vertical="top"/>
      <protection locked="0"/>
    </xf>
    <xf numFmtId="0" fontId="19" fillId="0" borderId="85" xfId="0" applyFont="1" applyBorder="1" applyAlignment="1" applyProtection="1">
      <alignment horizontal="left" vertical="top"/>
      <protection locked="0"/>
    </xf>
    <xf numFmtId="0" fontId="16" fillId="13" borderId="76" xfId="0" applyFont="1" applyFill="1" applyBorder="1" applyAlignment="1">
      <alignment horizontal="center" vertical="top" wrapText="1"/>
    </xf>
    <xf numFmtId="0" fontId="16" fillId="13" borderId="0" xfId="0" applyFont="1" applyFill="1" applyBorder="1" applyAlignment="1">
      <alignment horizontal="center" vertical="top" wrapText="1"/>
    </xf>
    <xf numFmtId="0" fontId="16" fillId="13" borderId="77" xfId="0" applyFont="1" applyFill="1" applyBorder="1" applyAlignment="1">
      <alignment horizontal="center" vertical="top" wrapText="1"/>
    </xf>
    <xf numFmtId="0" fontId="16" fillId="13" borderId="0" xfId="0" applyFont="1" applyFill="1" applyBorder="1" applyAlignment="1">
      <alignment horizontal="left" vertical="top" wrapText="1"/>
    </xf>
    <xf numFmtId="0" fontId="16" fillId="13" borderId="56" xfId="0" applyFont="1" applyFill="1" applyBorder="1" applyAlignment="1">
      <alignment horizontal="left" vertical="top" wrapText="1"/>
    </xf>
    <xf numFmtId="0" fontId="8" fillId="0" borderId="86" xfId="0" applyFont="1" applyBorder="1" applyAlignment="1">
      <alignment horizontal="left" vertical="top" wrapText="1"/>
    </xf>
    <xf numFmtId="0" fontId="8" fillId="0" borderId="87" xfId="0" applyFont="1" applyBorder="1" applyAlignment="1">
      <alignment horizontal="left" vertical="top" wrapText="1"/>
    </xf>
    <xf numFmtId="0" fontId="8" fillId="0" borderId="88" xfId="0" applyFont="1" applyBorder="1" applyAlignment="1">
      <alignment horizontal="left" vertical="top" wrapText="1"/>
    </xf>
    <xf numFmtId="0" fontId="8" fillId="0" borderId="89" xfId="0" applyFont="1" applyBorder="1" applyAlignment="1">
      <alignment horizontal="left" vertical="top" wrapText="1"/>
    </xf>
    <xf numFmtId="0" fontId="8" fillId="0" borderId="0" xfId="0" applyFont="1" applyBorder="1" applyAlignment="1">
      <alignment horizontal="left" vertical="top" wrapText="1"/>
    </xf>
    <xf numFmtId="0" fontId="8" fillId="0" borderId="90" xfId="0" applyFont="1" applyBorder="1" applyAlignment="1">
      <alignment horizontal="left" vertical="top" wrapText="1"/>
    </xf>
    <xf numFmtId="0" fontId="8" fillId="0" borderId="91" xfId="0" applyFont="1" applyBorder="1" applyAlignment="1">
      <alignment horizontal="left" vertical="top" wrapText="1"/>
    </xf>
    <xf numFmtId="0" fontId="8" fillId="0" borderId="92" xfId="0" applyFont="1" applyBorder="1" applyAlignment="1">
      <alignment horizontal="left" vertical="top" wrapText="1"/>
    </xf>
    <xf numFmtId="0" fontId="8" fillId="0" borderId="93" xfId="0" applyFont="1" applyBorder="1" applyAlignment="1">
      <alignment horizontal="left" vertical="top" wrapText="1"/>
    </xf>
    <xf numFmtId="0" fontId="12" fillId="14" borderId="94" xfId="0" applyFont="1" applyFill="1" applyBorder="1" applyAlignment="1">
      <alignment horizontal="center" vertical="center" wrapText="1"/>
    </xf>
    <xf numFmtId="0" fontId="12" fillId="14" borderId="95" xfId="0" applyFont="1" applyFill="1" applyBorder="1" applyAlignment="1">
      <alignment horizontal="center" vertical="center" wrapText="1"/>
    </xf>
    <xf numFmtId="0" fontId="12" fillId="14" borderId="97" xfId="0" applyFont="1" applyFill="1" applyBorder="1" applyAlignment="1">
      <alignment horizontal="center" vertical="center" wrapText="1"/>
    </xf>
    <xf numFmtId="0" fontId="12" fillId="14" borderId="96" xfId="0" applyFont="1" applyFill="1" applyBorder="1" applyAlignment="1">
      <alignment horizontal="center" vertical="center" wrapText="1"/>
    </xf>
    <xf numFmtId="0" fontId="15" fillId="0" borderId="86" xfId="0" applyFont="1" applyBorder="1" applyAlignment="1" applyProtection="1">
      <alignment horizontal="left" vertical="top" wrapText="1"/>
      <protection locked="0"/>
    </xf>
    <xf numFmtId="0" fontId="15" fillId="0" borderId="87" xfId="0" applyFont="1" applyBorder="1" applyAlignment="1" applyProtection="1">
      <alignment horizontal="left" vertical="top" wrapText="1"/>
      <protection locked="0"/>
    </xf>
    <xf numFmtId="0" fontId="15" fillId="0" borderId="88" xfId="0" applyFont="1" applyBorder="1" applyAlignment="1" applyProtection="1">
      <alignment horizontal="left" vertical="top" wrapText="1"/>
      <protection locked="0"/>
    </xf>
    <xf numFmtId="0" fontId="15" fillId="0" borderId="89" xfId="0" applyFont="1" applyBorder="1" applyAlignment="1" applyProtection="1">
      <alignment horizontal="left" vertical="top" wrapText="1"/>
      <protection locked="0"/>
    </xf>
    <xf numFmtId="0" fontId="15" fillId="0" borderId="0" xfId="0" applyFont="1" applyBorder="1" applyAlignment="1" applyProtection="1">
      <alignment horizontal="left" vertical="top" wrapText="1"/>
      <protection locked="0"/>
    </xf>
    <xf numFmtId="0" fontId="15" fillId="0" borderId="90" xfId="0" applyFont="1" applyBorder="1" applyAlignment="1" applyProtection="1">
      <alignment horizontal="left" vertical="top" wrapText="1"/>
      <protection locked="0"/>
    </xf>
    <xf numFmtId="0" fontId="15" fillId="0" borderId="91" xfId="0" applyFont="1" applyBorder="1" applyAlignment="1" applyProtection="1">
      <alignment horizontal="left" vertical="top" wrapText="1"/>
      <protection locked="0"/>
    </xf>
    <xf numFmtId="0" fontId="15" fillId="0" borderId="92" xfId="0" applyFont="1" applyBorder="1" applyAlignment="1" applyProtection="1">
      <alignment horizontal="left" vertical="top" wrapText="1"/>
      <protection locked="0"/>
    </xf>
    <xf numFmtId="0" fontId="15" fillId="0" borderId="93" xfId="0" applyFont="1" applyBorder="1" applyAlignment="1" applyProtection="1">
      <alignment horizontal="left" vertical="top" wrapText="1"/>
      <protection locked="0"/>
    </xf>
    <xf numFmtId="0" fontId="25" fillId="0" borderId="22" xfId="0" applyFont="1" applyBorder="1" applyAlignment="1">
      <alignment horizontal="left" vertical="center" wrapText="1"/>
    </xf>
    <xf numFmtId="0" fontId="25" fillId="0" borderId="23" xfId="0" applyFont="1" applyBorder="1" applyAlignment="1">
      <alignment horizontal="left" vertical="center" wrapText="1"/>
    </xf>
    <xf numFmtId="0" fontId="25" fillId="0" borderId="24" xfId="0" applyFont="1" applyBorder="1" applyAlignment="1">
      <alignment horizontal="left" vertical="center" wrapText="1"/>
    </xf>
    <xf numFmtId="0" fontId="21" fillId="0" borderId="48" xfId="0" applyFont="1" applyBorder="1" applyAlignment="1">
      <alignment horizontal="left" vertical="center" wrapText="1"/>
    </xf>
    <xf numFmtId="0" fontId="21" fillId="0" borderId="110" xfId="0" applyFont="1" applyBorder="1" applyAlignment="1">
      <alignment horizontal="left" vertical="center" wrapText="1"/>
    </xf>
    <xf numFmtId="0" fontId="21" fillId="0" borderId="64" xfId="0" applyFont="1" applyBorder="1" applyAlignment="1">
      <alignment horizontal="left" vertical="center" wrapText="1"/>
    </xf>
    <xf numFmtId="0" fontId="21" fillId="0" borderId="72" xfId="0" applyFont="1" applyBorder="1" applyAlignment="1">
      <alignment horizontal="left" vertical="center" wrapText="1"/>
    </xf>
    <xf numFmtId="0" fontId="29" fillId="3" borderId="12" xfId="0" applyFont="1" applyFill="1" applyBorder="1" applyAlignment="1">
      <alignment horizontal="left" vertical="center"/>
    </xf>
    <xf numFmtId="0" fontId="29" fillId="3" borderId="13" xfId="0" applyFont="1" applyFill="1" applyBorder="1" applyAlignment="1">
      <alignment horizontal="left" vertical="center"/>
    </xf>
    <xf numFmtId="0" fontId="29" fillId="3" borderId="14" xfId="0" applyFont="1" applyFill="1" applyBorder="1" applyAlignment="1">
      <alignment horizontal="left" vertical="center"/>
    </xf>
    <xf numFmtId="0" fontId="21" fillId="8" borderId="22" xfId="0" applyFont="1" applyFill="1" applyBorder="1" applyAlignment="1">
      <alignment horizontal="center" vertical="center" wrapText="1"/>
    </xf>
    <xf numFmtId="0" fontId="21" fillId="8" borderId="24" xfId="0" applyFont="1" applyFill="1" applyBorder="1" applyAlignment="1">
      <alignment horizontal="center" vertical="center" wrapText="1"/>
    </xf>
    <xf numFmtId="0" fontId="29" fillId="3" borderId="49" xfId="0" applyFont="1" applyFill="1" applyBorder="1" applyAlignment="1">
      <alignment horizontal="left" vertical="center"/>
    </xf>
    <xf numFmtId="0" fontId="29" fillId="3" borderId="109" xfId="0" applyFont="1" applyFill="1" applyBorder="1" applyAlignment="1">
      <alignment horizontal="left" vertical="center"/>
    </xf>
    <xf numFmtId="0" fontId="29" fillId="3" borderId="11" xfId="0" applyFont="1" applyFill="1" applyBorder="1" applyAlignment="1">
      <alignment horizontal="left" vertical="center"/>
    </xf>
    <xf numFmtId="0" fontId="29" fillId="3" borderId="45" xfId="0" applyFont="1" applyFill="1" applyBorder="1" applyAlignment="1">
      <alignment horizontal="left" vertical="center"/>
    </xf>
    <xf numFmtId="0" fontId="29" fillId="3" borderId="53" xfId="0" applyFont="1" applyFill="1" applyBorder="1" applyAlignment="1">
      <alignment horizontal="left" vertical="center"/>
    </xf>
    <xf numFmtId="0" fontId="21" fillId="2" borderId="18" xfId="0" applyFont="1" applyFill="1" applyBorder="1" applyAlignment="1">
      <alignment horizontal="left" vertical="center" wrapText="1"/>
    </xf>
    <xf numFmtId="0" fontId="25" fillId="4" borderId="18" xfId="0" applyFont="1" applyFill="1" applyBorder="1" applyAlignment="1">
      <alignment vertical="center"/>
    </xf>
    <xf numFmtId="0" fontId="25" fillId="4" borderId="20" xfId="0" applyFont="1" applyFill="1" applyBorder="1" applyAlignment="1">
      <alignment vertical="center"/>
    </xf>
    <xf numFmtId="0" fontId="25" fillId="0" borderId="42" xfId="0" applyFont="1" applyBorder="1" applyAlignment="1">
      <alignment horizontal="left" vertical="center" wrapText="1"/>
    </xf>
    <xf numFmtId="0" fontId="21" fillId="6" borderId="33" xfId="0" applyFont="1" applyFill="1" applyBorder="1" applyAlignment="1">
      <alignment horizontal="center" vertical="center"/>
    </xf>
    <xf numFmtId="0" fontId="21" fillId="6" borderId="41" xfId="0" applyFont="1" applyFill="1" applyBorder="1" applyAlignment="1">
      <alignment horizontal="center" vertical="center"/>
    </xf>
    <xf numFmtId="0" fontId="21" fillId="6" borderId="99" xfId="0" applyFont="1" applyFill="1" applyBorder="1" applyAlignment="1">
      <alignment horizontal="center" vertical="center"/>
    </xf>
    <xf numFmtId="0" fontId="29" fillId="0" borderId="41" xfId="0" applyFont="1" applyBorder="1" applyAlignment="1">
      <alignment horizontal="center" vertical="center" wrapText="1"/>
    </xf>
    <xf numFmtId="0" fontId="21" fillId="0" borderId="33" xfId="0" applyFont="1" applyBorder="1" applyAlignment="1">
      <alignment horizontal="center" vertical="center"/>
    </xf>
    <xf numFmtId="0" fontId="21" fillId="0" borderId="41" xfId="0" applyFont="1" applyBorder="1" applyAlignment="1">
      <alignment horizontal="center" vertical="center"/>
    </xf>
    <xf numFmtId="0" fontId="21" fillId="0" borderId="99" xfId="0" applyFont="1" applyBorder="1" applyAlignment="1">
      <alignment horizontal="center" vertical="center"/>
    </xf>
    <xf numFmtId="0" fontId="31" fillId="0" borderId="33" xfId="0" applyFont="1" applyBorder="1" applyAlignment="1">
      <alignment horizontal="center" vertical="center" wrapText="1"/>
    </xf>
    <xf numFmtId="0" fontId="31" fillId="0" borderId="41" xfId="0" applyFont="1" applyBorder="1" applyAlignment="1">
      <alignment horizontal="center" vertical="center" wrapText="1"/>
    </xf>
    <xf numFmtId="0" fontId="25" fillId="0" borderId="48" xfId="0" applyFont="1" applyBorder="1" applyAlignment="1">
      <alignment horizontal="left" vertical="center" wrapText="1"/>
    </xf>
    <xf numFmtId="0" fontId="21" fillId="2" borderId="18" xfId="0" applyFont="1" applyFill="1" applyBorder="1" applyAlignment="1">
      <alignment wrapText="1"/>
    </xf>
    <xf numFmtId="0" fontId="25" fillId="0" borderId="36" xfId="0" applyFont="1" applyBorder="1" applyAlignment="1">
      <alignment horizontal="left" vertical="center" wrapText="1"/>
    </xf>
    <xf numFmtId="0" fontId="25" fillId="2" borderId="17" xfId="0" applyFont="1" applyFill="1" applyBorder="1" applyAlignment="1">
      <alignment horizontal="left" vertical="top"/>
    </xf>
    <xf numFmtId="0" fontId="25" fillId="4" borderId="25" xfId="0" applyFont="1" applyFill="1" applyBorder="1" applyAlignment="1">
      <alignment horizontal="center" vertical="center" wrapText="1"/>
    </xf>
    <xf numFmtId="0" fontId="25" fillId="4" borderId="30" xfId="0" applyFont="1" applyFill="1" applyBorder="1" applyAlignment="1">
      <alignment horizontal="center" vertical="center" wrapText="1"/>
    </xf>
    <xf numFmtId="0" fontId="25" fillId="4" borderId="36" xfId="0" applyFont="1" applyFill="1" applyBorder="1" applyAlignment="1">
      <alignment vertical="center"/>
    </xf>
    <xf numFmtId="0" fontId="25" fillId="4" borderId="35" xfId="0" applyFont="1" applyFill="1" applyBorder="1" applyAlignment="1">
      <alignment vertical="center"/>
    </xf>
    <xf numFmtId="0" fontId="21" fillId="2" borderId="36" xfId="0" applyFont="1" applyFill="1" applyBorder="1" applyAlignment="1">
      <alignment wrapText="1"/>
    </xf>
    <xf numFmtId="0" fontId="25" fillId="4" borderId="4" xfId="0" applyFont="1" applyFill="1" applyBorder="1" applyAlignment="1">
      <alignment horizontal="center" wrapText="1"/>
    </xf>
    <xf numFmtId="0" fontId="25" fillId="4" borderId="9" xfId="0" applyFont="1" applyFill="1" applyBorder="1" applyAlignment="1">
      <alignment horizontal="center" wrapText="1"/>
    </xf>
    <xf numFmtId="0" fontId="21" fillId="6" borderId="50" xfId="0" applyFont="1" applyFill="1" applyBorder="1" applyAlignment="1">
      <alignment horizontal="left" vertical="center" wrapText="1"/>
    </xf>
    <xf numFmtId="0" fontId="21" fillId="6" borderId="43" xfId="0" applyFont="1" applyFill="1" applyBorder="1" applyAlignment="1">
      <alignment horizontal="left" vertical="center" wrapText="1"/>
    </xf>
    <xf numFmtId="0" fontId="21" fillId="6" borderId="51" xfId="0" applyFont="1" applyFill="1" applyBorder="1" applyAlignment="1">
      <alignment horizontal="left" vertical="center" wrapText="1"/>
    </xf>
    <xf numFmtId="0" fontId="21" fillId="5" borderId="35" xfId="0" applyFont="1" applyFill="1" applyBorder="1" applyAlignment="1">
      <alignment horizontal="left" vertical="center" wrapText="1"/>
    </xf>
    <xf numFmtId="0" fontId="21" fillId="5" borderId="19" xfId="0" applyFont="1" applyFill="1" applyBorder="1" applyAlignment="1">
      <alignment horizontal="left" vertical="center" wrapText="1"/>
    </xf>
    <xf numFmtId="0" fontId="21" fillId="5" borderId="20" xfId="0" applyFont="1" applyFill="1" applyBorder="1" applyAlignment="1">
      <alignment horizontal="left" vertical="center" wrapText="1"/>
    </xf>
    <xf numFmtId="0" fontId="30" fillId="0" borderId="0" xfId="0" applyFont="1" applyFill="1" applyBorder="1" applyAlignment="1">
      <alignment horizontal="center" vertical="center" textRotation="90"/>
    </xf>
    <xf numFmtId="0" fontId="25" fillId="4" borderId="4" xfId="0" applyFont="1" applyFill="1" applyBorder="1" applyAlignment="1">
      <alignment horizontal="center" vertical="center" wrapText="1"/>
    </xf>
    <xf numFmtId="0" fontId="25" fillId="4" borderId="3" xfId="0" applyFont="1" applyFill="1" applyBorder="1" applyAlignment="1">
      <alignment horizontal="center" vertical="center" wrapText="1"/>
    </xf>
    <xf numFmtId="0" fontId="21" fillId="7" borderId="15" xfId="0" applyFont="1" applyFill="1" applyBorder="1" applyAlignment="1">
      <alignment horizontal="center" vertical="center"/>
    </xf>
    <xf numFmtId="0" fontId="21" fillId="7" borderId="16" xfId="0" applyFont="1" applyFill="1" applyBorder="1" applyAlignment="1">
      <alignment horizontal="center" vertical="center"/>
    </xf>
    <xf numFmtId="0" fontId="29" fillId="9" borderId="33" xfId="0" applyFont="1" applyFill="1" applyBorder="1" applyAlignment="1">
      <alignment horizontal="center" vertical="center" wrapText="1"/>
    </xf>
    <xf numFmtId="0" fontId="29" fillId="9" borderId="41" xfId="0" applyFont="1" applyFill="1" applyBorder="1" applyAlignment="1">
      <alignment horizontal="center" vertical="center" wrapText="1"/>
    </xf>
    <xf numFmtId="0" fontId="29" fillId="0" borderId="33" xfId="0" applyFont="1" applyBorder="1" applyAlignment="1">
      <alignment horizontal="left" vertical="center" wrapText="1"/>
    </xf>
    <xf numFmtId="0" fontId="29" fillId="0" borderId="41" xfId="0" applyFont="1" applyBorder="1" applyAlignment="1">
      <alignment horizontal="left" vertical="center" wrapText="1"/>
    </xf>
    <xf numFmtId="0" fontId="29" fillId="0" borderId="99" xfId="0" applyFont="1" applyBorder="1" applyAlignment="1">
      <alignment horizontal="left" vertical="center" wrapText="1"/>
    </xf>
    <xf numFmtId="0" fontId="21" fillId="2" borderId="17" xfId="0" applyFont="1" applyFill="1" applyBorder="1" applyAlignment="1">
      <alignment horizontal="left" vertical="top"/>
    </xf>
    <xf numFmtId="0" fontId="29" fillId="3" borderId="128" xfId="0" applyFont="1" applyFill="1" applyBorder="1" applyAlignment="1">
      <alignment horizontal="left" vertical="center"/>
    </xf>
    <xf numFmtId="0" fontId="29" fillId="3" borderId="136" xfId="0" applyFont="1" applyFill="1" applyBorder="1" applyAlignment="1">
      <alignment horizontal="left" vertical="center"/>
    </xf>
    <xf numFmtId="0" fontId="21" fillId="8" borderId="38" xfId="0" applyFont="1" applyFill="1" applyBorder="1" applyAlignment="1">
      <alignment horizontal="center" vertical="center"/>
    </xf>
    <xf numFmtId="0" fontId="25" fillId="0" borderId="69" xfId="0" applyFont="1" applyBorder="1" applyAlignment="1">
      <alignment horizontal="left" vertical="center" wrapText="1"/>
    </xf>
    <xf numFmtId="0" fontId="21" fillId="7" borderId="35" xfId="0" applyFont="1" applyFill="1" applyBorder="1" applyAlignment="1">
      <alignment horizontal="center" vertical="center" wrapText="1"/>
    </xf>
    <xf numFmtId="49" fontId="32" fillId="4" borderId="48" xfId="1" applyNumberFormat="1" applyFont="1" applyFill="1" applyBorder="1" applyAlignment="1">
      <alignment horizontal="center" vertical="center"/>
    </xf>
    <xf numFmtId="0" fontId="25" fillId="5" borderId="50" xfId="0" applyFont="1" applyFill="1" applyBorder="1" applyAlignment="1">
      <alignment horizontal="left" vertical="center" wrapText="1"/>
    </xf>
    <xf numFmtId="0" fontId="25" fillId="5" borderId="51" xfId="0" applyFont="1" applyFill="1" applyBorder="1" applyAlignment="1">
      <alignment horizontal="left" vertical="center" wrapText="1"/>
    </xf>
    <xf numFmtId="0" fontId="25" fillId="5" borderId="43" xfId="0" applyFont="1" applyFill="1" applyBorder="1" applyAlignment="1">
      <alignment horizontal="left" vertical="center" wrapText="1"/>
    </xf>
    <xf numFmtId="0" fontId="25" fillId="4" borderId="26" xfId="0" applyFont="1" applyFill="1" applyBorder="1" applyAlignment="1">
      <alignment horizontal="center" vertical="center" wrapText="1"/>
    </xf>
    <xf numFmtId="0" fontId="21" fillId="2" borderId="178" xfId="0" applyFont="1" applyFill="1" applyBorder="1" applyAlignment="1">
      <alignment horizontal="left" vertical="top"/>
    </xf>
    <xf numFmtId="0" fontId="25" fillId="4" borderId="22" xfId="0" applyFont="1" applyFill="1" applyBorder="1" applyAlignment="1">
      <alignment vertical="center"/>
    </xf>
    <xf numFmtId="0" fontId="25" fillId="4" borderId="24" xfId="0" applyFont="1" applyFill="1" applyBorder="1" applyAlignment="1">
      <alignment vertical="center"/>
    </xf>
    <xf numFmtId="0" fontId="25" fillId="0" borderId="35" xfId="0" applyFont="1" applyBorder="1" applyAlignment="1">
      <alignment horizontal="left" vertical="center" wrapText="1"/>
    </xf>
    <xf numFmtId="0" fontId="21" fillId="0" borderId="33" xfId="0" applyFont="1" applyBorder="1" applyAlignment="1">
      <alignment horizontal="center" vertical="center" wrapText="1"/>
    </xf>
    <xf numFmtId="0" fontId="21" fillId="0" borderId="99" xfId="0" applyFont="1" applyBorder="1" applyAlignment="1">
      <alignment horizontal="center" vertical="center" wrapText="1"/>
    </xf>
    <xf numFmtId="0" fontId="21" fillId="8" borderId="46" xfId="0" applyFont="1" applyFill="1" applyBorder="1" applyAlignment="1">
      <alignment horizontal="center" vertical="center"/>
    </xf>
    <xf numFmtId="0" fontId="21" fillId="2" borderId="38" xfId="0" applyFont="1" applyFill="1" applyBorder="1" applyAlignment="1">
      <alignment horizontal="left" vertical="top"/>
    </xf>
    <xf numFmtId="0" fontId="21" fillId="8" borderId="18" xfId="0" applyFont="1" applyFill="1" applyBorder="1" applyAlignment="1">
      <alignment horizontal="center" vertical="center" wrapText="1"/>
    </xf>
    <xf numFmtId="0" fontId="21" fillId="8" borderId="36" xfId="0" applyFont="1" applyFill="1" applyBorder="1" applyAlignment="1">
      <alignment horizontal="center" vertical="center" wrapText="1"/>
    </xf>
    <xf numFmtId="0" fontId="21" fillId="0" borderId="33" xfId="0" applyFont="1" applyBorder="1" applyAlignment="1">
      <alignment horizontal="left" vertical="center" wrapText="1"/>
    </xf>
    <xf numFmtId="0" fontId="21" fillId="0" borderId="41" xfId="0" applyFont="1" applyBorder="1" applyAlignment="1">
      <alignment horizontal="left" vertical="center" wrapText="1"/>
    </xf>
    <xf numFmtId="0" fontId="21" fillId="0" borderId="99" xfId="0" applyFont="1" applyBorder="1" applyAlignment="1">
      <alignment horizontal="left" vertical="center" wrapText="1"/>
    </xf>
    <xf numFmtId="0" fontId="21" fillId="7" borderId="40" xfId="0" applyFont="1" applyFill="1" applyBorder="1" applyAlignment="1">
      <alignment horizontal="center" vertical="center"/>
    </xf>
    <xf numFmtId="0" fontId="21" fillId="8" borderId="39" xfId="0" applyFont="1" applyFill="1" applyBorder="1" applyAlignment="1">
      <alignment horizontal="center" vertical="center" wrapText="1"/>
    </xf>
    <xf numFmtId="0" fontId="21" fillId="10" borderId="39" xfId="0" applyFont="1" applyFill="1" applyBorder="1" applyAlignment="1">
      <alignment horizontal="left" vertical="top" wrapText="1"/>
    </xf>
    <xf numFmtId="0" fontId="21" fillId="10" borderId="23" xfId="0" applyFont="1" applyFill="1" applyBorder="1" applyAlignment="1">
      <alignment horizontal="left" vertical="top" wrapText="1"/>
    </xf>
    <xf numFmtId="0" fontId="21" fillId="10" borderId="44" xfId="0" applyFont="1" applyFill="1" applyBorder="1" applyAlignment="1">
      <alignment horizontal="left" vertical="top" wrapText="1"/>
    </xf>
    <xf numFmtId="49" fontId="32" fillId="4" borderId="61" xfId="1" applyNumberFormat="1" applyFont="1" applyFill="1" applyBorder="1" applyAlignment="1">
      <alignment horizontal="center" vertical="center"/>
    </xf>
    <xf numFmtId="0" fontId="21" fillId="2" borderId="22" xfId="0" applyFont="1" applyFill="1" applyBorder="1" applyAlignment="1">
      <alignment wrapText="1"/>
    </xf>
    <xf numFmtId="0" fontId="21" fillId="2" borderId="24" xfId="0" applyFont="1" applyFill="1" applyBorder="1" applyAlignment="1">
      <alignment wrapText="1"/>
    </xf>
    <xf numFmtId="0" fontId="37" fillId="4" borderId="100" xfId="0" applyFont="1" applyFill="1" applyBorder="1" applyAlignment="1">
      <alignment horizontal="center" vertical="center" wrapText="1"/>
    </xf>
    <xf numFmtId="0" fontId="37" fillId="4" borderId="101" xfId="0" applyFont="1" applyFill="1" applyBorder="1" applyAlignment="1">
      <alignment horizontal="center" vertical="center" wrapText="1"/>
    </xf>
    <xf numFmtId="0" fontId="37" fillId="4" borderId="102" xfId="0" applyFont="1" applyFill="1" applyBorder="1" applyAlignment="1">
      <alignment horizontal="center" vertical="center" wrapText="1"/>
    </xf>
    <xf numFmtId="0" fontId="37" fillId="4" borderId="103" xfId="0" applyFont="1" applyFill="1" applyBorder="1" applyAlignment="1">
      <alignment horizontal="center" vertical="center" wrapText="1"/>
    </xf>
    <xf numFmtId="0" fontId="22" fillId="2" borderId="35" xfId="0" applyFont="1" applyFill="1" applyBorder="1" applyAlignment="1">
      <alignment horizontal="left" vertical="top" wrapText="1"/>
    </xf>
    <xf numFmtId="0" fontId="22" fillId="2" borderId="19" xfId="0" applyFont="1" applyFill="1" applyBorder="1" applyAlignment="1">
      <alignment horizontal="left" vertical="top" wrapText="1"/>
    </xf>
    <xf numFmtId="0" fontId="22" fillId="2" borderId="36" xfId="0" applyFont="1" applyFill="1" applyBorder="1" applyAlignment="1">
      <alignment horizontal="left" vertical="top" wrapText="1"/>
    </xf>
    <xf numFmtId="0" fontId="21" fillId="2" borderId="54" xfId="0" applyFont="1" applyFill="1" applyBorder="1" applyAlignment="1">
      <alignment wrapText="1"/>
    </xf>
    <xf numFmtId="0" fontId="21" fillId="2" borderId="111" xfId="0" applyFont="1" applyFill="1" applyBorder="1" applyAlignment="1">
      <alignment wrapText="1"/>
    </xf>
    <xf numFmtId="0" fontId="21" fillId="10" borderId="22" xfId="0" applyFont="1" applyFill="1" applyBorder="1" applyAlignment="1">
      <alignment horizontal="left" vertical="top" wrapText="1"/>
    </xf>
    <xf numFmtId="0" fontId="37" fillId="2" borderId="61" xfId="0" applyFont="1" applyFill="1" applyBorder="1" applyAlignment="1">
      <alignment horizontal="center" vertical="center" wrapText="1"/>
    </xf>
    <xf numFmtId="0" fontId="37" fillId="2" borderId="6" xfId="0" applyFont="1" applyFill="1" applyBorder="1" applyAlignment="1">
      <alignment horizontal="center" vertical="center" wrapText="1"/>
    </xf>
    <xf numFmtId="0" fontId="37" fillId="2" borderId="7" xfId="0" applyFont="1" applyFill="1" applyBorder="1" applyAlignment="1">
      <alignment horizontal="center" vertical="center" wrapText="1"/>
    </xf>
    <xf numFmtId="0" fontId="37" fillId="2" borderId="63" xfId="0" applyFont="1" applyFill="1" applyBorder="1" applyAlignment="1">
      <alignment horizontal="center" vertical="center" wrapText="1"/>
    </xf>
    <xf numFmtId="0" fontId="37" fillId="2" borderId="9" xfId="0" applyFont="1" applyFill="1" applyBorder="1" applyAlignment="1">
      <alignment horizontal="center" vertical="center" wrapText="1"/>
    </xf>
    <xf numFmtId="0" fontId="37" fillId="2" borderId="10" xfId="0" applyFont="1" applyFill="1" applyBorder="1" applyAlignment="1">
      <alignment horizontal="center" vertical="center" wrapText="1"/>
    </xf>
    <xf numFmtId="0" fontId="37" fillId="2" borderId="4" xfId="0" applyFont="1" applyFill="1" applyBorder="1" applyAlignment="1">
      <alignment horizontal="center" vertical="center" wrapText="1"/>
    </xf>
    <xf numFmtId="0" fontId="37" fillId="2" borderId="3" xfId="0" applyFont="1" applyFill="1" applyBorder="1" applyAlignment="1">
      <alignment horizontal="center" vertical="center" wrapText="1"/>
    </xf>
    <xf numFmtId="0" fontId="45" fillId="0" borderId="65" xfId="0" applyFont="1" applyBorder="1" applyAlignment="1">
      <alignment wrapText="1"/>
    </xf>
    <xf numFmtId="0" fontId="50" fillId="0" borderId="0" xfId="0" applyFont="1" applyAlignment="1">
      <alignment vertical="center"/>
    </xf>
    <xf numFmtId="0" fontId="50" fillId="0" borderId="0" xfId="0" applyFont="1" applyAlignment="1">
      <alignment horizontal="left" vertical="center"/>
    </xf>
    <xf numFmtId="0" fontId="50" fillId="0" borderId="0" xfId="0" applyFont="1"/>
    <xf numFmtId="0" fontId="51" fillId="0" borderId="0" xfId="0" applyFont="1"/>
    <xf numFmtId="0" fontId="51" fillId="5" borderId="0" xfId="0" applyFont="1" applyFill="1"/>
    <xf numFmtId="0" fontId="51" fillId="0" borderId="0" xfId="0" applyFont="1" applyAlignment="1"/>
    <xf numFmtId="0" fontId="51" fillId="0" borderId="0" xfId="0" applyFont="1" applyAlignment="1">
      <alignment vertical="center"/>
    </xf>
    <xf numFmtId="0" fontId="50" fillId="0" borderId="0" xfId="0" applyFont="1" applyAlignment="1"/>
    <xf numFmtId="0" fontId="51" fillId="5" borderId="0" xfId="0" applyFont="1" applyFill="1" applyAlignment="1"/>
    <xf numFmtId="0" fontId="51" fillId="0" borderId="0" xfId="0" applyFont="1" applyAlignment="1">
      <alignment wrapText="1"/>
    </xf>
    <xf numFmtId="0" fontId="21" fillId="0" borderId="65" xfId="0" applyFont="1" applyBorder="1" applyAlignment="1">
      <alignment wrapText="1"/>
    </xf>
    <xf numFmtId="0" fontId="21" fillId="0" borderId="73" xfId="0" applyFont="1" applyBorder="1" applyAlignment="1">
      <alignment wrapText="1"/>
    </xf>
    <xf numFmtId="0" fontId="50" fillId="6" borderId="48" xfId="0" applyFont="1" applyFill="1" applyBorder="1" applyAlignment="1">
      <alignment horizontal="center" wrapText="1"/>
    </xf>
    <xf numFmtId="0" fontId="50" fillId="6" borderId="107" xfId="0" applyFont="1" applyFill="1" applyBorder="1" applyAlignment="1">
      <alignment horizontal="center" wrapText="1"/>
    </xf>
    <xf numFmtId="0" fontId="50" fillId="6" borderId="105" xfId="0" applyFont="1" applyFill="1" applyBorder="1" applyAlignment="1">
      <alignment horizontal="center" wrapText="1"/>
    </xf>
    <xf numFmtId="0" fontId="50" fillId="6" borderId="69" xfId="0" applyFont="1" applyFill="1" applyBorder="1" applyAlignment="1">
      <alignment horizontal="center" wrapText="1"/>
    </xf>
    <xf numFmtId="0" fontId="50" fillId="6" borderId="108" xfId="0" applyFont="1" applyFill="1" applyBorder="1" applyAlignment="1">
      <alignment horizontal="center" wrapText="1"/>
    </xf>
    <xf numFmtId="0" fontId="50" fillId="6" borderId="98" xfId="0" applyFont="1" applyFill="1" applyBorder="1" applyAlignment="1">
      <alignment horizontal="center" wrapText="1"/>
    </xf>
    <xf numFmtId="0" fontId="25" fillId="0" borderId="73" xfId="0" applyFont="1" applyBorder="1" applyAlignment="1">
      <alignment wrapText="1"/>
    </xf>
    <xf numFmtId="0" fontId="25" fillId="0" borderId="65" xfId="0" applyFont="1" applyBorder="1" applyAlignment="1">
      <alignment wrapText="1"/>
    </xf>
    <xf numFmtId="0" fontId="45" fillId="6" borderId="48" xfId="0" applyFont="1" applyFill="1" applyBorder="1" applyAlignment="1">
      <alignment horizontal="center" wrapText="1"/>
    </xf>
    <xf numFmtId="0" fontId="45" fillId="6" borderId="107" xfId="0" applyFont="1" applyFill="1" applyBorder="1" applyAlignment="1">
      <alignment horizontal="center" wrapText="1"/>
    </xf>
    <xf numFmtId="0" fontId="45" fillId="6" borderId="69" xfId="0" applyFont="1" applyFill="1" applyBorder="1" applyAlignment="1">
      <alignment horizontal="center" wrapText="1"/>
    </xf>
    <xf numFmtId="0" fontId="45" fillId="6" borderId="108" xfId="0" applyFont="1" applyFill="1" applyBorder="1" applyAlignment="1">
      <alignment horizontal="center" wrapText="1"/>
    </xf>
    <xf numFmtId="0" fontId="45" fillId="0" borderId="73" xfId="0" applyFont="1" applyBorder="1" applyAlignment="1">
      <alignment wrapText="1"/>
    </xf>
    <xf numFmtId="0" fontId="44" fillId="0" borderId="73" xfId="0" applyFont="1" applyBorder="1" applyAlignment="1">
      <alignment wrapText="1"/>
    </xf>
    <xf numFmtId="0" fontId="44" fillId="0" borderId="65" xfId="0" applyFont="1" applyBorder="1" applyAlignment="1">
      <alignment wrapText="1"/>
    </xf>
    <xf numFmtId="0" fontId="0" fillId="0" borderId="33" xfId="0" applyBorder="1"/>
    <xf numFmtId="0" fontId="0" fillId="0" borderId="41" xfId="0" applyBorder="1"/>
    <xf numFmtId="0" fontId="0" fillId="0" borderId="0" xfId="0" applyAlignment="1">
      <alignment wrapText="1"/>
    </xf>
    <xf numFmtId="0" fontId="0" fillId="0" borderId="0" xfId="0" applyAlignment="1">
      <alignment horizontal="center"/>
    </xf>
    <xf numFmtId="0" fontId="0" fillId="0" borderId="0" xfId="0" applyFont="1" applyAlignment="1">
      <alignment wrapText="1"/>
    </xf>
    <xf numFmtId="0" fontId="0" fillId="0" borderId="99" xfId="0" applyFont="1" applyBorder="1" applyAlignment="1">
      <alignment wrapText="1"/>
    </xf>
    <xf numFmtId="0" fontId="44" fillId="6" borderId="105" xfId="0" applyFont="1" applyFill="1" applyBorder="1" applyAlignment="1">
      <alignment horizontal="center" wrapText="1"/>
    </xf>
    <xf numFmtId="0" fontId="44" fillId="6" borderId="98" xfId="0" applyFont="1" applyFill="1" applyBorder="1" applyAlignment="1">
      <alignment horizontal="center" wrapText="1"/>
    </xf>
    <xf numFmtId="0" fontId="42" fillId="17" borderId="229" xfId="0" applyFont="1" applyFill="1" applyBorder="1" applyAlignment="1">
      <alignment horizontal="center" vertical="center" wrapText="1"/>
    </xf>
    <xf numFmtId="0" fontId="42" fillId="17" borderId="214" xfId="0" applyFont="1" applyFill="1" applyBorder="1" applyAlignment="1">
      <alignment horizontal="center" vertical="center" wrapText="1"/>
    </xf>
    <xf numFmtId="0" fontId="42" fillId="17" borderId="230" xfId="0" applyFont="1" applyFill="1" applyBorder="1" applyAlignment="1">
      <alignment horizontal="center" vertical="center" wrapText="1"/>
    </xf>
    <xf numFmtId="0" fontId="42" fillId="3" borderId="231" xfId="0" applyFont="1" applyFill="1" applyBorder="1" applyAlignment="1">
      <alignment vertical="center" wrapText="1"/>
    </xf>
    <xf numFmtId="0" fontId="42" fillId="3" borderId="73" xfId="0" applyFont="1" applyFill="1" applyBorder="1" applyAlignment="1">
      <alignment vertical="center" wrapText="1"/>
    </xf>
    <xf numFmtId="0" fontId="42" fillId="3" borderId="73" xfId="0" applyFont="1" applyFill="1" applyBorder="1" applyAlignment="1">
      <alignment horizontal="center" vertical="center" wrapText="1"/>
    </xf>
    <xf numFmtId="0" fontId="42" fillId="3" borderId="232" xfId="0" applyFont="1" applyFill="1" applyBorder="1" applyAlignment="1">
      <alignment vertical="center" wrapText="1"/>
    </xf>
    <xf numFmtId="0" fontId="49" fillId="0" borderId="233" xfId="0" applyFont="1" applyFill="1" applyBorder="1" applyAlignment="1">
      <alignment vertical="center" wrapText="1"/>
    </xf>
    <xf numFmtId="0" fontId="49" fillId="0" borderId="65" xfId="0" applyFont="1" applyFill="1" applyBorder="1" applyAlignment="1">
      <alignment vertical="center" wrapText="1"/>
    </xf>
    <xf numFmtId="0" fontId="49" fillId="0" borderId="65" xfId="0" applyFont="1" applyFill="1" applyBorder="1" applyAlignment="1">
      <alignment horizontal="left" vertical="center" wrapText="1"/>
    </xf>
    <xf numFmtId="0" fontId="49" fillId="0" borderId="65" xfId="0" applyFont="1" applyFill="1" applyBorder="1" applyAlignment="1">
      <alignment horizontal="center" vertical="center" wrapText="1"/>
    </xf>
    <xf numFmtId="0" fontId="49" fillId="0" borderId="234" xfId="0" applyFont="1" applyFill="1" applyBorder="1" applyAlignment="1">
      <alignment vertical="center" wrapText="1"/>
    </xf>
    <xf numFmtId="49" fontId="49" fillId="0" borderId="65" xfId="0" applyNumberFormat="1" applyFont="1" applyFill="1" applyBorder="1" applyAlignment="1">
      <alignment horizontal="left" vertical="center" wrapText="1"/>
    </xf>
    <xf numFmtId="0" fontId="49" fillId="0" borderId="235" xfId="0" applyFont="1" applyFill="1" applyBorder="1" applyAlignment="1">
      <alignment vertical="center" wrapText="1"/>
    </xf>
    <xf numFmtId="0" fontId="49" fillId="0" borderId="236" xfId="0" applyFont="1" applyFill="1" applyBorder="1" applyAlignment="1">
      <alignment vertical="center" wrapText="1"/>
    </xf>
    <xf numFmtId="0" fontId="49" fillId="0" borderId="236" xfId="0" applyFont="1" applyFill="1" applyBorder="1" applyAlignment="1">
      <alignment horizontal="left" vertical="center" wrapText="1"/>
    </xf>
    <xf numFmtId="0" fontId="49" fillId="0" borderId="236" xfId="0" applyFont="1" applyFill="1" applyBorder="1" applyAlignment="1">
      <alignment horizontal="center" vertical="center" wrapText="1"/>
    </xf>
    <xf numFmtId="0" fontId="49" fillId="0" borderId="237" xfId="0" applyFont="1" applyFill="1" applyBorder="1" applyAlignment="1">
      <alignment vertical="center" wrapText="1"/>
    </xf>
  </cellXfs>
  <cellStyles count="3">
    <cellStyle name="Neutral" xfId="2" builtinId="28"/>
    <cellStyle name="Normal" xfId="0" builtinId="0"/>
    <cellStyle name="Normal 3" xfId="1" xr:uid="{00000000-0005-0000-0000-000003000000}"/>
  </cellStyles>
  <dxfs count="1362">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0"/>
      </font>
      <fill>
        <patternFill>
          <bgColor rgb="FFFF0000"/>
        </patternFill>
      </fill>
    </dxf>
    <dxf>
      <font>
        <b/>
        <i val="0"/>
      </font>
      <fill>
        <patternFill>
          <bgColor rgb="FFFFFF00"/>
        </pattern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1"/>
      </font>
      <fill>
        <patternFill>
          <bgColor rgb="FFFFFF00"/>
        </patternFill>
      </fill>
    </dxf>
    <dxf>
      <font>
        <color theme="1"/>
      </font>
      <fill>
        <patternFill>
          <bgColor rgb="FFFFFF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1"/>
      </font>
      <fill>
        <patternFill>
          <bgColor rgb="FFFFFF00"/>
        </patternFill>
      </fill>
    </dxf>
    <dxf>
      <font>
        <color theme="1"/>
      </font>
      <fill>
        <patternFill>
          <bgColor rgb="FFFFFF00"/>
        </patternFill>
      </fill>
    </dxf>
    <dxf>
      <font>
        <color theme="0"/>
      </font>
      <fill>
        <patternFill>
          <bgColor rgb="FFFF0000"/>
        </patternFill>
      </fill>
    </dxf>
    <dxf>
      <font>
        <color theme="9" tint="0.59996337778862885"/>
      </font>
      <fill>
        <patternFill>
          <bgColor theme="9" tint="0.59996337778862885"/>
        </patternFill>
      </fill>
    </dxf>
    <dxf>
      <font>
        <color theme="1" tint="0.499984740745262"/>
      </font>
      <fill>
        <patternFill>
          <bgColor theme="1" tint="0.499984740745262"/>
        </patternFill>
      </fill>
    </dxf>
    <dxf>
      <font>
        <color theme="2" tint="-9.9948118533890809E-2"/>
      </font>
      <fill>
        <patternFill>
          <bgColor theme="2"/>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1" tint="0.499984740745262"/>
      </font>
      <fill>
        <patternFill>
          <bgColor theme="1" tint="0.499984740745262"/>
        </patternFill>
      </fill>
    </dxf>
    <dxf>
      <font>
        <color theme="2" tint="-9.9948118533890809E-2"/>
      </font>
      <fill>
        <patternFill>
          <bgColor theme="2"/>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1" tint="0.499984740745262"/>
      </font>
      <fill>
        <patternFill>
          <bgColor theme="1" tint="0.499984740745262"/>
        </patternFill>
      </fill>
    </dxf>
    <dxf>
      <font>
        <color theme="2" tint="-9.9948118533890809E-2"/>
      </font>
      <fill>
        <patternFill>
          <bgColor theme="2"/>
        </patternFill>
      </fill>
    </dxf>
    <dxf>
      <font>
        <color theme="9" tint="0.59996337778862885"/>
      </font>
      <fill>
        <patternFill>
          <bgColor theme="9" tint="0.59996337778862885"/>
        </patternFill>
      </fill>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0"/>
      </font>
      <fill>
        <patternFill>
          <bgColor rgb="FFFF0000"/>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b/>
        <i val="0"/>
      </font>
      <fill>
        <patternFill>
          <bgColor rgb="FFFF00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color theme="1"/>
      </font>
      <fill>
        <patternFill>
          <bgColor rgb="FFFFFF00"/>
        </patternFill>
      </fill>
    </dxf>
    <dxf>
      <fill>
        <patternFill>
          <bgColor rgb="FFFF0000"/>
        </patternFill>
      </fill>
    </dxf>
    <dxf>
      <font>
        <color theme="1"/>
      </font>
      <fill>
        <patternFill>
          <bgColor rgb="FFFFFF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rgb="FFFF0000"/>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1"/>
      </font>
      <fill>
        <patternFill>
          <bgColor rgb="FFFFFF00"/>
        </patternFill>
      </fill>
    </dxf>
    <dxf>
      <font>
        <color theme="0"/>
      </font>
      <fill>
        <patternFill>
          <bgColor rgb="FFFF0000"/>
        </patternFill>
      </fill>
    </dxf>
    <dxf>
      <font>
        <color auto="1"/>
      </font>
      <fill>
        <patternFill>
          <bgColor rgb="FFFFFF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tint="-0.14996795556505021"/>
      </font>
      <fill>
        <patternFill>
          <bgColor theme="0" tint="-0.14996795556505021"/>
        </patternFill>
      </fill>
    </dxf>
    <dxf>
      <font>
        <color theme="0"/>
      </font>
      <fill>
        <patternFill>
          <bgColor rgb="FFFF0000"/>
        </patternFill>
      </fill>
    </dxf>
    <dxf>
      <font>
        <color theme="0" tint="-0.14996795556505021"/>
      </font>
      <fill>
        <patternFill>
          <bgColor theme="0" tint="-0.14996795556505021"/>
        </patternFill>
      </fill>
    </dxf>
    <dxf>
      <font>
        <color theme="0"/>
      </font>
      <fill>
        <patternFill>
          <bgColor rgb="FFFF0000"/>
        </patternFill>
      </fill>
    </dxf>
    <dxf>
      <font>
        <color theme="0" tint="-0.14996795556505021"/>
      </font>
      <fill>
        <patternFill>
          <bgColor theme="0" tint="-0.14996795556505021"/>
        </patternFill>
      </fill>
    </dxf>
    <dxf>
      <font>
        <color theme="0"/>
      </font>
      <fill>
        <patternFill>
          <bgColor rgb="FFFF0000"/>
        </patternFill>
      </fill>
    </dxf>
    <dxf>
      <font>
        <color theme="0" tint="-0.14996795556505021"/>
      </font>
      <fill>
        <patternFill>
          <bgColor theme="0" tint="-0.14996795556505021"/>
        </patternFill>
      </fill>
    </dxf>
    <dxf>
      <font>
        <color theme="0"/>
      </font>
      <fill>
        <patternFill>
          <bgColor theme="0"/>
        </patternFill>
      </fill>
    </dxf>
    <dxf>
      <font>
        <color theme="0"/>
      </font>
      <fill>
        <patternFill>
          <bgColor rgb="FFFF0000"/>
        </patternFill>
      </fill>
    </dxf>
    <dxf>
      <font>
        <color theme="0" tint="-0.14996795556505021"/>
      </font>
      <fill>
        <patternFill>
          <bgColor theme="0" tint="-0.14996795556505021"/>
        </patternFill>
      </fill>
    </dxf>
    <dxf>
      <font>
        <b/>
        <i val="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0"/>
      </font>
      <fill>
        <patternFill>
          <bgColor rgb="FFFF0000"/>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ill>
        <patternFill>
          <bgColor rgb="FFFF00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tint="-0.14996795556505021"/>
      </font>
      <fill>
        <patternFill>
          <bgColor theme="0" tint="-0.14996795556505021"/>
        </patternFill>
      </fill>
    </dxf>
    <dxf>
      <font>
        <color theme="0"/>
      </font>
      <fill>
        <patternFill>
          <bgColor rgb="FFFF0000"/>
        </patternFill>
      </fill>
    </dxf>
    <dxf>
      <font>
        <color theme="0" tint="-0.14996795556505021"/>
      </font>
      <fill>
        <patternFill>
          <bgColor theme="0" tint="-0.14996795556505021"/>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tint="-0.14996795556505021"/>
      </font>
      <fill>
        <patternFill>
          <bgColor theme="0" tint="-0.14996795556505021"/>
        </patternFill>
      </fill>
    </dxf>
    <dxf>
      <font>
        <color theme="0"/>
      </font>
      <fill>
        <patternFill>
          <bgColor rgb="FFFF0000"/>
        </patternFill>
      </fill>
    </dxf>
    <dxf>
      <font>
        <color theme="0" tint="-0.14996795556505021"/>
      </font>
      <fill>
        <patternFill>
          <bgColor theme="0" tint="-0.14996795556505021"/>
        </patternFill>
      </fill>
    </dxf>
    <dxf>
      <font>
        <color theme="0"/>
      </font>
      <fill>
        <patternFill>
          <bgColor rgb="FFFF0000"/>
        </patternFill>
      </fill>
    </dxf>
    <dxf>
      <font>
        <color theme="0" tint="-0.14996795556505021"/>
      </font>
      <fill>
        <patternFill>
          <bgColor theme="0" tint="-0.14996795556505021"/>
        </patternFill>
      </fill>
    </dxf>
    <dxf>
      <font>
        <color theme="9" tint="0.59996337778862885"/>
      </font>
      <fill>
        <patternFill>
          <bgColor theme="9" tint="0.59996337778862885"/>
        </patternFill>
      </fill>
    </dxf>
    <dxf>
      <font>
        <color theme="0"/>
      </font>
      <fill>
        <patternFill>
          <bgColor rgb="FFFF0000"/>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theme="0"/>
        </patternFill>
      </fill>
    </dxf>
    <dxf>
      <font>
        <color theme="0"/>
      </font>
      <fill>
        <patternFill>
          <bgColor rgb="FFFF0000"/>
        </patternFill>
      </fill>
    </dxf>
    <dxf>
      <font>
        <color theme="0" tint="-0.14996795556505021"/>
      </font>
      <fill>
        <patternFill>
          <bgColor theme="0" tint="-0.14996795556505021"/>
        </patternFill>
      </fill>
    </dxf>
    <dxf>
      <font>
        <color theme="0"/>
      </font>
      <fill>
        <patternFill>
          <bgColor rgb="FFFF0000"/>
        </patternFill>
      </fill>
    </dxf>
    <dxf>
      <font>
        <color theme="0" tint="-0.14996795556505021"/>
      </font>
      <fill>
        <patternFill>
          <bgColor theme="0" tint="-0.14996795556505021"/>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tint="-0.14996795556505021"/>
      </font>
      <fill>
        <patternFill>
          <bgColor theme="0" tint="-0.14996795556505021"/>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border>
        <left style="thin">
          <color rgb="FFC00000"/>
        </left>
        <right style="thin">
          <color rgb="FFC00000"/>
        </right>
        <top style="thin">
          <color rgb="FFC00000"/>
        </top>
        <bottom style="thin">
          <color rgb="FFC00000"/>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b/>
        <i val="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b/>
        <i val="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b/>
        <i val="0"/>
      </font>
      <fill>
        <patternFill>
          <bgColor rgb="FFFF00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color theme="0"/>
      </font>
      <fill>
        <patternFill>
          <bgColor rgb="FFFF0000"/>
        </patternFill>
      </fill>
    </dxf>
    <dxf>
      <font>
        <b/>
        <i val="0"/>
      </font>
      <fill>
        <patternFill>
          <bgColor rgb="FFFF00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9" tint="0.59996337778862885"/>
      </font>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1" tint="0.499984740745262"/>
      </font>
      <fill>
        <patternFill>
          <bgColor theme="1" tint="0.499984740745262"/>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b/>
        <i val="0"/>
        <color theme="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b/>
        <i val="0"/>
        <color theme="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border>
        <left style="thin">
          <color rgb="FFC00000"/>
        </left>
        <right style="thin">
          <color rgb="FFC00000"/>
        </right>
        <top style="thin">
          <color rgb="FFC00000"/>
        </top>
        <bottom style="thin">
          <color rgb="FFC00000"/>
        </bottom>
        <vertical/>
        <horizontal/>
      </border>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b/>
        <i val="0"/>
        <color theme="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border>
        <left style="thin">
          <color rgb="FFC00000"/>
        </left>
        <right style="thin">
          <color rgb="FFC00000"/>
        </right>
        <top style="thin">
          <color rgb="FFC00000"/>
        </top>
        <bottom style="thin">
          <color rgb="FFC00000"/>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dxf>
    <dxf>
      <font>
        <color theme="1"/>
      </font>
      <fill>
        <patternFill>
          <bgColor rgb="FFFFFF00"/>
        </patternFill>
      </fill>
    </dxf>
    <dxf>
      <font>
        <color theme="9" tint="0.59996337778862885"/>
      </font>
      <fill>
        <patternFill>
          <bgColor theme="9" tint="0.59996337778862885"/>
        </patternFill>
      </fill>
    </dxf>
    <dxf>
      <font>
        <color theme="3" tint="0.59996337778862885"/>
      </font>
      <fill>
        <patternFill>
          <bgColor theme="3"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ill>
        <patternFill>
          <bgColor rgb="FFFF00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theme="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dxf>
    <dxf>
      <font>
        <b/>
        <i val="0"/>
        <color theme="1"/>
      </font>
      <fill>
        <patternFill>
          <bgColor rgb="FFFFFF00"/>
        </patternFill>
      </fill>
    </dxf>
    <dxf>
      <font>
        <b/>
        <i val="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1"/>
      </font>
      <fill>
        <patternFill>
          <bgColor rgb="FFFFFF00"/>
        </patternFill>
      </fill>
    </dxf>
    <dxf>
      <font>
        <color theme="1"/>
      </font>
      <fill>
        <patternFill>
          <bgColor rgb="FFFFFF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color theme="1"/>
      </font>
      <fill>
        <patternFill patternType="solid">
          <fgColor rgb="FFFF0000"/>
          <bgColor rgb="FFFFFF00"/>
        </patternFill>
      </fill>
      <border>
        <left style="hair">
          <color rgb="FFC00000"/>
        </left>
        <right style="hair">
          <color rgb="FFC00000"/>
        </right>
        <top style="hair">
          <color rgb="FFC00000"/>
        </top>
        <bottom style="hair">
          <color rgb="FFC00000"/>
        </bottom>
        <vertical/>
        <horizontal/>
      </border>
    </dxf>
    <dxf>
      <font>
        <color theme="0"/>
      </font>
      <fill>
        <patternFill>
          <bgColor rgb="FFFF0000"/>
        </patternFill>
      </fill>
    </dxf>
    <dxf>
      <font>
        <color theme="0"/>
      </font>
      <fill>
        <patternFill>
          <bgColor rgb="FFFF00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b val="0"/>
        <i val="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ill>
        <patternFill>
          <bgColor rgb="FFFF0000"/>
        </patternFill>
      </fill>
    </dxf>
    <dxf>
      <fill>
        <patternFill>
          <bgColor rgb="FFFF0000"/>
        </patternFill>
      </fill>
    </dxf>
    <dxf>
      <font>
        <color theme="0"/>
      </font>
      <fill>
        <patternFill>
          <bgColor rgb="FFFF00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1"/>
      </font>
      <fill>
        <patternFill>
          <bgColor rgb="FFFFFF00"/>
        </patternFill>
      </fill>
    </dxf>
    <dxf>
      <font>
        <color theme="0"/>
      </font>
      <fill>
        <patternFill>
          <bgColor theme="0"/>
        </patternFill>
      </fill>
    </dxf>
    <dxf>
      <font>
        <color theme="1"/>
      </font>
      <fill>
        <patternFill>
          <bgColor rgb="FFFFFF00"/>
        </patternFill>
      </fill>
    </dxf>
    <dxf>
      <font>
        <color theme="0"/>
      </font>
      <fill>
        <patternFill>
          <bgColor theme="0"/>
        </patternFill>
      </fill>
    </dxf>
    <dxf>
      <font>
        <color theme="1"/>
      </font>
      <fill>
        <patternFill>
          <bgColor rgb="FFFFFF00"/>
        </patternFill>
      </fill>
    </dxf>
    <dxf>
      <font>
        <color theme="0"/>
      </font>
      <fill>
        <patternFill>
          <bgColor theme="0"/>
        </patternFill>
      </fill>
    </dxf>
    <dxf>
      <font>
        <color theme="1"/>
      </font>
      <fill>
        <patternFill>
          <bgColor rgb="FFFFFF00"/>
        </patternFill>
      </fill>
    </dxf>
    <dxf>
      <font>
        <color theme="0"/>
      </font>
      <fill>
        <patternFill>
          <bgColor theme="0"/>
        </patternFill>
      </fill>
    </dxf>
    <dxf>
      <font>
        <color theme="1"/>
      </font>
      <fill>
        <patternFill>
          <bgColor rgb="FFFFFF00"/>
        </patternFill>
      </fill>
    </dxf>
    <dxf>
      <font>
        <color theme="0"/>
      </font>
      <fill>
        <patternFill>
          <bgColor theme="0"/>
        </patternFill>
      </fill>
    </dxf>
    <dxf>
      <font>
        <color theme="1"/>
      </font>
      <fill>
        <patternFill>
          <bgColor rgb="FFFFFF00"/>
        </patternFill>
      </fill>
    </dxf>
    <dxf>
      <font>
        <color theme="0"/>
      </font>
      <fill>
        <patternFill>
          <bgColor theme="0"/>
        </patternFill>
      </fill>
    </dxf>
    <dxf>
      <font>
        <color theme="1"/>
      </font>
      <fill>
        <patternFill>
          <bgColor rgb="FFFFFF00"/>
        </patternFill>
      </fill>
    </dxf>
    <dxf>
      <font>
        <color theme="0"/>
      </font>
      <fill>
        <patternFill>
          <bgColor theme="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1"/>
      </font>
      <fill>
        <patternFill>
          <bgColor rgb="FFFFFF00"/>
        </patternFill>
      </fill>
    </dxf>
    <dxf>
      <font>
        <color theme="1"/>
      </font>
      <fill>
        <patternFill>
          <bgColor rgb="FFFFFF00"/>
        </patternFill>
      </fill>
    </dxf>
    <dxf>
      <font>
        <color theme="0"/>
      </font>
      <fill>
        <patternFill>
          <bgColor theme="0"/>
        </patternFill>
      </fill>
    </dxf>
    <dxf>
      <font>
        <color theme="1"/>
      </font>
      <fill>
        <patternFill>
          <bgColor rgb="FFFFFF00"/>
        </patternFill>
      </fill>
    </dxf>
    <dxf>
      <font>
        <color theme="0"/>
      </font>
      <fill>
        <patternFill>
          <bgColor theme="0"/>
        </patternFill>
      </fill>
    </dxf>
    <dxf>
      <font>
        <color theme="1"/>
      </font>
      <fill>
        <patternFill>
          <bgColor rgb="FFFFFF00"/>
        </patternFill>
      </fill>
    </dxf>
    <dxf>
      <font>
        <color theme="0"/>
      </font>
      <fill>
        <patternFill>
          <bgColor theme="0"/>
        </patternFill>
      </fill>
    </dxf>
    <dxf>
      <font>
        <color theme="1"/>
      </font>
      <fill>
        <patternFill>
          <bgColor rgb="FFFFFF00"/>
        </patternFill>
      </fill>
    </dxf>
    <dxf>
      <font>
        <color theme="0"/>
      </font>
      <fill>
        <patternFill>
          <bgColor theme="0"/>
        </patternFill>
      </fill>
    </dxf>
    <dxf>
      <font>
        <color theme="1"/>
      </font>
      <fill>
        <patternFill>
          <bgColor rgb="FFFFFF00"/>
        </patternFill>
      </fill>
    </dxf>
    <dxf>
      <font>
        <color theme="0"/>
      </font>
      <fill>
        <patternFill>
          <bgColor theme="0"/>
        </patternFill>
      </fill>
    </dxf>
    <dxf>
      <font>
        <color theme="1"/>
      </font>
      <fill>
        <patternFill>
          <bgColor rgb="FFFFFF00"/>
        </patternFill>
      </fill>
    </dxf>
    <dxf>
      <font>
        <color theme="0"/>
      </font>
      <fill>
        <patternFill>
          <bgColor theme="0"/>
        </patternFill>
      </fill>
    </dxf>
    <dxf>
      <font>
        <color theme="1"/>
      </font>
      <fill>
        <patternFill>
          <bgColor rgb="FFFFFF00"/>
        </patternFill>
      </fill>
    </dxf>
    <dxf>
      <font>
        <color theme="0"/>
      </font>
      <fill>
        <patternFill>
          <bgColor theme="0"/>
        </patternFill>
      </fill>
    </dxf>
    <dxf>
      <font>
        <color theme="1"/>
      </font>
      <fill>
        <patternFill>
          <bgColor rgb="FFFFFF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rgb="FFFFFF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b/>
        <i val="0"/>
      </font>
      <fill>
        <patternFill>
          <bgColor rgb="FFFF0000"/>
        </patternFill>
      </fill>
      <border>
        <left style="thin">
          <color rgb="FFC00000"/>
        </left>
        <right style="thin">
          <color rgb="FFC00000"/>
        </right>
        <top style="thin">
          <color rgb="FFC00000"/>
        </top>
        <bottom style="thin">
          <color rgb="FFC00000"/>
        </bottom>
        <vertical/>
        <horizontal/>
      </border>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1" tint="0.499984740745262"/>
      </font>
      <fill>
        <patternFill>
          <bgColor theme="1" tint="0.499984740745262"/>
        </patternFill>
      </fill>
    </dxf>
    <dxf>
      <font>
        <color theme="2" tint="-9.9948118533890809E-2"/>
      </font>
      <fill>
        <patternFill>
          <bgColor theme="2"/>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dxf>
    <dxf>
      <font>
        <b/>
        <i val="0"/>
      </font>
      <fill>
        <patternFill>
          <bgColor rgb="FFFFFF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1" tint="0.499984740745262"/>
      </font>
      <fill>
        <patternFill>
          <bgColor theme="1" tint="0.499984740745262"/>
        </patternFill>
      </fill>
    </dxf>
    <dxf>
      <font>
        <color theme="1"/>
      </font>
      <fill>
        <patternFill>
          <bgColor rgb="FFFFFF00"/>
        </patternFill>
      </fill>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0"/>
      </font>
      <fill>
        <patternFill>
          <bgColor theme="0"/>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FF0000"/>
        </patternFill>
      </fill>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tint="-0.14996795556505021"/>
      </font>
      <fill>
        <patternFill>
          <bgColor theme="0" tint="-0.14996795556505021"/>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1" tint="0.499984740745262"/>
      </font>
      <fill>
        <patternFill>
          <bgColor theme="1" tint="0.499984740745262"/>
        </patternFill>
      </fill>
    </dxf>
    <dxf>
      <font>
        <b/>
        <i val="0"/>
        <color theme="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FF00"/>
        </patternFill>
      </fill>
    </dxf>
    <dxf>
      <font>
        <b/>
        <i val="0"/>
      </font>
      <fill>
        <patternFill>
          <bgColor rgb="FFFFFF00"/>
        </patternFill>
      </fill>
    </dxf>
    <dxf>
      <font>
        <b/>
        <i val="0"/>
      </font>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rgb="FFC00000"/>
        </left>
        <right style="thin">
          <color rgb="FFC00000"/>
        </right>
        <top style="thin">
          <color rgb="FFC00000"/>
        </top>
        <bottom style="thin">
          <color rgb="FFC00000"/>
        </bottom>
        <vertical/>
        <horizontal/>
      </border>
    </dxf>
    <dxf>
      <fill>
        <patternFill>
          <bgColor rgb="FFFF0000"/>
        </patternFill>
      </fill>
      <border>
        <left style="thin">
          <color rgb="FFC00000"/>
        </left>
        <right style="thin">
          <color rgb="FFC00000"/>
        </right>
        <top style="thin">
          <color rgb="FFC00000"/>
        </top>
        <bottom style="thin">
          <color rgb="FFC00000"/>
        </bottom>
        <vertical/>
        <horizontal/>
      </border>
    </dxf>
    <dxf>
      <fill>
        <patternFill>
          <bgColor rgb="FFFF0000"/>
        </patternFill>
      </fill>
      <border>
        <left style="thin">
          <color rgb="FFC00000"/>
        </left>
        <right style="thin">
          <color rgb="FFC00000"/>
        </right>
        <top style="thin">
          <color rgb="FFC00000"/>
        </top>
        <bottom style="thin">
          <color rgb="FFC00000"/>
        </bottom>
        <vertical/>
        <horizontal/>
      </border>
    </dxf>
    <dxf>
      <fill>
        <patternFill>
          <bgColor rgb="FFFF0000"/>
        </patternFill>
      </fill>
      <border>
        <left style="thin">
          <color rgb="FFC00000"/>
        </left>
        <right style="thin">
          <color rgb="FFC00000"/>
        </right>
        <top style="thin">
          <color rgb="FFC00000"/>
        </top>
        <bottom style="thin">
          <color rgb="FFC00000"/>
        </bottom>
        <vertical/>
        <horizontal/>
      </border>
    </dxf>
    <dxf>
      <fill>
        <patternFill>
          <bgColor rgb="FFFF0000"/>
        </patternFill>
      </fill>
      <border>
        <left style="thin">
          <color rgb="FFC00000"/>
        </left>
        <right style="thin">
          <color rgb="FFC00000"/>
        </right>
        <top style="thin">
          <color rgb="FFC00000"/>
        </top>
        <bottom style="thin">
          <color rgb="FFC00000"/>
        </bottom>
        <vertical/>
        <horizontal/>
      </border>
    </dxf>
    <dxf>
      <fill>
        <patternFill>
          <bgColor rgb="FFFF0000"/>
        </patternFill>
      </fill>
      <border>
        <left style="thin">
          <color rgb="FFC00000"/>
        </left>
        <right style="thin">
          <color rgb="FFC00000"/>
        </right>
        <top style="thin">
          <color rgb="FFC00000"/>
        </top>
        <bottom style="thin">
          <color rgb="FFC00000"/>
        </bottom>
        <vertical/>
        <horizontal/>
      </border>
    </dxf>
    <dxf>
      <fill>
        <gradientFill degree="90">
          <stop position="0">
            <color rgb="FFFF0000"/>
          </stop>
          <stop position="1">
            <color rgb="FFFF0000"/>
          </stop>
        </gradientFill>
      </fill>
      <border>
        <left style="thin">
          <color rgb="FFC00000"/>
        </left>
        <right style="thin">
          <color rgb="FFC00000"/>
        </right>
        <top style="thin">
          <color rgb="FFC00000"/>
        </top>
        <bottom style="thin">
          <color rgb="FFC00000"/>
        </bottom>
        <vertical/>
        <horizontal/>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ill>
        <gradientFill degree="270">
          <stop position="0">
            <color rgb="FFFF0000"/>
          </stop>
          <stop position="1">
            <color rgb="FFFF0000"/>
          </stop>
        </gradientFill>
      </fill>
      <border>
        <left style="thin">
          <color rgb="FFC00000"/>
        </left>
        <right style="thin">
          <color rgb="FFC00000"/>
        </right>
        <top style="thin">
          <color rgb="FFC00000"/>
        </top>
        <bottom style="thin">
          <color rgb="FFC00000"/>
        </bottom>
        <vertical/>
        <horizontal/>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361"/>
      <tableStyleElement type="headerRow" dxfId="136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180975</xdr:colOff>
      <xdr:row>1</xdr:row>
      <xdr:rowOff>179917</xdr:rowOff>
    </xdr:from>
    <xdr:to>
      <xdr:col>3</xdr:col>
      <xdr:colOff>53974</xdr:colOff>
      <xdr:row>1</xdr:row>
      <xdr:rowOff>876300</xdr:rowOff>
    </xdr:to>
    <xdr:pic>
      <xdr:nvPicPr>
        <xdr:cNvPr id="2" name="Picture 1">
          <a:extLst>
            <a:ext uri="{FF2B5EF4-FFF2-40B4-BE49-F238E27FC236}">
              <a16:creationId xmlns:a16="http://schemas.microsoft.com/office/drawing/2014/main" id="{EC591C3C-3BCB-4D5A-9F40-ADC0DE0A12D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15575" y="179917"/>
          <a:ext cx="952499" cy="696383"/>
        </a:xfrm>
        <a:prstGeom prst="rect">
          <a:avLst/>
        </a:prstGeom>
      </xdr:spPr>
    </xdr:pic>
    <xdr:clientData/>
  </xdr:twoCellAnchor>
  <xdr:twoCellAnchor editAs="oneCell">
    <xdr:from>
      <xdr:col>3</xdr:col>
      <xdr:colOff>235228</xdr:colOff>
      <xdr:row>1</xdr:row>
      <xdr:rowOff>190501</xdr:rowOff>
    </xdr:from>
    <xdr:to>
      <xdr:col>4</xdr:col>
      <xdr:colOff>447674</xdr:colOff>
      <xdr:row>1</xdr:row>
      <xdr:rowOff>933451</xdr:rowOff>
    </xdr:to>
    <xdr:pic>
      <xdr:nvPicPr>
        <xdr:cNvPr id="3" name="Shape 4">
          <a:extLst>
            <a:ext uri="{FF2B5EF4-FFF2-40B4-BE49-F238E27FC236}">
              <a16:creationId xmlns:a16="http://schemas.microsoft.com/office/drawing/2014/main" id="{FE80FF37-4731-430E-BA20-2D9CBE6EF181}"/>
            </a:ext>
          </a:extLst>
        </xdr:cNvPr>
        <xdr:cNvPicPr/>
      </xdr:nvPicPr>
      <xdr:blipFill rotWithShape="1">
        <a:blip xmlns:r="http://schemas.openxmlformats.org/officeDocument/2006/relationships" r:embed="rId2">
          <a:alphaModFix/>
        </a:blip>
        <a:srcRect/>
        <a:stretch/>
      </xdr:blipFill>
      <xdr:spPr>
        <a:xfrm>
          <a:off x="11979554" y="190501"/>
          <a:ext cx="850622" cy="742950"/>
        </a:xfrm>
        <a:prstGeom prst="rect">
          <a:avLst/>
        </a:prstGeom>
        <a:noFill/>
        <a:ln>
          <a:noFill/>
        </a:ln>
      </xdr:spPr>
    </xdr:pic>
    <xdr:clientData/>
  </xdr:twoCellAnchor>
  <xdr:twoCellAnchor editAs="oneCell">
    <xdr:from>
      <xdr:col>6</xdr:col>
      <xdr:colOff>198682</xdr:colOff>
      <xdr:row>1</xdr:row>
      <xdr:rowOff>101602</xdr:rowOff>
    </xdr:from>
    <xdr:to>
      <xdr:col>9</xdr:col>
      <xdr:colOff>123825</xdr:colOff>
      <xdr:row>1</xdr:row>
      <xdr:rowOff>933450</xdr:rowOff>
    </xdr:to>
    <xdr:pic>
      <xdr:nvPicPr>
        <xdr:cNvPr id="4" name="Shape 5">
          <a:extLst>
            <a:ext uri="{FF2B5EF4-FFF2-40B4-BE49-F238E27FC236}">
              <a16:creationId xmlns:a16="http://schemas.microsoft.com/office/drawing/2014/main" id="{26B071F8-9EA2-4570-ABD1-CC2D83C39BAF}"/>
            </a:ext>
          </a:extLst>
        </xdr:cNvPr>
        <xdr:cNvPicPr/>
      </xdr:nvPicPr>
      <xdr:blipFill rotWithShape="1">
        <a:blip xmlns:r="http://schemas.openxmlformats.org/officeDocument/2006/relationships" r:embed="rId3">
          <a:alphaModFix/>
        </a:blip>
        <a:srcRect t="13575" b="20814"/>
        <a:stretch/>
      </xdr:blipFill>
      <xdr:spPr>
        <a:xfrm>
          <a:off x="13438432" y="101602"/>
          <a:ext cx="1553919" cy="831848"/>
        </a:xfrm>
        <a:prstGeom prst="rect">
          <a:avLst/>
        </a:prstGeom>
        <a:noFill/>
        <a:ln>
          <a:noFill/>
        </a:ln>
      </xdr:spPr>
    </xdr:pic>
    <xdr:clientData/>
  </xdr:twoCellAnchor>
  <xdr:twoCellAnchor editAs="oneCell">
    <xdr:from>
      <xdr:col>10</xdr:col>
      <xdr:colOff>409574</xdr:colOff>
      <xdr:row>1</xdr:row>
      <xdr:rowOff>447675</xdr:rowOff>
    </xdr:from>
    <xdr:to>
      <xdr:col>15</xdr:col>
      <xdr:colOff>401393</xdr:colOff>
      <xdr:row>1</xdr:row>
      <xdr:rowOff>829484</xdr:rowOff>
    </xdr:to>
    <xdr:pic>
      <xdr:nvPicPr>
        <xdr:cNvPr id="5" name="Shape 7">
          <a:extLst>
            <a:ext uri="{FF2B5EF4-FFF2-40B4-BE49-F238E27FC236}">
              <a16:creationId xmlns:a16="http://schemas.microsoft.com/office/drawing/2014/main" id="{0EFD81E9-0E08-49F4-9498-88819FBAC9B5}"/>
            </a:ext>
          </a:extLst>
        </xdr:cNvPr>
        <xdr:cNvPicPr/>
      </xdr:nvPicPr>
      <xdr:blipFill rotWithShape="1">
        <a:blip xmlns:r="http://schemas.openxmlformats.org/officeDocument/2006/relationships" r:embed="rId4">
          <a:alphaModFix/>
        </a:blip>
        <a:srcRect/>
        <a:stretch/>
      </xdr:blipFill>
      <xdr:spPr>
        <a:xfrm>
          <a:off x="15821024" y="447675"/>
          <a:ext cx="2706445" cy="381809"/>
        </a:xfrm>
        <a:prstGeom prst="rect">
          <a:avLst/>
        </a:prstGeom>
        <a:noFill/>
        <a:ln>
          <a:noFill/>
        </a:ln>
      </xdr:spPr>
    </xdr:pic>
    <xdr:clientData/>
  </xdr:twoCellAnchor>
  <xdr:twoCellAnchor editAs="oneCell">
    <xdr:from>
      <xdr:col>17</xdr:col>
      <xdr:colOff>205316</xdr:colOff>
      <xdr:row>1</xdr:row>
      <xdr:rowOff>170392</xdr:rowOff>
    </xdr:from>
    <xdr:to>
      <xdr:col>22</xdr:col>
      <xdr:colOff>1361</xdr:colOff>
      <xdr:row>1</xdr:row>
      <xdr:rowOff>942975</xdr:rowOff>
    </xdr:to>
    <xdr:pic>
      <xdr:nvPicPr>
        <xdr:cNvPr id="6" name="Shape 8">
          <a:extLst>
            <a:ext uri="{FF2B5EF4-FFF2-40B4-BE49-F238E27FC236}">
              <a16:creationId xmlns:a16="http://schemas.microsoft.com/office/drawing/2014/main" id="{7532368D-E47A-4675-B0B1-9A439F8F0594}"/>
            </a:ext>
          </a:extLst>
        </xdr:cNvPr>
        <xdr:cNvPicPr/>
      </xdr:nvPicPr>
      <xdr:blipFill rotWithShape="1">
        <a:blip xmlns:r="http://schemas.openxmlformats.org/officeDocument/2006/relationships" r:embed="rId5">
          <a:alphaModFix/>
        </a:blip>
        <a:srcRect b="17423"/>
        <a:stretch/>
      </xdr:blipFill>
      <xdr:spPr>
        <a:xfrm>
          <a:off x="19417242" y="170392"/>
          <a:ext cx="2499784" cy="772583"/>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CFF9D-A4EB-41E4-97D7-4EE894F5F63D}">
  <dimension ref="B1:H313"/>
  <sheetViews>
    <sheetView showGridLines="0" zoomScale="90" zoomScaleNormal="90" workbookViewId="0">
      <pane xSplit="4" ySplit="3" topLeftCell="E7" activePane="bottomRight" state="frozen"/>
      <selection pane="topRight" activeCell="E1" sqref="E1"/>
      <selection pane="bottomLeft" activeCell="A4" sqref="A4"/>
      <selection pane="bottomRight" activeCell="E26" sqref="E26"/>
    </sheetView>
  </sheetViews>
  <sheetFormatPr defaultColWidth="39.140625" defaultRowHeight="15" x14ac:dyDescent="0.25"/>
  <cols>
    <col min="1" max="1" width="2.5703125" customWidth="1"/>
    <col min="2" max="2" width="23.140625" customWidth="1"/>
    <col min="3" max="3" width="26.28515625" customWidth="1"/>
    <col min="4" max="4" width="39.140625" style="1072"/>
    <col min="5" max="5" width="42.42578125" customWidth="1"/>
    <col min="6" max="6" width="12" style="1071" bestFit="1" customWidth="1"/>
    <col min="7" max="7" width="58.140625" style="1070" customWidth="1"/>
    <col min="8" max="8" width="64.85546875" style="1070" customWidth="1"/>
  </cols>
  <sheetData>
    <row r="1" spans="2:8" ht="15.75" thickBot="1" x14ac:dyDescent="0.3"/>
    <row r="2" spans="2:8" ht="34.5" customHeight="1" x14ac:dyDescent="0.25">
      <c r="B2" s="1076" t="s">
        <v>975</v>
      </c>
      <c r="C2" s="1077"/>
      <c r="D2" s="1077"/>
      <c r="E2" s="1077"/>
      <c r="F2" s="1077"/>
      <c r="G2" s="1077"/>
      <c r="H2" s="1078"/>
    </row>
    <row r="3" spans="2:8" ht="21.75" customHeight="1" x14ac:dyDescent="0.25">
      <c r="B3" s="1079" t="s">
        <v>733</v>
      </c>
      <c r="C3" s="1080" t="s">
        <v>734</v>
      </c>
      <c r="D3" s="1080" t="s">
        <v>18</v>
      </c>
      <c r="E3" s="1080" t="s">
        <v>123</v>
      </c>
      <c r="F3" s="1081" t="s">
        <v>122</v>
      </c>
      <c r="G3" s="1080" t="s">
        <v>17</v>
      </c>
      <c r="H3" s="1082" t="s">
        <v>50</v>
      </c>
    </row>
    <row r="4" spans="2:8" s="698" customFormat="1" ht="86.25" x14ac:dyDescent="0.3">
      <c r="B4" s="1083" t="s">
        <v>12</v>
      </c>
      <c r="C4" s="1084" t="s">
        <v>12</v>
      </c>
      <c r="D4" s="1084" t="s">
        <v>585</v>
      </c>
      <c r="E4" s="1085" t="s">
        <v>362</v>
      </c>
      <c r="F4" s="1086" t="s">
        <v>54</v>
      </c>
      <c r="G4" s="1084" t="s">
        <v>771</v>
      </c>
      <c r="H4" s="1087" t="s">
        <v>268</v>
      </c>
    </row>
    <row r="5" spans="2:8" s="698" customFormat="1" ht="69" x14ac:dyDescent="0.3">
      <c r="B5" s="1083" t="s">
        <v>12</v>
      </c>
      <c r="C5" s="1084" t="s">
        <v>12</v>
      </c>
      <c r="D5" s="1084" t="s">
        <v>585</v>
      </c>
      <c r="E5" s="1085" t="s">
        <v>363</v>
      </c>
      <c r="F5" s="1086" t="s">
        <v>55</v>
      </c>
      <c r="G5" s="1084" t="s">
        <v>772</v>
      </c>
      <c r="H5" s="1087" t="s">
        <v>773</v>
      </c>
    </row>
    <row r="6" spans="2:8" s="698" customFormat="1" ht="69" x14ac:dyDescent="0.3">
      <c r="B6" s="1083" t="s">
        <v>12</v>
      </c>
      <c r="C6" s="1084" t="s">
        <v>12</v>
      </c>
      <c r="D6" s="1084" t="s">
        <v>585</v>
      </c>
      <c r="E6" s="1085" t="s">
        <v>56</v>
      </c>
      <c r="F6" s="1086" t="s">
        <v>124</v>
      </c>
      <c r="G6" s="1084" t="s">
        <v>774</v>
      </c>
      <c r="H6" s="1087" t="s">
        <v>775</v>
      </c>
    </row>
    <row r="7" spans="2:8" s="700" customFormat="1" ht="34.5" x14ac:dyDescent="0.25">
      <c r="B7" s="1083" t="s">
        <v>12</v>
      </c>
      <c r="C7" s="1084" t="s">
        <v>12</v>
      </c>
      <c r="D7" s="1084" t="s">
        <v>585</v>
      </c>
      <c r="E7" s="1085" t="s">
        <v>57</v>
      </c>
      <c r="F7" s="1086" t="s">
        <v>58</v>
      </c>
      <c r="G7" s="1084" t="s">
        <v>19</v>
      </c>
      <c r="H7" s="1087" t="s">
        <v>776</v>
      </c>
    </row>
    <row r="8" spans="2:8" s="700" customFormat="1" ht="51.75" x14ac:dyDescent="0.25">
      <c r="B8" s="1083" t="s">
        <v>12</v>
      </c>
      <c r="C8" s="1084" t="s">
        <v>12</v>
      </c>
      <c r="D8" s="1084" t="s">
        <v>585</v>
      </c>
      <c r="E8" s="1085" t="s">
        <v>370</v>
      </c>
      <c r="F8" s="1086" t="s">
        <v>369</v>
      </c>
      <c r="G8" s="1084" t="s">
        <v>777</v>
      </c>
      <c r="H8" s="1087" t="s">
        <v>776</v>
      </c>
    </row>
    <row r="9" spans="2:8" s="700" customFormat="1" ht="34.5" x14ac:dyDescent="0.25">
      <c r="B9" s="1083" t="s">
        <v>12</v>
      </c>
      <c r="C9" s="1084" t="s">
        <v>12</v>
      </c>
      <c r="D9" s="1084" t="s">
        <v>585</v>
      </c>
      <c r="E9" s="1085" t="s">
        <v>63</v>
      </c>
      <c r="F9" s="1086" t="s">
        <v>59</v>
      </c>
      <c r="G9" s="1084" t="s">
        <v>778</v>
      </c>
      <c r="H9" s="1087" t="s">
        <v>779</v>
      </c>
    </row>
    <row r="10" spans="2:8" s="700" customFormat="1" ht="34.5" x14ac:dyDescent="0.25">
      <c r="B10" s="1083" t="s">
        <v>12</v>
      </c>
      <c r="C10" s="1084" t="s">
        <v>12</v>
      </c>
      <c r="D10" s="1084" t="s">
        <v>585</v>
      </c>
      <c r="E10" s="1085" t="s">
        <v>61</v>
      </c>
      <c r="F10" s="1086" t="s">
        <v>60</v>
      </c>
      <c r="G10" s="1084" t="s">
        <v>780</v>
      </c>
      <c r="H10" s="1087" t="s">
        <v>781</v>
      </c>
    </row>
    <row r="11" spans="2:8" s="700" customFormat="1" ht="34.5" x14ac:dyDescent="0.25">
      <c r="B11" s="1083" t="s">
        <v>12</v>
      </c>
      <c r="C11" s="1084" t="s">
        <v>12</v>
      </c>
      <c r="D11" s="1084" t="s">
        <v>585</v>
      </c>
      <c r="E11" s="1085" t="s">
        <v>389</v>
      </c>
      <c r="F11" s="1086" t="s">
        <v>371</v>
      </c>
      <c r="G11" s="1084" t="s">
        <v>567</v>
      </c>
      <c r="H11" s="1087" t="s">
        <v>782</v>
      </c>
    </row>
    <row r="12" spans="2:8" s="700" customFormat="1" ht="34.5" x14ac:dyDescent="0.25">
      <c r="B12" s="1083" t="s">
        <v>12</v>
      </c>
      <c r="C12" s="1084" t="s">
        <v>12</v>
      </c>
      <c r="D12" s="1084" t="s">
        <v>585</v>
      </c>
      <c r="E12" s="1085" t="s">
        <v>373</v>
      </c>
      <c r="F12" s="1086" t="s">
        <v>372</v>
      </c>
      <c r="G12" s="1084" t="s">
        <v>568</v>
      </c>
      <c r="H12" s="1087" t="s">
        <v>782</v>
      </c>
    </row>
    <row r="13" spans="2:8" s="700" customFormat="1" ht="34.5" x14ac:dyDescent="0.25">
      <c r="B13" s="1083" t="s">
        <v>12</v>
      </c>
      <c r="C13" s="1084" t="s">
        <v>12</v>
      </c>
      <c r="D13" s="1084" t="s">
        <v>585</v>
      </c>
      <c r="E13" s="1085" t="s">
        <v>375</v>
      </c>
      <c r="F13" s="1086" t="s">
        <v>374</v>
      </c>
      <c r="G13" s="1084" t="s">
        <v>569</v>
      </c>
      <c r="H13" s="1087" t="s">
        <v>782</v>
      </c>
    </row>
    <row r="14" spans="2:8" s="700" customFormat="1" ht="34.5" x14ac:dyDescent="0.25">
      <c r="B14" s="1083" t="s">
        <v>12</v>
      </c>
      <c r="C14" s="1084" t="s">
        <v>12</v>
      </c>
      <c r="D14" s="1084" t="s">
        <v>585</v>
      </c>
      <c r="E14" s="1085" t="s">
        <v>377</v>
      </c>
      <c r="F14" s="1086" t="s">
        <v>376</v>
      </c>
      <c r="G14" s="1084" t="s">
        <v>783</v>
      </c>
      <c r="H14" s="1087"/>
    </row>
    <row r="15" spans="2:8" s="700" customFormat="1" ht="34.5" x14ac:dyDescent="0.25">
      <c r="B15" s="1083" t="s">
        <v>12</v>
      </c>
      <c r="C15" s="1084" t="s">
        <v>12</v>
      </c>
      <c r="D15" s="1084" t="s">
        <v>585</v>
      </c>
      <c r="E15" s="1085" t="s">
        <v>278</v>
      </c>
      <c r="F15" s="1086" t="s">
        <v>556</v>
      </c>
      <c r="G15" s="1084" t="s">
        <v>784</v>
      </c>
      <c r="H15" s="1087" t="s">
        <v>781</v>
      </c>
    </row>
    <row r="16" spans="2:8" s="700" customFormat="1" ht="51.75" x14ac:dyDescent="0.25">
      <c r="B16" s="1083" t="s">
        <v>12</v>
      </c>
      <c r="C16" s="1084" t="s">
        <v>12</v>
      </c>
      <c r="D16" s="1084" t="s">
        <v>585</v>
      </c>
      <c r="E16" s="1085" t="s">
        <v>563</v>
      </c>
      <c r="F16" s="1086" t="s">
        <v>555</v>
      </c>
      <c r="G16" s="1084" t="s">
        <v>785</v>
      </c>
      <c r="H16" s="1087" t="s">
        <v>786</v>
      </c>
    </row>
    <row r="17" spans="2:8" s="700" customFormat="1" ht="51.75" x14ac:dyDescent="0.25">
      <c r="B17" s="1083" t="s">
        <v>12</v>
      </c>
      <c r="C17" s="1084" t="s">
        <v>12</v>
      </c>
      <c r="D17" s="1084" t="s">
        <v>586</v>
      </c>
      <c r="E17" s="1085" t="s">
        <v>63</v>
      </c>
      <c r="F17" s="1086" t="s">
        <v>62</v>
      </c>
      <c r="G17" s="1084" t="s">
        <v>787</v>
      </c>
      <c r="H17" s="1087" t="s">
        <v>788</v>
      </c>
    </row>
    <row r="18" spans="2:8" s="700" customFormat="1" ht="51.75" x14ac:dyDescent="0.25">
      <c r="B18" s="1083" t="s">
        <v>12</v>
      </c>
      <c r="C18" s="1084" t="s">
        <v>12</v>
      </c>
      <c r="D18" s="1084" t="s">
        <v>586</v>
      </c>
      <c r="E18" s="1085" t="s">
        <v>61</v>
      </c>
      <c r="F18" s="1086" t="s">
        <v>64</v>
      </c>
      <c r="G18" s="1084" t="s">
        <v>36</v>
      </c>
      <c r="H18" s="1087" t="s">
        <v>788</v>
      </c>
    </row>
    <row r="19" spans="2:8" s="700" customFormat="1" ht="34.5" x14ac:dyDescent="0.25">
      <c r="B19" s="1083" t="s">
        <v>12</v>
      </c>
      <c r="C19" s="1084" t="s">
        <v>12</v>
      </c>
      <c r="D19" s="1084" t="s">
        <v>586</v>
      </c>
      <c r="E19" s="1085" t="s">
        <v>389</v>
      </c>
      <c r="F19" s="1086" t="s">
        <v>378</v>
      </c>
      <c r="G19" s="1084" t="s">
        <v>567</v>
      </c>
      <c r="H19" s="1087" t="s">
        <v>789</v>
      </c>
    </row>
    <row r="20" spans="2:8" s="700" customFormat="1" ht="34.5" x14ac:dyDescent="0.25">
      <c r="B20" s="1083" t="s">
        <v>12</v>
      </c>
      <c r="C20" s="1084" t="s">
        <v>12</v>
      </c>
      <c r="D20" s="1084" t="s">
        <v>586</v>
      </c>
      <c r="E20" s="1085" t="s">
        <v>373</v>
      </c>
      <c r="F20" s="1086" t="s">
        <v>379</v>
      </c>
      <c r="G20" s="1084" t="s">
        <v>568</v>
      </c>
      <c r="H20" s="1087" t="s">
        <v>789</v>
      </c>
    </row>
    <row r="21" spans="2:8" s="700" customFormat="1" ht="34.5" x14ac:dyDescent="0.25">
      <c r="B21" s="1083" t="s">
        <v>12</v>
      </c>
      <c r="C21" s="1084" t="s">
        <v>12</v>
      </c>
      <c r="D21" s="1084" t="s">
        <v>586</v>
      </c>
      <c r="E21" s="1085" t="s">
        <v>375</v>
      </c>
      <c r="F21" s="1086" t="s">
        <v>380</v>
      </c>
      <c r="G21" s="1084" t="s">
        <v>569</v>
      </c>
      <c r="H21" s="1087" t="s">
        <v>789</v>
      </c>
    </row>
    <row r="22" spans="2:8" s="700" customFormat="1" ht="18.75" x14ac:dyDescent="0.25">
      <c r="B22" s="1083" t="s">
        <v>12</v>
      </c>
      <c r="C22" s="1084" t="s">
        <v>12</v>
      </c>
      <c r="D22" s="1084" t="s">
        <v>586</v>
      </c>
      <c r="E22" s="1085" t="s">
        <v>377</v>
      </c>
      <c r="F22" s="1086" t="s">
        <v>381</v>
      </c>
      <c r="G22" s="1084" t="s">
        <v>570</v>
      </c>
      <c r="H22" s="1087"/>
    </row>
    <row r="23" spans="2:8" s="700" customFormat="1" ht="34.5" x14ac:dyDescent="0.25">
      <c r="B23" s="1083" t="s">
        <v>12</v>
      </c>
      <c r="C23" s="1084" t="s">
        <v>12</v>
      </c>
      <c r="D23" s="1084" t="s">
        <v>587</v>
      </c>
      <c r="E23" s="1085" t="s">
        <v>63</v>
      </c>
      <c r="F23" s="1086" t="s">
        <v>65</v>
      </c>
      <c r="G23" s="1084" t="s">
        <v>30</v>
      </c>
      <c r="H23" s="1087" t="s">
        <v>788</v>
      </c>
    </row>
    <row r="24" spans="2:8" s="700" customFormat="1" ht="51.75" x14ac:dyDescent="0.25">
      <c r="B24" s="1083" t="s">
        <v>12</v>
      </c>
      <c r="C24" s="1084" t="s">
        <v>12</v>
      </c>
      <c r="D24" s="1084" t="s">
        <v>587</v>
      </c>
      <c r="E24" s="1085" t="s">
        <v>61</v>
      </c>
      <c r="F24" s="1086" t="s">
        <v>66</v>
      </c>
      <c r="G24" s="1084" t="s">
        <v>37</v>
      </c>
      <c r="H24" s="1087" t="s">
        <v>788</v>
      </c>
    </row>
    <row r="25" spans="2:8" s="700" customFormat="1" ht="34.5" x14ac:dyDescent="0.25">
      <c r="B25" s="1083" t="s">
        <v>12</v>
      </c>
      <c r="C25" s="1084" t="s">
        <v>12</v>
      </c>
      <c r="D25" s="1084" t="s">
        <v>587</v>
      </c>
      <c r="E25" s="1085" t="s">
        <v>389</v>
      </c>
      <c r="F25" s="1086" t="s">
        <v>382</v>
      </c>
      <c r="G25" s="1084" t="s">
        <v>567</v>
      </c>
      <c r="H25" s="1087" t="s">
        <v>789</v>
      </c>
    </row>
    <row r="26" spans="2:8" s="700" customFormat="1" ht="34.5" x14ac:dyDescent="0.25">
      <c r="B26" s="1083" t="s">
        <v>12</v>
      </c>
      <c r="C26" s="1084" t="s">
        <v>12</v>
      </c>
      <c r="D26" s="1084" t="s">
        <v>587</v>
      </c>
      <c r="E26" s="1085" t="s">
        <v>373</v>
      </c>
      <c r="F26" s="1086" t="s">
        <v>383</v>
      </c>
      <c r="G26" s="1084" t="s">
        <v>568</v>
      </c>
      <c r="H26" s="1087" t="s">
        <v>789</v>
      </c>
    </row>
    <row r="27" spans="2:8" s="700" customFormat="1" ht="34.5" x14ac:dyDescent="0.25">
      <c r="B27" s="1083" t="s">
        <v>12</v>
      </c>
      <c r="C27" s="1084" t="s">
        <v>12</v>
      </c>
      <c r="D27" s="1084" t="s">
        <v>587</v>
      </c>
      <c r="E27" s="1085" t="s">
        <v>375</v>
      </c>
      <c r="F27" s="1086" t="s">
        <v>384</v>
      </c>
      <c r="G27" s="1084" t="s">
        <v>569</v>
      </c>
      <c r="H27" s="1087" t="s">
        <v>789</v>
      </c>
    </row>
    <row r="28" spans="2:8" s="700" customFormat="1" ht="18.75" x14ac:dyDescent="0.25">
      <c r="B28" s="1083" t="s">
        <v>12</v>
      </c>
      <c r="C28" s="1084" t="s">
        <v>12</v>
      </c>
      <c r="D28" s="1084" t="s">
        <v>587</v>
      </c>
      <c r="E28" s="1085" t="s">
        <v>377</v>
      </c>
      <c r="F28" s="1086" t="s">
        <v>385</v>
      </c>
      <c r="G28" s="1084" t="s">
        <v>571</v>
      </c>
      <c r="H28" s="1087"/>
    </row>
    <row r="29" spans="2:8" s="698" customFormat="1" ht="51.75" x14ac:dyDescent="0.3">
      <c r="B29" s="1083" t="s">
        <v>12</v>
      </c>
      <c r="C29" s="1084" t="s">
        <v>12</v>
      </c>
      <c r="D29" s="1084" t="s">
        <v>588</v>
      </c>
      <c r="E29" s="1085" t="s">
        <v>63</v>
      </c>
      <c r="F29" s="1086" t="s">
        <v>67</v>
      </c>
      <c r="G29" s="1084" t="s">
        <v>31</v>
      </c>
      <c r="H29" s="1087" t="s">
        <v>788</v>
      </c>
    </row>
    <row r="30" spans="2:8" s="698" customFormat="1" ht="51.75" x14ac:dyDescent="0.3">
      <c r="B30" s="1083" t="s">
        <v>12</v>
      </c>
      <c r="C30" s="1084" t="s">
        <v>12</v>
      </c>
      <c r="D30" s="1084" t="s">
        <v>588</v>
      </c>
      <c r="E30" s="1085" t="s">
        <v>61</v>
      </c>
      <c r="F30" s="1086" t="s">
        <v>68</v>
      </c>
      <c r="G30" s="1084" t="s">
        <v>38</v>
      </c>
      <c r="H30" s="1087" t="s">
        <v>788</v>
      </c>
    </row>
    <row r="31" spans="2:8" s="698" customFormat="1" ht="34.5" x14ac:dyDescent="0.3">
      <c r="B31" s="1083" t="s">
        <v>12</v>
      </c>
      <c r="C31" s="1084" t="s">
        <v>12</v>
      </c>
      <c r="D31" s="1084" t="s">
        <v>588</v>
      </c>
      <c r="E31" s="1085" t="s">
        <v>389</v>
      </c>
      <c r="F31" s="1086" t="s">
        <v>386</v>
      </c>
      <c r="G31" s="1084" t="s">
        <v>567</v>
      </c>
      <c r="H31" s="1087" t="s">
        <v>789</v>
      </c>
    </row>
    <row r="32" spans="2:8" s="698" customFormat="1" ht="34.5" x14ac:dyDescent="0.3">
      <c r="B32" s="1083" t="s">
        <v>12</v>
      </c>
      <c r="C32" s="1084" t="s">
        <v>12</v>
      </c>
      <c r="D32" s="1084" t="s">
        <v>588</v>
      </c>
      <c r="E32" s="1085" t="s">
        <v>373</v>
      </c>
      <c r="F32" s="1086" t="s">
        <v>387</v>
      </c>
      <c r="G32" s="1084" t="s">
        <v>568</v>
      </c>
      <c r="H32" s="1087" t="s">
        <v>789</v>
      </c>
    </row>
    <row r="33" spans="2:8" s="698" customFormat="1" ht="34.5" x14ac:dyDescent="0.3">
      <c r="B33" s="1083" t="s">
        <v>12</v>
      </c>
      <c r="C33" s="1084" t="s">
        <v>12</v>
      </c>
      <c r="D33" s="1084" t="s">
        <v>588</v>
      </c>
      <c r="E33" s="1085" t="s">
        <v>375</v>
      </c>
      <c r="F33" s="1086" t="s">
        <v>388</v>
      </c>
      <c r="G33" s="1084" t="s">
        <v>569</v>
      </c>
      <c r="H33" s="1087" t="s">
        <v>789</v>
      </c>
    </row>
    <row r="34" spans="2:8" s="698" customFormat="1" ht="34.5" x14ac:dyDescent="0.3">
      <c r="B34" s="1083" t="s">
        <v>12</v>
      </c>
      <c r="C34" s="1084" t="s">
        <v>12</v>
      </c>
      <c r="D34" s="1084" t="s">
        <v>588</v>
      </c>
      <c r="E34" s="1085" t="s">
        <v>377</v>
      </c>
      <c r="F34" s="1086" t="s">
        <v>390</v>
      </c>
      <c r="G34" s="1084" t="s">
        <v>572</v>
      </c>
      <c r="H34" s="1087"/>
    </row>
    <row r="35" spans="2:8" s="698" customFormat="1" ht="34.5" x14ac:dyDescent="0.3">
      <c r="B35" s="1083" t="s">
        <v>12</v>
      </c>
      <c r="C35" s="1084" t="s">
        <v>12</v>
      </c>
      <c r="D35" s="1084" t="s">
        <v>676</v>
      </c>
      <c r="E35" s="1085" t="s">
        <v>63</v>
      </c>
      <c r="F35" s="1086" t="s">
        <v>69</v>
      </c>
      <c r="G35" s="1084" t="s">
        <v>32</v>
      </c>
      <c r="H35" s="1087" t="s">
        <v>788</v>
      </c>
    </row>
    <row r="36" spans="2:8" s="698" customFormat="1" ht="34.5" x14ac:dyDescent="0.3">
      <c r="B36" s="1083" t="s">
        <v>12</v>
      </c>
      <c r="C36" s="1084" t="s">
        <v>12</v>
      </c>
      <c r="D36" s="1084" t="s">
        <v>676</v>
      </c>
      <c r="E36" s="1085" t="s">
        <v>61</v>
      </c>
      <c r="F36" s="1086" t="s">
        <v>70</v>
      </c>
      <c r="G36" s="1084" t="s">
        <v>39</v>
      </c>
      <c r="H36" s="1087" t="s">
        <v>788</v>
      </c>
    </row>
    <row r="37" spans="2:8" s="698" customFormat="1" ht="34.5" x14ac:dyDescent="0.3">
      <c r="B37" s="1083" t="s">
        <v>12</v>
      </c>
      <c r="C37" s="1084" t="s">
        <v>12</v>
      </c>
      <c r="D37" s="1084" t="s">
        <v>676</v>
      </c>
      <c r="E37" s="1085" t="s">
        <v>389</v>
      </c>
      <c r="F37" s="1086" t="s">
        <v>391</v>
      </c>
      <c r="G37" s="1084" t="s">
        <v>567</v>
      </c>
      <c r="H37" s="1087" t="s">
        <v>789</v>
      </c>
    </row>
    <row r="38" spans="2:8" s="698" customFormat="1" ht="34.5" x14ac:dyDescent="0.3">
      <c r="B38" s="1083" t="s">
        <v>12</v>
      </c>
      <c r="C38" s="1084" t="s">
        <v>12</v>
      </c>
      <c r="D38" s="1084" t="s">
        <v>676</v>
      </c>
      <c r="E38" s="1085" t="s">
        <v>373</v>
      </c>
      <c r="F38" s="1086" t="s">
        <v>392</v>
      </c>
      <c r="G38" s="1084" t="s">
        <v>568</v>
      </c>
      <c r="H38" s="1087" t="s">
        <v>789</v>
      </c>
    </row>
    <row r="39" spans="2:8" s="698" customFormat="1" ht="34.5" x14ac:dyDescent="0.3">
      <c r="B39" s="1083" t="s">
        <v>12</v>
      </c>
      <c r="C39" s="1084" t="s">
        <v>12</v>
      </c>
      <c r="D39" s="1084" t="s">
        <v>676</v>
      </c>
      <c r="E39" s="1085" t="s">
        <v>375</v>
      </c>
      <c r="F39" s="1086" t="s">
        <v>393</v>
      </c>
      <c r="G39" s="1084" t="s">
        <v>569</v>
      </c>
      <c r="H39" s="1087" t="s">
        <v>789</v>
      </c>
    </row>
    <row r="40" spans="2:8" s="698" customFormat="1" ht="34.5" x14ac:dyDescent="0.3">
      <c r="B40" s="1083" t="s">
        <v>12</v>
      </c>
      <c r="C40" s="1084" t="s">
        <v>12</v>
      </c>
      <c r="D40" s="1084" t="s">
        <v>676</v>
      </c>
      <c r="E40" s="1085" t="s">
        <v>377</v>
      </c>
      <c r="F40" s="1086" t="s">
        <v>394</v>
      </c>
      <c r="G40" s="1084" t="s">
        <v>573</v>
      </c>
      <c r="H40" s="1087"/>
    </row>
    <row r="41" spans="2:8" s="698" customFormat="1" ht="34.5" x14ac:dyDescent="0.3">
      <c r="B41" s="1083" t="s">
        <v>12</v>
      </c>
      <c r="C41" s="1084" t="s">
        <v>12</v>
      </c>
      <c r="D41" s="1084" t="s">
        <v>589</v>
      </c>
      <c r="E41" s="1085" t="s">
        <v>63</v>
      </c>
      <c r="F41" s="1086" t="s">
        <v>71</v>
      </c>
      <c r="G41" s="1084" t="s">
        <v>33</v>
      </c>
      <c r="H41" s="1087" t="s">
        <v>788</v>
      </c>
    </row>
    <row r="42" spans="2:8" s="698" customFormat="1" ht="34.5" x14ac:dyDescent="0.3">
      <c r="B42" s="1083" t="s">
        <v>12</v>
      </c>
      <c r="C42" s="1084" t="s">
        <v>12</v>
      </c>
      <c r="D42" s="1084" t="s">
        <v>589</v>
      </c>
      <c r="E42" s="1085" t="s">
        <v>61</v>
      </c>
      <c r="F42" s="1086" t="s">
        <v>72</v>
      </c>
      <c r="G42" s="1084" t="s">
        <v>40</v>
      </c>
      <c r="H42" s="1087" t="s">
        <v>788</v>
      </c>
    </row>
    <row r="43" spans="2:8" s="698" customFormat="1" ht="34.5" x14ac:dyDescent="0.3">
      <c r="B43" s="1083" t="s">
        <v>12</v>
      </c>
      <c r="C43" s="1084" t="s">
        <v>12</v>
      </c>
      <c r="D43" s="1084" t="s">
        <v>589</v>
      </c>
      <c r="E43" s="1085" t="s">
        <v>389</v>
      </c>
      <c r="F43" s="1086" t="s">
        <v>395</v>
      </c>
      <c r="G43" s="1084" t="s">
        <v>567</v>
      </c>
      <c r="H43" s="1087" t="s">
        <v>789</v>
      </c>
    </row>
    <row r="44" spans="2:8" s="698" customFormat="1" ht="34.5" x14ac:dyDescent="0.3">
      <c r="B44" s="1083" t="s">
        <v>12</v>
      </c>
      <c r="C44" s="1084" t="s">
        <v>12</v>
      </c>
      <c r="D44" s="1084" t="s">
        <v>589</v>
      </c>
      <c r="E44" s="1085" t="s">
        <v>373</v>
      </c>
      <c r="F44" s="1086" t="s">
        <v>396</v>
      </c>
      <c r="G44" s="1084" t="s">
        <v>568</v>
      </c>
      <c r="H44" s="1087" t="s">
        <v>789</v>
      </c>
    </row>
    <row r="45" spans="2:8" s="698" customFormat="1" ht="34.5" x14ac:dyDescent="0.3">
      <c r="B45" s="1083" t="s">
        <v>12</v>
      </c>
      <c r="C45" s="1084" t="s">
        <v>12</v>
      </c>
      <c r="D45" s="1084" t="s">
        <v>589</v>
      </c>
      <c r="E45" s="1085" t="s">
        <v>375</v>
      </c>
      <c r="F45" s="1086" t="s">
        <v>397</v>
      </c>
      <c r="G45" s="1084" t="s">
        <v>569</v>
      </c>
      <c r="H45" s="1087" t="s">
        <v>789</v>
      </c>
    </row>
    <row r="46" spans="2:8" s="698" customFormat="1" ht="18.75" x14ac:dyDescent="0.3">
      <c r="B46" s="1083" t="s">
        <v>12</v>
      </c>
      <c r="C46" s="1084" t="s">
        <v>12</v>
      </c>
      <c r="D46" s="1084" t="s">
        <v>589</v>
      </c>
      <c r="E46" s="1085" t="s">
        <v>377</v>
      </c>
      <c r="F46" s="1086" t="s">
        <v>398</v>
      </c>
      <c r="G46" s="1084" t="s">
        <v>574</v>
      </c>
      <c r="H46" s="1087"/>
    </row>
    <row r="47" spans="2:8" s="698" customFormat="1" ht="34.5" x14ac:dyDescent="0.3">
      <c r="B47" s="1083" t="s">
        <v>12</v>
      </c>
      <c r="C47" s="1084" t="s">
        <v>12</v>
      </c>
      <c r="D47" s="1084" t="s">
        <v>790</v>
      </c>
      <c r="E47" s="1085" t="s">
        <v>63</v>
      </c>
      <c r="F47" s="1086" t="s">
        <v>125</v>
      </c>
      <c r="G47" s="1084" t="s">
        <v>791</v>
      </c>
      <c r="H47" s="1087"/>
    </row>
    <row r="48" spans="2:8" s="698" customFormat="1" ht="34.5" x14ac:dyDescent="0.3">
      <c r="B48" s="1083" t="s">
        <v>12</v>
      </c>
      <c r="C48" s="1084" t="s">
        <v>12</v>
      </c>
      <c r="D48" s="1084" t="s">
        <v>790</v>
      </c>
      <c r="E48" s="1085" t="s">
        <v>61</v>
      </c>
      <c r="F48" s="1086" t="s">
        <v>73</v>
      </c>
      <c r="G48" s="1084" t="s">
        <v>792</v>
      </c>
      <c r="H48" s="1087"/>
    </row>
    <row r="49" spans="2:8" s="698" customFormat="1" ht="34.5" x14ac:dyDescent="0.3">
      <c r="B49" s="1083" t="s">
        <v>12</v>
      </c>
      <c r="C49" s="1084" t="s">
        <v>12</v>
      </c>
      <c r="D49" s="1084" t="s">
        <v>790</v>
      </c>
      <c r="E49" s="1085" t="s">
        <v>389</v>
      </c>
      <c r="F49" s="1086" t="s">
        <v>707</v>
      </c>
      <c r="G49" s="1084" t="s">
        <v>567</v>
      </c>
      <c r="H49" s="1087"/>
    </row>
    <row r="50" spans="2:8" s="698" customFormat="1" ht="34.5" x14ac:dyDescent="0.3">
      <c r="B50" s="1083" t="s">
        <v>12</v>
      </c>
      <c r="C50" s="1084" t="s">
        <v>12</v>
      </c>
      <c r="D50" s="1084" t="s">
        <v>790</v>
      </c>
      <c r="E50" s="1085" t="s">
        <v>373</v>
      </c>
      <c r="F50" s="1086" t="s">
        <v>708</v>
      </c>
      <c r="G50" s="1084" t="s">
        <v>568</v>
      </c>
      <c r="H50" s="1087"/>
    </row>
    <row r="51" spans="2:8" s="698" customFormat="1" ht="34.5" x14ac:dyDescent="0.3">
      <c r="B51" s="1083" t="s">
        <v>12</v>
      </c>
      <c r="C51" s="1084" t="s">
        <v>12</v>
      </c>
      <c r="D51" s="1084" t="s">
        <v>790</v>
      </c>
      <c r="E51" s="1085" t="s">
        <v>375</v>
      </c>
      <c r="F51" s="1086" t="s">
        <v>709</v>
      </c>
      <c r="G51" s="1084" t="s">
        <v>569</v>
      </c>
      <c r="H51" s="1087"/>
    </row>
    <row r="52" spans="2:8" s="698" customFormat="1" ht="18.75" x14ac:dyDescent="0.3">
      <c r="B52" s="1083" t="s">
        <v>12</v>
      </c>
      <c r="C52" s="1084" t="s">
        <v>12</v>
      </c>
      <c r="D52" s="1084" t="s">
        <v>790</v>
      </c>
      <c r="E52" s="1085" t="s">
        <v>377</v>
      </c>
      <c r="F52" s="1086" t="s">
        <v>710</v>
      </c>
      <c r="G52" s="1084" t="s">
        <v>575</v>
      </c>
      <c r="H52" s="1087"/>
    </row>
    <row r="53" spans="2:8" s="698" customFormat="1" ht="34.5" x14ac:dyDescent="0.3">
      <c r="B53" s="1083" t="s">
        <v>12</v>
      </c>
      <c r="C53" s="1084" t="s">
        <v>12</v>
      </c>
      <c r="D53" s="1084" t="s">
        <v>793</v>
      </c>
      <c r="E53" s="1085" t="s">
        <v>63</v>
      </c>
      <c r="F53" s="1086" t="s">
        <v>677</v>
      </c>
      <c r="G53" s="1084" t="s">
        <v>794</v>
      </c>
      <c r="H53" s="1087"/>
    </row>
    <row r="54" spans="2:8" s="698" customFormat="1" ht="34.5" x14ac:dyDescent="0.3">
      <c r="B54" s="1083" t="s">
        <v>12</v>
      </c>
      <c r="C54" s="1084" t="s">
        <v>12</v>
      </c>
      <c r="D54" s="1084" t="s">
        <v>793</v>
      </c>
      <c r="E54" s="1085" t="s">
        <v>61</v>
      </c>
      <c r="F54" s="1086" t="s">
        <v>678</v>
      </c>
      <c r="G54" s="1084" t="s">
        <v>795</v>
      </c>
      <c r="H54" s="1087"/>
    </row>
    <row r="55" spans="2:8" s="698" customFormat="1" ht="34.5" x14ac:dyDescent="0.3">
      <c r="B55" s="1083" t="s">
        <v>12</v>
      </c>
      <c r="C55" s="1084" t="s">
        <v>12</v>
      </c>
      <c r="D55" s="1084" t="s">
        <v>793</v>
      </c>
      <c r="E55" s="1085" t="s">
        <v>389</v>
      </c>
      <c r="F55" s="1086" t="s">
        <v>679</v>
      </c>
      <c r="G55" s="1084" t="s">
        <v>567</v>
      </c>
      <c r="H55" s="1087"/>
    </row>
    <row r="56" spans="2:8" s="698" customFormat="1" ht="34.5" x14ac:dyDescent="0.3">
      <c r="B56" s="1083" t="s">
        <v>12</v>
      </c>
      <c r="C56" s="1084" t="s">
        <v>12</v>
      </c>
      <c r="D56" s="1084" t="s">
        <v>793</v>
      </c>
      <c r="E56" s="1085" t="s">
        <v>373</v>
      </c>
      <c r="F56" s="1086" t="s">
        <v>680</v>
      </c>
      <c r="G56" s="1084" t="s">
        <v>568</v>
      </c>
      <c r="H56" s="1087"/>
    </row>
    <row r="57" spans="2:8" s="698" customFormat="1" ht="34.5" x14ac:dyDescent="0.3">
      <c r="B57" s="1083" t="s">
        <v>12</v>
      </c>
      <c r="C57" s="1084" t="s">
        <v>12</v>
      </c>
      <c r="D57" s="1084" t="s">
        <v>793</v>
      </c>
      <c r="E57" s="1085" t="s">
        <v>375</v>
      </c>
      <c r="F57" s="1086" t="s">
        <v>681</v>
      </c>
      <c r="G57" s="1084" t="s">
        <v>569</v>
      </c>
      <c r="H57" s="1087"/>
    </row>
    <row r="58" spans="2:8" s="698" customFormat="1" ht="34.5" x14ac:dyDescent="0.3">
      <c r="B58" s="1083" t="s">
        <v>12</v>
      </c>
      <c r="C58" s="1084" t="s">
        <v>12</v>
      </c>
      <c r="D58" s="1084" t="s">
        <v>793</v>
      </c>
      <c r="E58" s="1085" t="s">
        <v>377</v>
      </c>
      <c r="F58" s="1086" t="s">
        <v>682</v>
      </c>
      <c r="G58" s="1084" t="s">
        <v>796</v>
      </c>
      <c r="H58" s="1087"/>
    </row>
    <row r="59" spans="2:8" s="698" customFormat="1" ht="34.5" x14ac:dyDescent="0.3">
      <c r="B59" s="1083" t="s">
        <v>12</v>
      </c>
      <c r="C59" s="1084" t="s">
        <v>12</v>
      </c>
      <c r="D59" s="1084" t="s">
        <v>797</v>
      </c>
      <c r="E59" s="1085" t="s">
        <v>63</v>
      </c>
      <c r="F59" s="1086" t="s">
        <v>683</v>
      </c>
      <c r="G59" s="1084" t="s">
        <v>798</v>
      </c>
      <c r="H59" s="1087"/>
    </row>
    <row r="60" spans="2:8" s="698" customFormat="1" ht="34.5" x14ac:dyDescent="0.3">
      <c r="B60" s="1083" t="s">
        <v>12</v>
      </c>
      <c r="C60" s="1084" t="s">
        <v>12</v>
      </c>
      <c r="D60" s="1084" t="s">
        <v>797</v>
      </c>
      <c r="E60" s="1085" t="s">
        <v>61</v>
      </c>
      <c r="F60" s="1086" t="s">
        <v>684</v>
      </c>
      <c r="G60" s="1084" t="s">
        <v>799</v>
      </c>
      <c r="H60" s="1087"/>
    </row>
    <row r="61" spans="2:8" s="698" customFormat="1" ht="34.5" x14ac:dyDescent="0.3">
      <c r="B61" s="1083" t="s">
        <v>12</v>
      </c>
      <c r="C61" s="1084" t="s">
        <v>12</v>
      </c>
      <c r="D61" s="1084" t="s">
        <v>800</v>
      </c>
      <c r="E61" s="1085" t="s">
        <v>63</v>
      </c>
      <c r="F61" s="1086" t="s">
        <v>685</v>
      </c>
      <c r="G61" s="1084" t="s">
        <v>801</v>
      </c>
      <c r="H61" s="1087"/>
    </row>
    <row r="62" spans="2:8" s="698" customFormat="1" ht="34.5" x14ac:dyDescent="0.3">
      <c r="B62" s="1083" t="s">
        <v>12</v>
      </c>
      <c r="C62" s="1084" t="s">
        <v>12</v>
      </c>
      <c r="D62" s="1084" t="s">
        <v>800</v>
      </c>
      <c r="E62" s="1085" t="s">
        <v>61</v>
      </c>
      <c r="F62" s="1086" t="s">
        <v>686</v>
      </c>
      <c r="G62" s="1084" t="s">
        <v>802</v>
      </c>
      <c r="H62" s="1087"/>
    </row>
    <row r="63" spans="2:8" s="698" customFormat="1" ht="34.5" x14ac:dyDescent="0.3">
      <c r="B63" s="1083" t="s">
        <v>12</v>
      </c>
      <c r="C63" s="1084" t="s">
        <v>12</v>
      </c>
      <c r="D63" s="1084" t="s">
        <v>803</v>
      </c>
      <c r="E63" s="1085" t="s">
        <v>590</v>
      </c>
      <c r="F63" s="1086" t="s">
        <v>687</v>
      </c>
      <c r="G63" s="1084" t="s">
        <v>575</v>
      </c>
      <c r="H63" s="1087"/>
    </row>
    <row r="64" spans="2:8" s="698" customFormat="1" ht="34.5" x14ac:dyDescent="0.3">
      <c r="B64" s="1083" t="s">
        <v>12</v>
      </c>
      <c r="C64" s="1084" t="s">
        <v>12</v>
      </c>
      <c r="D64" s="1084" t="s">
        <v>803</v>
      </c>
      <c r="E64" s="1085" t="s">
        <v>389</v>
      </c>
      <c r="F64" s="1086" t="s">
        <v>688</v>
      </c>
      <c r="G64" s="1084" t="s">
        <v>567</v>
      </c>
      <c r="H64" s="1087"/>
    </row>
    <row r="65" spans="2:8" s="698" customFormat="1" ht="34.5" x14ac:dyDescent="0.3">
      <c r="B65" s="1083" t="s">
        <v>12</v>
      </c>
      <c r="C65" s="1084" t="s">
        <v>12</v>
      </c>
      <c r="D65" s="1084" t="s">
        <v>803</v>
      </c>
      <c r="E65" s="1085" t="s">
        <v>373</v>
      </c>
      <c r="F65" s="1086" t="s">
        <v>689</v>
      </c>
      <c r="G65" s="1084" t="s">
        <v>568</v>
      </c>
      <c r="H65" s="1087"/>
    </row>
    <row r="66" spans="2:8" s="698" customFormat="1" ht="34.5" x14ac:dyDescent="0.3">
      <c r="B66" s="1083" t="s">
        <v>12</v>
      </c>
      <c r="C66" s="1084" t="s">
        <v>12</v>
      </c>
      <c r="D66" s="1084" t="s">
        <v>803</v>
      </c>
      <c r="E66" s="1085" t="s">
        <v>375</v>
      </c>
      <c r="F66" s="1086" t="s">
        <v>690</v>
      </c>
      <c r="G66" s="1084" t="s">
        <v>569</v>
      </c>
      <c r="H66" s="1087"/>
    </row>
    <row r="67" spans="2:8" s="698" customFormat="1" ht="34.5" x14ac:dyDescent="0.3">
      <c r="B67" s="1083" t="s">
        <v>12</v>
      </c>
      <c r="C67" s="1084" t="s">
        <v>12</v>
      </c>
      <c r="D67" s="1084" t="s">
        <v>803</v>
      </c>
      <c r="E67" s="1085" t="s">
        <v>377</v>
      </c>
      <c r="F67" s="1086" t="s">
        <v>691</v>
      </c>
      <c r="G67" s="1084" t="s">
        <v>804</v>
      </c>
      <c r="H67" s="1087"/>
    </row>
    <row r="68" spans="2:8" s="698" customFormat="1" ht="51.75" x14ac:dyDescent="0.3">
      <c r="B68" s="1083" t="s">
        <v>12</v>
      </c>
      <c r="C68" s="1084" t="s">
        <v>12</v>
      </c>
      <c r="D68" s="1084" t="s">
        <v>591</v>
      </c>
      <c r="E68" s="1085" t="s">
        <v>63</v>
      </c>
      <c r="F68" s="1086" t="s">
        <v>76</v>
      </c>
      <c r="G68" s="1084" t="s">
        <v>35</v>
      </c>
      <c r="H68" s="1087" t="s">
        <v>788</v>
      </c>
    </row>
    <row r="69" spans="2:8" s="698" customFormat="1" ht="51.75" x14ac:dyDescent="0.3">
      <c r="B69" s="1083" t="s">
        <v>12</v>
      </c>
      <c r="C69" s="1084" t="s">
        <v>12</v>
      </c>
      <c r="D69" s="1084" t="s">
        <v>591</v>
      </c>
      <c r="E69" s="1085" t="s">
        <v>61</v>
      </c>
      <c r="F69" s="1086" t="s">
        <v>77</v>
      </c>
      <c r="G69" s="1084" t="s">
        <v>42</v>
      </c>
      <c r="H69" s="1087" t="s">
        <v>788</v>
      </c>
    </row>
    <row r="70" spans="2:8" s="698" customFormat="1" ht="34.5" x14ac:dyDescent="0.3">
      <c r="B70" s="1083" t="s">
        <v>12</v>
      </c>
      <c r="C70" s="1084" t="s">
        <v>12</v>
      </c>
      <c r="D70" s="1084" t="s">
        <v>591</v>
      </c>
      <c r="E70" s="1085" t="s">
        <v>389</v>
      </c>
      <c r="F70" s="1086" t="s">
        <v>407</v>
      </c>
      <c r="G70" s="1084" t="s">
        <v>567</v>
      </c>
      <c r="H70" s="1087" t="s">
        <v>789</v>
      </c>
    </row>
    <row r="71" spans="2:8" s="698" customFormat="1" ht="34.5" x14ac:dyDescent="0.3">
      <c r="B71" s="1083" t="s">
        <v>12</v>
      </c>
      <c r="C71" s="1084" t="s">
        <v>12</v>
      </c>
      <c r="D71" s="1084" t="s">
        <v>591</v>
      </c>
      <c r="E71" s="1085" t="s">
        <v>373</v>
      </c>
      <c r="F71" s="1086" t="s">
        <v>408</v>
      </c>
      <c r="G71" s="1084" t="s">
        <v>568</v>
      </c>
      <c r="H71" s="1087" t="s">
        <v>789</v>
      </c>
    </row>
    <row r="72" spans="2:8" s="698" customFormat="1" ht="34.5" x14ac:dyDescent="0.3">
      <c r="B72" s="1083" t="s">
        <v>12</v>
      </c>
      <c r="C72" s="1084" t="s">
        <v>12</v>
      </c>
      <c r="D72" s="1084" t="s">
        <v>591</v>
      </c>
      <c r="E72" s="1085" t="s">
        <v>375</v>
      </c>
      <c r="F72" s="1086" t="s">
        <v>409</v>
      </c>
      <c r="G72" s="1084" t="s">
        <v>569</v>
      </c>
      <c r="H72" s="1087" t="s">
        <v>789</v>
      </c>
    </row>
    <row r="73" spans="2:8" s="698" customFormat="1" ht="18.75" x14ac:dyDescent="0.3">
      <c r="B73" s="1083" t="s">
        <v>12</v>
      </c>
      <c r="C73" s="1084" t="s">
        <v>12</v>
      </c>
      <c r="D73" s="1084" t="s">
        <v>591</v>
      </c>
      <c r="E73" s="1085" t="s">
        <v>377</v>
      </c>
      <c r="F73" s="1086" t="s">
        <v>410</v>
      </c>
      <c r="G73" s="1084" t="s">
        <v>805</v>
      </c>
      <c r="H73" s="1087"/>
    </row>
    <row r="74" spans="2:8" s="698" customFormat="1" ht="51.75" x14ac:dyDescent="0.3">
      <c r="B74" s="1083" t="s">
        <v>12</v>
      </c>
      <c r="C74" s="1084" t="s">
        <v>12</v>
      </c>
      <c r="D74" s="1084" t="s">
        <v>592</v>
      </c>
      <c r="E74" s="1085" t="s">
        <v>56</v>
      </c>
      <c r="F74" s="1086" t="s">
        <v>447</v>
      </c>
      <c r="G74" s="1084" t="s">
        <v>580</v>
      </c>
      <c r="H74" s="1087" t="s">
        <v>806</v>
      </c>
    </row>
    <row r="75" spans="2:8" s="698" customFormat="1" ht="34.5" x14ac:dyDescent="0.3">
      <c r="B75" s="1083" t="s">
        <v>12</v>
      </c>
      <c r="C75" s="1084" t="s">
        <v>12</v>
      </c>
      <c r="D75" s="1084" t="s">
        <v>592</v>
      </c>
      <c r="E75" s="1085" t="s">
        <v>63</v>
      </c>
      <c r="F75" s="1086" t="s">
        <v>367</v>
      </c>
      <c r="G75" s="1084" t="s">
        <v>581</v>
      </c>
      <c r="H75" s="1087" t="s">
        <v>807</v>
      </c>
    </row>
    <row r="76" spans="2:8" s="698" customFormat="1" ht="34.5" x14ac:dyDescent="0.3">
      <c r="B76" s="1083" t="s">
        <v>12</v>
      </c>
      <c r="C76" s="1084" t="s">
        <v>12</v>
      </c>
      <c r="D76" s="1084" t="s">
        <v>592</v>
      </c>
      <c r="E76" s="1085" t="s">
        <v>61</v>
      </c>
      <c r="F76" s="1086" t="s">
        <v>368</v>
      </c>
      <c r="G76" s="1084" t="s">
        <v>582</v>
      </c>
      <c r="H76" s="1087" t="s">
        <v>808</v>
      </c>
    </row>
    <row r="77" spans="2:8" s="698" customFormat="1" ht="34.5" x14ac:dyDescent="0.3">
      <c r="B77" s="1083" t="s">
        <v>12</v>
      </c>
      <c r="C77" s="1084" t="s">
        <v>12</v>
      </c>
      <c r="D77" s="1084" t="s">
        <v>592</v>
      </c>
      <c r="E77" s="1085" t="s">
        <v>389</v>
      </c>
      <c r="F77" s="1086" t="s">
        <v>411</v>
      </c>
      <c r="G77" s="1084" t="s">
        <v>567</v>
      </c>
      <c r="H77" s="1087" t="s">
        <v>809</v>
      </c>
    </row>
    <row r="78" spans="2:8" s="698" customFormat="1" ht="34.5" x14ac:dyDescent="0.3">
      <c r="B78" s="1083" t="s">
        <v>12</v>
      </c>
      <c r="C78" s="1084" t="s">
        <v>12</v>
      </c>
      <c r="D78" s="1084" t="s">
        <v>592</v>
      </c>
      <c r="E78" s="1085" t="s">
        <v>373</v>
      </c>
      <c r="F78" s="1086" t="s">
        <v>412</v>
      </c>
      <c r="G78" s="1084" t="s">
        <v>568</v>
      </c>
      <c r="H78" s="1087" t="s">
        <v>809</v>
      </c>
    </row>
    <row r="79" spans="2:8" s="698" customFormat="1" ht="34.5" x14ac:dyDescent="0.3">
      <c r="B79" s="1083" t="s">
        <v>12</v>
      </c>
      <c r="C79" s="1084" t="s">
        <v>12</v>
      </c>
      <c r="D79" s="1084" t="s">
        <v>592</v>
      </c>
      <c r="E79" s="1085" t="s">
        <v>375</v>
      </c>
      <c r="F79" s="1086" t="s">
        <v>413</v>
      </c>
      <c r="G79" s="1084" t="s">
        <v>569</v>
      </c>
      <c r="H79" s="1087" t="s">
        <v>809</v>
      </c>
    </row>
    <row r="80" spans="2:8" s="698" customFormat="1" ht="34.5" x14ac:dyDescent="0.3">
      <c r="B80" s="1083" t="s">
        <v>12</v>
      </c>
      <c r="C80" s="1084" t="s">
        <v>12</v>
      </c>
      <c r="D80" s="1084" t="s">
        <v>592</v>
      </c>
      <c r="E80" s="1085" t="s">
        <v>377</v>
      </c>
      <c r="F80" s="1086" t="s">
        <v>414</v>
      </c>
      <c r="G80" s="1084" t="s">
        <v>577</v>
      </c>
      <c r="H80" s="1087"/>
    </row>
    <row r="81" spans="2:8" s="698" customFormat="1" ht="34.5" x14ac:dyDescent="0.3">
      <c r="B81" s="1083" t="s">
        <v>12</v>
      </c>
      <c r="C81" s="1084" t="s">
        <v>12</v>
      </c>
      <c r="D81" s="1084" t="s">
        <v>592</v>
      </c>
      <c r="E81" s="1085" t="s">
        <v>278</v>
      </c>
      <c r="F81" s="1086" t="s">
        <v>557</v>
      </c>
      <c r="G81" s="1084" t="s">
        <v>810</v>
      </c>
      <c r="H81" s="1087" t="s">
        <v>808</v>
      </c>
    </row>
    <row r="82" spans="2:8" s="698" customFormat="1" ht="34.5" x14ac:dyDescent="0.3">
      <c r="B82" s="1083" t="s">
        <v>12</v>
      </c>
      <c r="C82" s="1084" t="s">
        <v>12</v>
      </c>
      <c r="D82" s="1084" t="s">
        <v>592</v>
      </c>
      <c r="E82" s="1085" t="s">
        <v>563</v>
      </c>
      <c r="F82" s="1086" t="s">
        <v>558</v>
      </c>
      <c r="G82" s="1084" t="s">
        <v>811</v>
      </c>
      <c r="H82" s="1087" t="s">
        <v>812</v>
      </c>
    </row>
    <row r="83" spans="2:8" s="698" customFormat="1" ht="69" x14ac:dyDescent="0.3">
      <c r="B83" s="1083" t="s">
        <v>12</v>
      </c>
      <c r="C83" s="1084" t="s">
        <v>12</v>
      </c>
      <c r="D83" s="1084" t="s">
        <v>692</v>
      </c>
      <c r="E83" s="1085" t="s">
        <v>63</v>
      </c>
      <c r="F83" s="1086" t="s">
        <v>74</v>
      </c>
      <c r="G83" s="1084" t="s">
        <v>34</v>
      </c>
      <c r="H83" s="1087" t="s">
        <v>788</v>
      </c>
    </row>
    <row r="84" spans="2:8" s="698" customFormat="1" ht="69" x14ac:dyDescent="0.3">
      <c r="B84" s="1083" t="s">
        <v>12</v>
      </c>
      <c r="C84" s="1084" t="s">
        <v>12</v>
      </c>
      <c r="D84" s="1084" t="s">
        <v>692</v>
      </c>
      <c r="E84" s="1085" t="s">
        <v>61</v>
      </c>
      <c r="F84" s="1086" t="s">
        <v>75</v>
      </c>
      <c r="G84" s="1084" t="s">
        <v>41</v>
      </c>
      <c r="H84" s="1087" t="s">
        <v>788</v>
      </c>
    </row>
    <row r="85" spans="2:8" s="698" customFormat="1" ht="34.5" x14ac:dyDescent="0.3">
      <c r="B85" s="1083" t="s">
        <v>12</v>
      </c>
      <c r="C85" s="1084" t="s">
        <v>12</v>
      </c>
      <c r="D85" s="1084" t="s">
        <v>692</v>
      </c>
      <c r="E85" s="1085" t="s">
        <v>389</v>
      </c>
      <c r="F85" s="1086" t="s">
        <v>403</v>
      </c>
      <c r="G85" s="1084" t="s">
        <v>567</v>
      </c>
      <c r="H85" s="1087" t="s">
        <v>789</v>
      </c>
    </row>
    <row r="86" spans="2:8" s="698" customFormat="1" ht="34.5" x14ac:dyDescent="0.3">
      <c r="B86" s="1083" t="s">
        <v>12</v>
      </c>
      <c r="C86" s="1084" t="s">
        <v>12</v>
      </c>
      <c r="D86" s="1084" t="s">
        <v>692</v>
      </c>
      <c r="E86" s="1085" t="s">
        <v>373</v>
      </c>
      <c r="F86" s="1086" t="s">
        <v>404</v>
      </c>
      <c r="G86" s="1084" t="s">
        <v>568</v>
      </c>
      <c r="H86" s="1087" t="s">
        <v>789</v>
      </c>
    </row>
    <row r="87" spans="2:8" s="698" customFormat="1" ht="34.5" x14ac:dyDescent="0.3">
      <c r="B87" s="1083" t="s">
        <v>12</v>
      </c>
      <c r="C87" s="1084" t="s">
        <v>12</v>
      </c>
      <c r="D87" s="1084" t="s">
        <v>692</v>
      </c>
      <c r="E87" s="1085" t="s">
        <v>375</v>
      </c>
      <c r="F87" s="1086" t="s">
        <v>405</v>
      </c>
      <c r="G87" s="1084" t="s">
        <v>569</v>
      </c>
      <c r="H87" s="1087" t="s">
        <v>789</v>
      </c>
    </row>
    <row r="88" spans="2:8" s="698" customFormat="1" ht="34.5" x14ac:dyDescent="0.3">
      <c r="B88" s="1083" t="s">
        <v>12</v>
      </c>
      <c r="C88" s="1084" t="s">
        <v>12</v>
      </c>
      <c r="D88" s="1084" t="s">
        <v>692</v>
      </c>
      <c r="E88" s="1085" t="s">
        <v>377</v>
      </c>
      <c r="F88" s="1086" t="s">
        <v>406</v>
      </c>
      <c r="G88" s="1084" t="s">
        <v>576</v>
      </c>
      <c r="H88" s="1087"/>
    </row>
    <row r="89" spans="2:8" s="701" customFormat="1" ht="34.5" x14ac:dyDescent="0.3">
      <c r="B89" s="1083" t="s">
        <v>12</v>
      </c>
      <c r="C89" s="1084" t="s">
        <v>12</v>
      </c>
      <c r="D89" s="1084" t="s">
        <v>693</v>
      </c>
      <c r="E89" s="1085" t="s">
        <v>448</v>
      </c>
      <c r="F89" s="1086" t="s">
        <v>450</v>
      </c>
      <c r="G89" s="1084" t="s">
        <v>813</v>
      </c>
      <c r="H89" s="1087"/>
    </row>
    <row r="90" spans="2:8" s="701" customFormat="1" ht="34.5" x14ac:dyDescent="0.3">
      <c r="B90" s="1083" t="s">
        <v>12</v>
      </c>
      <c r="C90" s="1084" t="s">
        <v>12</v>
      </c>
      <c r="D90" s="1084" t="s">
        <v>693</v>
      </c>
      <c r="E90" s="1085" t="s">
        <v>449</v>
      </c>
      <c r="F90" s="1086" t="s">
        <v>451</v>
      </c>
      <c r="G90" s="1084" t="s">
        <v>814</v>
      </c>
      <c r="H90" s="1087"/>
    </row>
    <row r="91" spans="2:8" s="701" customFormat="1" ht="34.5" x14ac:dyDescent="0.3">
      <c r="B91" s="1083" t="s">
        <v>12</v>
      </c>
      <c r="C91" s="1084" t="s">
        <v>12</v>
      </c>
      <c r="D91" s="1084" t="s">
        <v>693</v>
      </c>
      <c r="E91" s="1085" t="s">
        <v>389</v>
      </c>
      <c r="F91" s="1086" t="s">
        <v>423</v>
      </c>
      <c r="G91" s="1084" t="s">
        <v>815</v>
      </c>
      <c r="H91" s="1087"/>
    </row>
    <row r="92" spans="2:8" s="701" customFormat="1" ht="34.5" x14ac:dyDescent="0.3">
      <c r="B92" s="1083" t="s">
        <v>12</v>
      </c>
      <c r="C92" s="1084" t="s">
        <v>12</v>
      </c>
      <c r="D92" s="1084" t="s">
        <v>693</v>
      </c>
      <c r="E92" s="1085" t="s">
        <v>373</v>
      </c>
      <c r="F92" s="1086" t="s">
        <v>424</v>
      </c>
      <c r="G92" s="1084" t="s">
        <v>816</v>
      </c>
      <c r="H92" s="1087"/>
    </row>
    <row r="93" spans="2:8" s="701" customFormat="1" ht="34.5" x14ac:dyDescent="0.3">
      <c r="B93" s="1083" t="s">
        <v>12</v>
      </c>
      <c r="C93" s="1084" t="s">
        <v>12</v>
      </c>
      <c r="D93" s="1084" t="s">
        <v>693</v>
      </c>
      <c r="E93" s="1085" t="s">
        <v>375</v>
      </c>
      <c r="F93" s="1086" t="s">
        <v>425</v>
      </c>
      <c r="G93" s="1084" t="s">
        <v>817</v>
      </c>
      <c r="H93" s="1087"/>
    </row>
    <row r="94" spans="2:8" s="701" customFormat="1" ht="34.5" x14ac:dyDescent="0.3">
      <c r="B94" s="1083" t="s">
        <v>12</v>
      </c>
      <c r="C94" s="1084" t="s">
        <v>12</v>
      </c>
      <c r="D94" s="1084" t="s">
        <v>693</v>
      </c>
      <c r="E94" s="1085" t="s">
        <v>377</v>
      </c>
      <c r="F94" s="1086" t="s">
        <v>426</v>
      </c>
      <c r="G94" s="1084" t="s">
        <v>818</v>
      </c>
      <c r="H94" s="1087"/>
    </row>
    <row r="95" spans="2:8" s="698" customFormat="1" ht="69" x14ac:dyDescent="0.3">
      <c r="B95" s="1083" t="s">
        <v>694</v>
      </c>
      <c r="C95" s="1084" t="s">
        <v>694</v>
      </c>
      <c r="D95" s="1084" t="s">
        <v>159</v>
      </c>
      <c r="E95" s="1085" t="s">
        <v>63</v>
      </c>
      <c r="F95" s="1086" t="s">
        <v>457</v>
      </c>
      <c r="G95" s="1084" t="s">
        <v>819</v>
      </c>
      <c r="H95" s="1087" t="s">
        <v>820</v>
      </c>
    </row>
    <row r="96" spans="2:8" s="698" customFormat="1" ht="69" x14ac:dyDescent="0.3">
      <c r="B96" s="1083" t="s">
        <v>694</v>
      </c>
      <c r="C96" s="1084" t="s">
        <v>694</v>
      </c>
      <c r="D96" s="1084" t="s">
        <v>159</v>
      </c>
      <c r="E96" s="1085" t="s">
        <v>61</v>
      </c>
      <c r="F96" s="1086" t="s">
        <v>458</v>
      </c>
      <c r="G96" s="1084" t="s">
        <v>821</v>
      </c>
      <c r="H96" s="1087" t="s">
        <v>820</v>
      </c>
    </row>
    <row r="97" spans="2:8" s="698" customFormat="1" ht="69" x14ac:dyDescent="0.3">
      <c r="B97" s="1083" t="s">
        <v>694</v>
      </c>
      <c r="C97" s="1084" t="s">
        <v>694</v>
      </c>
      <c r="D97" s="1084" t="s">
        <v>158</v>
      </c>
      <c r="E97" s="1085" t="s">
        <v>63</v>
      </c>
      <c r="F97" s="1086" t="s">
        <v>459</v>
      </c>
      <c r="G97" s="1084" t="s">
        <v>822</v>
      </c>
      <c r="H97" s="1087" t="s">
        <v>820</v>
      </c>
    </row>
    <row r="98" spans="2:8" s="698" customFormat="1" ht="69" x14ac:dyDescent="0.3">
      <c r="B98" s="1083" t="s">
        <v>694</v>
      </c>
      <c r="C98" s="1084" t="s">
        <v>694</v>
      </c>
      <c r="D98" s="1084" t="s">
        <v>158</v>
      </c>
      <c r="E98" s="1085" t="s">
        <v>61</v>
      </c>
      <c r="F98" s="1086" t="s">
        <v>460</v>
      </c>
      <c r="G98" s="1084" t="s">
        <v>823</v>
      </c>
      <c r="H98" s="1087" t="s">
        <v>820</v>
      </c>
    </row>
    <row r="99" spans="2:8" s="698" customFormat="1" ht="69" x14ac:dyDescent="0.3">
      <c r="B99" s="1083" t="s">
        <v>43</v>
      </c>
      <c r="C99" s="1084" t="s">
        <v>43</v>
      </c>
      <c r="D99" s="1084" t="s">
        <v>593</v>
      </c>
      <c r="E99" s="1085" t="s">
        <v>824</v>
      </c>
      <c r="F99" s="1086" t="s">
        <v>78</v>
      </c>
      <c r="G99" s="1084" t="s">
        <v>20</v>
      </c>
      <c r="H99" s="1087" t="s">
        <v>825</v>
      </c>
    </row>
    <row r="100" spans="2:8" s="698" customFormat="1" ht="51.75" x14ac:dyDescent="0.3">
      <c r="B100" s="1083" t="s">
        <v>43</v>
      </c>
      <c r="C100" s="1084" t="s">
        <v>43</v>
      </c>
      <c r="D100" s="1084" t="s">
        <v>593</v>
      </c>
      <c r="E100" s="1085" t="s">
        <v>354</v>
      </c>
      <c r="F100" s="1086" t="s">
        <v>79</v>
      </c>
      <c r="G100" s="1084" t="s">
        <v>49</v>
      </c>
      <c r="H100" s="1087" t="s">
        <v>825</v>
      </c>
    </row>
    <row r="101" spans="2:8" s="698" customFormat="1" ht="34.5" x14ac:dyDescent="0.3">
      <c r="B101" s="1083" t="s">
        <v>43</v>
      </c>
      <c r="C101" s="1084" t="s">
        <v>43</v>
      </c>
      <c r="D101" s="1084" t="s">
        <v>593</v>
      </c>
      <c r="E101" s="1085" t="s">
        <v>274</v>
      </c>
      <c r="F101" s="1086" t="s">
        <v>80</v>
      </c>
      <c r="G101" s="1084" t="s">
        <v>21</v>
      </c>
      <c r="H101" s="1087" t="s">
        <v>826</v>
      </c>
    </row>
    <row r="102" spans="2:8" s="698" customFormat="1" ht="51.75" x14ac:dyDescent="0.3">
      <c r="B102" s="1083" t="s">
        <v>43</v>
      </c>
      <c r="C102" s="1084" t="s">
        <v>43</v>
      </c>
      <c r="D102" s="1084" t="s">
        <v>593</v>
      </c>
      <c r="E102" s="1085" t="s">
        <v>275</v>
      </c>
      <c r="F102" s="1086" t="s">
        <v>81</v>
      </c>
      <c r="G102" s="1084" t="s">
        <v>22</v>
      </c>
      <c r="H102" s="1087" t="s">
        <v>827</v>
      </c>
    </row>
    <row r="103" spans="2:8" s="698" customFormat="1" ht="51.75" x14ac:dyDescent="0.3">
      <c r="B103" s="1083" t="s">
        <v>43</v>
      </c>
      <c r="C103" s="1084" t="s">
        <v>43</v>
      </c>
      <c r="D103" s="1084" t="s">
        <v>593</v>
      </c>
      <c r="E103" s="1085" t="s">
        <v>554</v>
      </c>
      <c r="F103" s="1086" t="s">
        <v>479</v>
      </c>
      <c r="G103" s="1084" t="s">
        <v>543</v>
      </c>
      <c r="H103" s="1087" t="s">
        <v>827</v>
      </c>
    </row>
    <row r="104" spans="2:8" s="698" customFormat="1" ht="51.75" x14ac:dyDescent="0.3">
      <c r="B104" s="1083" t="s">
        <v>43</v>
      </c>
      <c r="C104" s="1084" t="s">
        <v>43</v>
      </c>
      <c r="D104" s="1084" t="s">
        <v>593</v>
      </c>
      <c r="E104" s="1085" t="s">
        <v>276</v>
      </c>
      <c r="F104" s="1086" t="s">
        <v>82</v>
      </c>
      <c r="G104" s="1084" t="s">
        <v>23</v>
      </c>
      <c r="H104" s="1087" t="s">
        <v>827</v>
      </c>
    </row>
    <row r="105" spans="2:8" s="698" customFormat="1" ht="51.75" x14ac:dyDescent="0.3">
      <c r="B105" s="1083" t="s">
        <v>594</v>
      </c>
      <c r="C105" s="1084" t="s">
        <v>735</v>
      </c>
      <c r="D105" s="1084" t="s">
        <v>595</v>
      </c>
      <c r="E105" s="1088" t="s">
        <v>828</v>
      </c>
      <c r="F105" s="1086" t="s">
        <v>85</v>
      </c>
      <c r="G105" s="1084" t="s">
        <v>48</v>
      </c>
      <c r="H105" s="1087"/>
    </row>
    <row r="106" spans="2:8" s="698" customFormat="1" ht="51.75" x14ac:dyDescent="0.3">
      <c r="B106" s="1083" t="s">
        <v>594</v>
      </c>
      <c r="C106" s="1084" t="s">
        <v>735</v>
      </c>
      <c r="D106" s="1084" t="s">
        <v>596</v>
      </c>
      <c r="E106" s="1085" t="s">
        <v>829</v>
      </c>
      <c r="F106" s="1086" t="s">
        <v>436</v>
      </c>
      <c r="G106" s="1084" t="s">
        <v>830</v>
      </c>
      <c r="H106" s="1087" t="s">
        <v>831</v>
      </c>
    </row>
    <row r="107" spans="2:8" s="698" customFormat="1" ht="69" x14ac:dyDescent="0.3">
      <c r="B107" s="1083" t="s">
        <v>594</v>
      </c>
      <c r="C107" s="1084" t="s">
        <v>735</v>
      </c>
      <c r="D107" s="1084" t="s">
        <v>596</v>
      </c>
      <c r="E107" s="1085" t="s">
        <v>157</v>
      </c>
      <c r="F107" s="1086" t="s">
        <v>437</v>
      </c>
      <c r="G107" s="1084" t="s">
        <v>832</v>
      </c>
      <c r="H107" s="1087" t="s">
        <v>831</v>
      </c>
    </row>
    <row r="108" spans="2:8" s="698" customFormat="1" ht="69" x14ac:dyDescent="0.3">
      <c r="B108" s="1083" t="s">
        <v>594</v>
      </c>
      <c r="C108" s="1084" t="s">
        <v>735</v>
      </c>
      <c r="D108" s="1084" t="s">
        <v>596</v>
      </c>
      <c r="E108" s="1085" t="s">
        <v>158</v>
      </c>
      <c r="F108" s="1086" t="s">
        <v>438</v>
      </c>
      <c r="G108" s="1084" t="s">
        <v>833</v>
      </c>
      <c r="H108" s="1087" t="s">
        <v>831</v>
      </c>
    </row>
    <row r="109" spans="2:8" s="698" customFormat="1" ht="69" x14ac:dyDescent="0.3">
      <c r="B109" s="1083" t="s">
        <v>594</v>
      </c>
      <c r="C109" s="1084" t="s">
        <v>735</v>
      </c>
      <c r="D109" s="1084" t="s">
        <v>596</v>
      </c>
      <c r="E109" s="1085" t="s">
        <v>159</v>
      </c>
      <c r="F109" s="1086" t="s">
        <v>439</v>
      </c>
      <c r="G109" s="1084" t="s">
        <v>834</v>
      </c>
      <c r="H109" s="1087" t="s">
        <v>831</v>
      </c>
    </row>
    <row r="110" spans="2:8" s="698" customFormat="1" ht="69" x14ac:dyDescent="0.3">
      <c r="B110" s="1083" t="s">
        <v>594</v>
      </c>
      <c r="C110" s="1084" t="s">
        <v>735</v>
      </c>
      <c r="D110" s="1084" t="s">
        <v>596</v>
      </c>
      <c r="E110" s="1085" t="s">
        <v>444</v>
      </c>
      <c r="F110" s="1086" t="s">
        <v>440</v>
      </c>
      <c r="G110" s="1084" t="s">
        <v>835</v>
      </c>
      <c r="H110" s="1087" t="s">
        <v>831</v>
      </c>
    </row>
    <row r="111" spans="2:8" s="698" customFormat="1" ht="51.75" x14ac:dyDescent="0.3">
      <c r="B111" s="1083" t="s">
        <v>594</v>
      </c>
      <c r="C111" s="1084" t="s">
        <v>735</v>
      </c>
      <c r="D111" s="1084" t="s">
        <v>596</v>
      </c>
      <c r="E111" s="1085" t="s">
        <v>836</v>
      </c>
      <c r="F111" s="1086" t="s">
        <v>441</v>
      </c>
      <c r="G111" s="1084" t="s">
        <v>837</v>
      </c>
      <c r="H111" s="1087" t="s">
        <v>831</v>
      </c>
    </row>
    <row r="112" spans="2:8" s="698" customFormat="1" ht="51.75" x14ac:dyDescent="0.3">
      <c r="B112" s="1083" t="s">
        <v>594</v>
      </c>
      <c r="C112" s="1084" t="s">
        <v>735</v>
      </c>
      <c r="D112" s="1084" t="s">
        <v>596</v>
      </c>
      <c r="E112" s="1085" t="s">
        <v>446</v>
      </c>
      <c r="F112" s="1086" t="s">
        <v>442</v>
      </c>
      <c r="G112" s="1084" t="s">
        <v>838</v>
      </c>
      <c r="H112" s="1087" t="s">
        <v>831</v>
      </c>
    </row>
    <row r="113" spans="2:8" s="698" customFormat="1" ht="34.5" x14ac:dyDescent="0.3">
      <c r="B113" s="1083" t="s">
        <v>594</v>
      </c>
      <c r="C113" s="1084" t="s">
        <v>735</v>
      </c>
      <c r="D113" s="1084" t="s">
        <v>596</v>
      </c>
      <c r="E113" s="1085" t="s">
        <v>839</v>
      </c>
      <c r="F113" s="1086" t="s">
        <v>443</v>
      </c>
      <c r="G113" s="1084" t="s">
        <v>840</v>
      </c>
      <c r="H113" s="1087"/>
    </row>
    <row r="114" spans="2:8" s="698" customFormat="1" ht="34.5" x14ac:dyDescent="0.3">
      <c r="B114" s="1083" t="s">
        <v>594</v>
      </c>
      <c r="C114" s="1084" t="s">
        <v>735</v>
      </c>
      <c r="D114" s="1084" t="s">
        <v>597</v>
      </c>
      <c r="E114" s="1085" t="s">
        <v>431</v>
      </c>
      <c r="F114" s="1086" t="s">
        <v>480</v>
      </c>
      <c r="G114" s="1084" t="s">
        <v>515</v>
      </c>
      <c r="H114" s="1087" t="s">
        <v>831</v>
      </c>
    </row>
    <row r="115" spans="2:8" s="698" customFormat="1" ht="34.5" x14ac:dyDescent="0.3">
      <c r="B115" s="1083" t="s">
        <v>594</v>
      </c>
      <c r="C115" s="1084" t="s">
        <v>735</v>
      </c>
      <c r="D115" s="1084" t="s">
        <v>597</v>
      </c>
      <c r="E115" s="1085" t="s">
        <v>432</v>
      </c>
      <c r="F115" s="1086" t="s">
        <v>481</v>
      </c>
      <c r="G115" s="1084" t="s">
        <v>516</v>
      </c>
      <c r="H115" s="1087" t="s">
        <v>831</v>
      </c>
    </row>
    <row r="116" spans="2:8" s="698" customFormat="1" ht="34.5" x14ac:dyDescent="0.3">
      <c r="B116" s="1083" t="s">
        <v>594</v>
      </c>
      <c r="C116" s="1084" t="s">
        <v>735</v>
      </c>
      <c r="D116" s="1084" t="s">
        <v>598</v>
      </c>
      <c r="E116" s="1085" t="s">
        <v>482</v>
      </c>
      <c r="F116" s="1086" t="s">
        <v>484</v>
      </c>
      <c r="G116" s="1084" t="s">
        <v>518</v>
      </c>
      <c r="H116" s="1087"/>
    </row>
    <row r="117" spans="2:8" s="698" customFormat="1" ht="51.75" x14ac:dyDescent="0.3">
      <c r="B117" s="1083" t="s">
        <v>594</v>
      </c>
      <c r="C117" s="1084" t="s">
        <v>735</v>
      </c>
      <c r="D117" s="1084" t="s">
        <v>598</v>
      </c>
      <c r="E117" s="1085" t="s">
        <v>483</v>
      </c>
      <c r="F117" s="1086" t="s">
        <v>485</v>
      </c>
      <c r="G117" s="1084" t="s">
        <v>519</v>
      </c>
      <c r="H117" s="1087"/>
    </row>
    <row r="118" spans="2:8" s="698" customFormat="1" ht="51.75" x14ac:dyDescent="0.3">
      <c r="B118" s="1083" t="s">
        <v>594</v>
      </c>
      <c r="C118" s="1084" t="s">
        <v>735</v>
      </c>
      <c r="D118" s="1084" t="s">
        <v>599</v>
      </c>
      <c r="E118" s="1085" t="s">
        <v>486</v>
      </c>
      <c r="F118" s="1086" t="s">
        <v>488</v>
      </c>
      <c r="G118" s="1084" t="s">
        <v>513</v>
      </c>
      <c r="H118" s="1087" t="s">
        <v>841</v>
      </c>
    </row>
    <row r="119" spans="2:8" s="698" customFormat="1" ht="120.75" x14ac:dyDescent="0.3">
      <c r="B119" s="1083" t="s">
        <v>594</v>
      </c>
      <c r="C119" s="1084" t="s">
        <v>735</v>
      </c>
      <c r="D119" s="1084" t="s">
        <v>599</v>
      </c>
      <c r="E119" s="1085" t="s">
        <v>487</v>
      </c>
      <c r="F119" s="1086" t="s">
        <v>489</v>
      </c>
      <c r="G119" s="1084" t="s">
        <v>514</v>
      </c>
      <c r="H119" s="1087" t="s">
        <v>841</v>
      </c>
    </row>
    <row r="120" spans="2:8" s="698" customFormat="1" ht="51.75" x14ac:dyDescent="0.3">
      <c r="B120" s="1083" t="s">
        <v>594</v>
      </c>
      <c r="C120" s="1084" t="s">
        <v>735</v>
      </c>
      <c r="D120" s="1084" t="s">
        <v>599</v>
      </c>
      <c r="E120" s="1085" t="s">
        <v>14</v>
      </c>
      <c r="F120" s="1086" t="s">
        <v>490</v>
      </c>
      <c r="G120" s="1084" t="s">
        <v>517</v>
      </c>
      <c r="H120" s="1087" t="s">
        <v>841</v>
      </c>
    </row>
    <row r="121" spans="2:8" s="698" customFormat="1" ht="34.5" x14ac:dyDescent="0.3">
      <c r="B121" s="1083" t="s">
        <v>594</v>
      </c>
      <c r="C121" s="1084" t="s">
        <v>735</v>
      </c>
      <c r="D121" s="1084" t="s">
        <v>600</v>
      </c>
      <c r="E121" s="1085" t="s">
        <v>496</v>
      </c>
      <c r="F121" s="1086" t="s">
        <v>497</v>
      </c>
      <c r="G121" s="1084" t="s">
        <v>520</v>
      </c>
      <c r="H121" s="1087" t="s">
        <v>841</v>
      </c>
    </row>
    <row r="122" spans="2:8" s="698" customFormat="1" ht="138" x14ac:dyDescent="0.3">
      <c r="B122" s="1083" t="s">
        <v>594</v>
      </c>
      <c r="C122" s="1084" t="s">
        <v>736</v>
      </c>
      <c r="D122" s="1084" t="s">
        <v>601</v>
      </c>
      <c r="E122" s="1085" t="s">
        <v>842</v>
      </c>
      <c r="F122" s="1086" t="s">
        <v>364</v>
      </c>
      <c r="G122" s="1084" t="s">
        <v>537</v>
      </c>
      <c r="H122" s="1087" t="s">
        <v>843</v>
      </c>
    </row>
    <row r="123" spans="2:8" s="698" customFormat="1" ht="34.5" x14ac:dyDescent="0.3">
      <c r="B123" s="1083" t="s">
        <v>594</v>
      </c>
      <c r="C123" s="1084" t="s">
        <v>736</v>
      </c>
      <c r="D123" s="1084" t="s">
        <v>602</v>
      </c>
      <c r="E123" s="1085" t="s">
        <v>429</v>
      </c>
      <c r="F123" s="1086" t="s">
        <v>86</v>
      </c>
      <c r="G123" s="1084" t="s">
        <v>521</v>
      </c>
      <c r="H123" s="1087" t="s">
        <v>844</v>
      </c>
    </row>
    <row r="124" spans="2:8" s="698" customFormat="1" ht="34.5" x14ac:dyDescent="0.3">
      <c r="B124" s="1083" t="s">
        <v>594</v>
      </c>
      <c r="C124" s="1084" t="s">
        <v>736</v>
      </c>
      <c r="D124" s="1084" t="s">
        <v>602</v>
      </c>
      <c r="E124" s="1085" t="s">
        <v>430</v>
      </c>
      <c r="F124" s="1086" t="s">
        <v>87</v>
      </c>
      <c r="G124" s="1084" t="s">
        <v>522</v>
      </c>
      <c r="H124" s="1087" t="s">
        <v>844</v>
      </c>
    </row>
    <row r="125" spans="2:8" s="698" customFormat="1" ht="34.5" x14ac:dyDescent="0.3">
      <c r="B125" s="1083" t="s">
        <v>594</v>
      </c>
      <c r="C125" s="1084" t="s">
        <v>736</v>
      </c>
      <c r="D125" s="1084" t="s">
        <v>603</v>
      </c>
      <c r="E125" s="1085" t="s">
        <v>431</v>
      </c>
      <c r="F125" s="1086" t="s">
        <v>433</v>
      </c>
      <c r="G125" s="1084" t="s">
        <v>523</v>
      </c>
      <c r="H125" s="1087" t="s">
        <v>845</v>
      </c>
    </row>
    <row r="126" spans="2:8" s="698" customFormat="1" ht="34.5" x14ac:dyDescent="0.3">
      <c r="B126" s="1083" t="s">
        <v>594</v>
      </c>
      <c r="C126" s="1084" t="s">
        <v>736</v>
      </c>
      <c r="D126" s="1084" t="s">
        <v>603</v>
      </c>
      <c r="E126" s="1085" t="s">
        <v>432</v>
      </c>
      <c r="F126" s="1086" t="s">
        <v>434</v>
      </c>
      <c r="G126" s="1084" t="s">
        <v>524</v>
      </c>
      <c r="H126" s="1087" t="s">
        <v>845</v>
      </c>
    </row>
    <row r="127" spans="2:8" s="698" customFormat="1" ht="69" x14ac:dyDescent="0.3">
      <c r="B127" s="1083" t="s">
        <v>594</v>
      </c>
      <c r="C127" s="1084" t="s">
        <v>736</v>
      </c>
      <c r="D127" s="1084" t="s">
        <v>604</v>
      </c>
      <c r="E127" s="1085" t="s">
        <v>159</v>
      </c>
      <c r="F127" s="1086" t="s">
        <v>461</v>
      </c>
      <c r="G127" s="1084" t="s">
        <v>542</v>
      </c>
      <c r="H127" s="1087" t="s">
        <v>845</v>
      </c>
    </row>
    <row r="128" spans="2:8" s="698" customFormat="1" ht="69" x14ac:dyDescent="0.3">
      <c r="B128" s="1083" t="s">
        <v>594</v>
      </c>
      <c r="C128" s="1084" t="s">
        <v>736</v>
      </c>
      <c r="D128" s="1084" t="s">
        <v>604</v>
      </c>
      <c r="E128" s="1085" t="s">
        <v>158</v>
      </c>
      <c r="F128" s="1086" t="s">
        <v>462</v>
      </c>
      <c r="G128" s="1084" t="s">
        <v>541</v>
      </c>
      <c r="H128" s="1087" t="s">
        <v>845</v>
      </c>
    </row>
    <row r="129" spans="2:8" s="698" customFormat="1" ht="34.5" x14ac:dyDescent="0.3">
      <c r="B129" s="1083" t="s">
        <v>594</v>
      </c>
      <c r="C129" s="1084" t="s">
        <v>736</v>
      </c>
      <c r="D129" s="1084" t="s">
        <v>605</v>
      </c>
      <c r="E129" s="1085" t="s">
        <v>482</v>
      </c>
      <c r="F129" s="1086" t="s">
        <v>491</v>
      </c>
      <c r="G129" s="1084" t="s">
        <v>534</v>
      </c>
      <c r="H129" s="1087"/>
    </row>
    <row r="130" spans="2:8" s="698" customFormat="1" ht="51.75" x14ac:dyDescent="0.3">
      <c r="B130" s="1083" t="s">
        <v>594</v>
      </c>
      <c r="C130" s="1084" t="s">
        <v>736</v>
      </c>
      <c r="D130" s="1084" t="s">
        <v>605</v>
      </c>
      <c r="E130" s="1085" t="s">
        <v>483</v>
      </c>
      <c r="F130" s="1086" t="s">
        <v>492</v>
      </c>
      <c r="G130" s="1084" t="s">
        <v>535</v>
      </c>
      <c r="H130" s="1087"/>
    </row>
    <row r="131" spans="2:8" s="698" customFormat="1" ht="34.5" x14ac:dyDescent="0.3">
      <c r="B131" s="1083" t="s">
        <v>594</v>
      </c>
      <c r="C131" s="1084" t="s">
        <v>736</v>
      </c>
      <c r="D131" s="1084" t="s">
        <v>605</v>
      </c>
      <c r="E131" s="1085" t="s">
        <v>486</v>
      </c>
      <c r="F131" s="1086" t="s">
        <v>493</v>
      </c>
      <c r="G131" s="1084" t="s">
        <v>536</v>
      </c>
      <c r="H131" s="1087" t="s">
        <v>846</v>
      </c>
    </row>
    <row r="132" spans="2:8" s="698" customFormat="1" ht="69" x14ac:dyDescent="0.3">
      <c r="B132" s="1083" t="s">
        <v>594</v>
      </c>
      <c r="C132" s="1084" t="s">
        <v>736</v>
      </c>
      <c r="D132" s="1084" t="s">
        <v>605</v>
      </c>
      <c r="E132" s="1085" t="s">
        <v>487</v>
      </c>
      <c r="F132" s="1086" t="s">
        <v>494</v>
      </c>
      <c r="G132" s="1084" t="s">
        <v>538</v>
      </c>
      <c r="H132" s="1087" t="s">
        <v>846</v>
      </c>
    </row>
    <row r="133" spans="2:8" s="698" customFormat="1" ht="51.75" x14ac:dyDescent="0.3">
      <c r="B133" s="1083" t="s">
        <v>594</v>
      </c>
      <c r="C133" s="1084" t="s">
        <v>736</v>
      </c>
      <c r="D133" s="1084" t="s">
        <v>605</v>
      </c>
      <c r="E133" s="1085" t="s">
        <v>14</v>
      </c>
      <c r="F133" s="1086" t="s">
        <v>495</v>
      </c>
      <c r="G133" s="1084" t="s">
        <v>539</v>
      </c>
      <c r="H133" s="1087" t="s">
        <v>846</v>
      </c>
    </row>
    <row r="134" spans="2:8" s="698" customFormat="1" ht="51.75" x14ac:dyDescent="0.3">
      <c r="B134" s="1083" t="s">
        <v>594</v>
      </c>
      <c r="C134" s="1084" t="s">
        <v>736</v>
      </c>
      <c r="D134" s="1084" t="s">
        <v>606</v>
      </c>
      <c r="E134" s="1085" t="s">
        <v>498</v>
      </c>
      <c r="F134" s="1086" t="s">
        <v>499</v>
      </c>
      <c r="G134" s="1084" t="s">
        <v>540</v>
      </c>
      <c r="H134" s="1087" t="s">
        <v>846</v>
      </c>
    </row>
    <row r="135" spans="2:8" s="698" customFormat="1" ht="34.5" x14ac:dyDescent="0.3">
      <c r="B135" s="1083" t="s">
        <v>636</v>
      </c>
      <c r="C135" s="1084" t="s">
        <v>637</v>
      </c>
      <c r="D135" s="1084" t="s">
        <v>702</v>
      </c>
      <c r="E135" s="1085" t="s">
        <v>283</v>
      </c>
      <c r="F135" s="1086" t="s">
        <v>136</v>
      </c>
      <c r="G135" s="1084" t="s">
        <v>26</v>
      </c>
      <c r="H135" s="1087" t="s">
        <v>847</v>
      </c>
    </row>
    <row r="136" spans="2:8" s="698" customFormat="1" ht="51.75" x14ac:dyDescent="0.3">
      <c r="B136" s="1083" t="s">
        <v>636</v>
      </c>
      <c r="C136" s="1084" t="s">
        <v>637</v>
      </c>
      <c r="D136" s="1084" t="s">
        <v>702</v>
      </c>
      <c r="E136" s="1085" t="s">
        <v>284</v>
      </c>
      <c r="F136" s="1086" t="s">
        <v>109</v>
      </c>
      <c r="G136" s="1084" t="s">
        <v>25</v>
      </c>
      <c r="H136" s="1087" t="s">
        <v>848</v>
      </c>
    </row>
    <row r="137" spans="2:8" s="698" customFormat="1" ht="69" x14ac:dyDescent="0.3">
      <c r="B137" s="1083" t="s">
        <v>636</v>
      </c>
      <c r="C137" s="1084" t="s">
        <v>637</v>
      </c>
      <c r="D137" s="1084" t="s">
        <v>702</v>
      </c>
      <c r="E137" s="1085" t="s">
        <v>285</v>
      </c>
      <c r="F137" s="1086" t="s">
        <v>110</v>
      </c>
      <c r="G137" s="1084" t="s">
        <v>45</v>
      </c>
      <c r="H137" s="1087" t="s">
        <v>848</v>
      </c>
    </row>
    <row r="138" spans="2:8" s="698" customFormat="1" ht="51.75" x14ac:dyDescent="0.3">
      <c r="B138" s="1083" t="s">
        <v>636</v>
      </c>
      <c r="C138" s="1084" t="s">
        <v>637</v>
      </c>
      <c r="D138" s="1084" t="s">
        <v>702</v>
      </c>
      <c r="E138" s="1085" t="s">
        <v>638</v>
      </c>
      <c r="F138" s="1086" t="s">
        <v>137</v>
      </c>
      <c r="G138" s="1084" t="s">
        <v>44</v>
      </c>
      <c r="H138" s="1087" t="s">
        <v>849</v>
      </c>
    </row>
    <row r="139" spans="2:8" s="698" customFormat="1" ht="34.5" x14ac:dyDescent="0.3">
      <c r="B139" s="1083" t="s">
        <v>636</v>
      </c>
      <c r="C139" s="1084" t="s">
        <v>637</v>
      </c>
      <c r="D139" s="1084" t="s">
        <v>702</v>
      </c>
      <c r="E139" s="1085" t="s">
        <v>389</v>
      </c>
      <c r="F139" s="1086" t="s">
        <v>415</v>
      </c>
      <c r="G139" s="1084" t="s">
        <v>567</v>
      </c>
      <c r="H139" s="1087" t="s">
        <v>850</v>
      </c>
    </row>
    <row r="140" spans="2:8" s="698" customFormat="1" ht="34.5" x14ac:dyDescent="0.3">
      <c r="B140" s="1083" t="s">
        <v>636</v>
      </c>
      <c r="C140" s="1084" t="s">
        <v>637</v>
      </c>
      <c r="D140" s="1084" t="s">
        <v>702</v>
      </c>
      <c r="E140" s="1085" t="s">
        <v>373</v>
      </c>
      <c r="F140" s="1086" t="s">
        <v>416</v>
      </c>
      <c r="G140" s="1084" t="s">
        <v>568</v>
      </c>
      <c r="H140" s="1087" t="s">
        <v>851</v>
      </c>
    </row>
    <row r="141" spans="2:8" s="698" customFormat="1" ht="34.5" x14ac:dyDescent="0.3">
      <c r="B141" s="1083" t="s">
        <v>636</v>
      </c>
      <c r="C141" s="1084" t="s">
        <v>637</v>
      </c>
      <c r="D141" s="1084" t="s">
        <v>702</v>
      </c>
      <c r="E141" s="1085" t="s">
        <v>375</v>
      </c>
      <c r="F141" s="1086" t="s">
        <v>417</v>
      </c>
      <c r="G141" s="1084" t="s">
        <v>569</v>
      </c>
      <c r="H141" s="1087" t="s">
        <v>851</v>
      </c>
    </row>
    <row r="142" spans="2:8" s="698" customFormat="1" ht="18.75" x14ac:dyDescent="0.3">
      <c r="B142" s="1083" t="s">
        <v>636</v>
      </c>
      <c r="C142" s="1084" t="s">
        <v>637</v>
      </c>
      <c r="D142" s="1084" t="s">
        <v>702</v>
      </c>
      <c r="E142" s="1085" t="s">
        <v>852</v>
      </c>
      <c r="F142" s="1086" t="s">
        <v>418</v>
      </c>
      <c r="G142" s="1084" t="s">
        <v>578</v>
      </c>
      <c r="H142" s="1087"/>
    </row>
    <row r="143" spans="2:8" s="698" customFormat="1" ht="69" x14ac:dyDescent="0.3">
      <c r="B143" s="1083" t="s">
        <v>636</v>
      </c>
      <c r="C143" s="1084" t="s">
        <v>637</v>
      </c>
      <c r="D143" s="1084" t="s">
        <v>702</v>
      </c>
      <c r="E143" s="1085" t="s">
        <v>853</v>
      </c>
      <c r="F143" s="1086" t="s">
        <v>201</v>
      </c>
      <c r="G143" s="1084" t="s">
        <v>294</v>
      </c>
      <c r="H143" s="1087"/>
    </row>
    <row r="144" spans="2:8" s="698" customFormat="1" ht="69" x14ac:dyDescent="0.3">
      <c r="B144" s="1083" t="s">
        <v>636</v>
      </c>
      <c r="C144" s="1084" t="s">
        <v>637</v>
      </c>
      <c r="D144" s="1084" t="s">
        <v>702</v>
      </c>
      <c r="E144" s="1088" t="s">
        <v>202</v>
      </c>
      <c r="F144" s="1086" t="s">
        <v>213</v>
      </c>
      <c r="G144" s="1084" t="s">
        <v>295</v>
      </c>
      <c r="H144" s="1087"/>
    </row>
    <row r="145" spans="2:8" s="698" customFormat="1" ht="69" x14ac:dyDescent="0.3">
      <c r="B145" s="1083" t="s">
        <v>636</v>
      </c>
      <c r="C145" s="1084" t="s">
        <v>637</v>
      </c>
      <c r="D145" s="1084" t="s">
        <v>854</v>
      </c>
      <c r="E145" s="1088" t="s">
        <v>286</v>
      </c>
      <c r="F145" s="1086" t="s">
        <v>111</v>
      </c>
      <c r="G145" s="1084" t="s">
        <v>266</v>
      </c>
      <c r="H145" s="1087" t="s">
        <v>849</v>
      </c>
    </row>
    <row r="146" spans="2:8" s="698" customFormat="1" ht="120.75" x14ac:dyDescent="0.3">
      <c r="B146" s="1083" t="s">
        <v>636</v>
      </c>
      <c r="C146" s="1084" t="s">
        <v>637</v>
      </c>
      <c r="D146" s="1084" t="s">
        <v>854</v>
      </c>
      <c r="E146" s="1085" t="s">
        <v>200</v>
      </c>
      <c r="F146" s="1086" t="s">
        <v>112</v>
      </c>
      <c r="G146" s="1084" t="s">
        <v>267</v>
      </c>
      <c r="H146" s="1087" t="s">
        <v>849</v>
      </c>
    </row>
    <row r="147" spans="2:8" s="698" customFormat="1" ht="51.75" x14ac:dyDescent="0.3">
      <c r="B147" s="1083" t="s">
        <v>636</v>
      </c>
      <c r="C147" s="1084" t="s">
        <v>637</v>
      </c>
      <c r="D147" s="1084" t="s">
        <v>854</v>
      </c>
      <c r="E147" s="1085" t="s">
        <v>203</v>
      </c>
      <c r="F147" s="1086" t="s">
        <v>205</v>
      </c>
      <c r="G147" s="1084" t="s">
        <v>296</v>
      </c>
      <c r="H147" s="1087" t="s">
        <v>849</v>
      </c>
    </row>
    <row r="148" spans="2:8" s="698" customFormat="1" ht="69" x14ac:dyDescent="0.3">
      <c r="B148" s="1083" t="s">
        <v>636</v>
      </c>
      <c r="C148" s="1084" t="s">
        <v>637</v>
      </c>
      <c r="D148" s="1084" t="s">
        <v>854</v>
      </c>
      <c r="E148" s="1085" t="s">
        <v>204</v>
      </c>
      <c r="F148" s="1086" t="s">
        <v>206</v>
      </c>
      <c r="G148" s="1084" t="s">
        <v>297</v>
      </c>
      <c r="H148" s="1087" t="s">
        <v>849</v>
      </c>
    </row>
    <row r="149" spans="2:8" s="698" customFormat="1" ht="69" x14ac:dyDescent="0.3">
      <c r="B149" s="1083" t="s">
        <v>636</v>
      </c>
      <c r="C149" s="1084" t="s">
        <v>637</v>
      </c>
      <c r="D149" s="1084" t="s">
        <v>855</v>
      </c>
      <c r="E149" s="1085" t="s">
        <v>287</v>
      </c>
      <c r="F149" s="1086" t="s">
        <v>138</v>
      </c>
      <c r="G149" s="1084" t="s">
        <v>46</v>
      </c>
      <c r="H149" s="1087" t="s">
        <v>856</v>
      </c>
    </row>
    <row r="150" spans="2:8" s="698" customFormat="1" ht="34.5" x14ac:dyDescent="0.3">
      <c r="B150" s="1083" t="s">
        <v>636</v>
      </c>
      <c r="C150" s="1084" t="s">
        <v>637</v>
      </c>
      <c r="D150" s="1084" t="s">
        <v>855</v>
      </c>
      <c r="E150" s="1085" t="s">
        <v>288</v>
      </c>
      <c r="F150" s="1086" t="s">
        <v>139</v>
      </c>
      <c r="G150" s="1084" t="s">
        <v>857</v>
      </c>
      <c r="H150" s="1087" t="s">
        <v>856</v>
      </c>
    </row>
    <row r="151" spans="2:8" s="698" customFormat="1" ht="18.75" x14ac:dyDescent="0.3">
      <c r="B151" s="1083" t="s">
        <v>636</v>
      </c>
      <c r="C151" s="1084" t="s">
        <v>637</v>
      </c>
      <c r="D151" s="1084" t="s">
        <v>855</v>
      </c>
      <c r="E151" s="1085" t="s">
        <v>289</v>
      </c>
      <c r="F151" s="1086" t="s">
        <v>272</v>
      </c>
      <c r="G151" s="1084" t="s">
        <v>298</v>
      </c>
      <c r="H151" s="1087" t="s">
        <v>856</v>
      </c>
    </row>
    <row r="152" spans="2:8" s="698" customFormat="1" ht="34.5" x14ac:dyDescent="0.3">
      <c r="B152" s="1083" t="s">
        <v>636</v>
      </c>
      <c r="C152" s="1084" t="s">
        <v>637</v>
      </c>
      <c r="D152" s="1084" t="s">
        <v>855</v>
      </c>
      <c r="E152" s="1085" t="s">
        <v>290</v>
      </c>
      <c r="F152" s="1086" t="s">
        <v>273</v>
      </c>
      <c r="G152" s="1084" t="s">
        <v>299</v>
      </c>
      <c r="H152" s="1087" t="s">
        <v>856</v>
      </c>
    </row>
    <row r="153" spans="2:8" s="698" customFormat="1" ht="51.75" x14ac:dyDescent="0.3">
      <c r="B153" s="1083" t="s">
        <v>636</v>
      </c>
      <c r="C153" s="1084" t="s">
        <v>637</v>
      </c>
      <c r="D153" s="1084" t="s">
        <v>858</v>
      </c>
      <c r="E153" s="1085" t="s">
        <v>291</v>
      </c>
      <c r="F153" s="1086" t="s">
        <v>113</v>
      </c>
      <c r="G153" s="1084" t="s">
        <v>47</v>
      </c>
      <c r="H153" s="1087" t="s">
        <v>859</v>
      </c>
    </row>
    <row r="154" spans="2:8" s="698" customFormat="1" ht="69" x14ac:dyDescent="0.3">
      <c r="B154" s="1083" t="s">
        <v>636</v>
      </c>
      <c r="C154" s="1084" t="s">
        <v>637</v>
      </c>
      <c r="D154" s="1084" t="s">
        <v>858</v>
      </c>
      <c r="E154" s="1085" t="s">
        <v>292</v>
      </c>
      <c r="F154" s="1086" t="s">
        <v>114</v>
      </c>
      <c r="G154" s="1084" t="s">
        <v>860</v>
      </c>
      <c r="H154" s="1087" t="s">
        <v>859</v>
      </c>
    </row>
    <row r="155" spans="2:8" s="698" customFormat="1" ht="51.75" x14ac:dyDescent="0.3">
      <c r="B155" s="1083" t="s">
        <v>636</v>
      </c>
      <c r="C155" s="1084" t="s">
        <v>637</v>
      </c>
      <c r="D155" s="1084" t="s">
        <v>858</v>
      </c>
      <c r="E155" s="1085" t="s">
        <v>207</v>
      </c>
      <c r="F155" s="1086" t="s">
        <v>209</v>
      </c>
      <c r="G155" s="1084" t="s">
        <v>300</v>
      </c>
      <c r="H155" s="1087" t="s">
        <v>859</v>
      </c>
    </row>
    <row r="156" spans="2:8" s="698" customFormat="1" ht="69" x14ac:dyDescent="0.3">
      <c r="B156" s="1083" t="s">
        <v>636</v>
      </c>
      <c r="C156" s="1084" t="s">
        <v>637</v>
      </c>
      <c r="D156" s="1084" t="s">
        <v>858</v>
      </c>
      <c r="E156" s="1085" t="s">
        <v>208</v>
      </c>
      <c r="F156" s="1086" t="s">
        <v>210</v>
      </c>
      <c r="G156" s="1084" t="s">
        <v>301</v>
      </c>
      <c r="H156" s="1087" t="s">
        <v>859</v>
      </c>
    </row>
    <row r="157" spans="2:8" s="698" customFormat="1" ht="51.75" x14ac:dyDescent="0.3">
      <c r="B157" s="1083" t="s">
        <v>636</v>
      </c>
      <c r="C157" s="1084" t="s">
        <v>637</v>
      </c>
      <c r="D157" s="1084" t="s">
        <v>858</v>
      </c>
      <c r="E157" s="1085" t="s">
        <v>512</v>
      </c>
      <c r="F157" s="1086" t="s">
        <v>211</v>
      </c>
      <c r="G157" s="1084" t="s">
        <v>861</v>
      </c>
      <c r="H157" s="1087" t="s">
        <v>862</v>
      </c>
    </row>
    <row r="158" spans="2:8" s="698" customFormat="1" ht="69" x14ac:dyDescent="0.3">
      <c r="B158" s="1083" t="s">
        <v>636</v>
      </c>
      <c r="C158" s="1084" t="s">
        <v>637</v>
      </c>
      <c r="D158" s="1084" t="s">
        <v>858</v>
      </c>
      <c r="E158" s="1085" t="s">
        <v>452</v>
      </c>
      <c r="F158" s="1086" t="s">
        <v>212</v>
      </c>
      <c r="G158" s="1084" t="s">
        <v>863</v>
      </c>
      <c r="H158" s="1087" t="s">
        <v>862</v>
      </c>
    </row>
    <row r="159" spans="2:8" s="698" customFormat="1" ht="69" x14ac:dyDescent="0.3">
      <c r="B159" s="1083" t="s">
        <v>636</v>
      </c>
      <c r="C159" s="1084" t="s">
        <v>637</v>
      </c>
      <c r="D159" s="1084" t="s">
        <v>858</v>
      </c>
      <c r="E159" s="1085" t="s">
        <v>453</v>
      </c>
      <c r="F159" s="1086" t="s">
        <v>455</v>
      </c>
      <c r="G159" s="1084" t="s">
        <v>864</v>
      </c>
      <c r="H159" s="1087" t="s">
        <v>862</v>
      </c>
    </row>
    <row r="160" spans="2:8" s="698" customFormat="1" ht="69" x14ac:dyDescent="0.3">
      <c r="B160" s="1083" t="s">
        <v>636</v>
      </c>
      <c r="C160" s="1084" t="s">
        <v>637</v>
      </c>
      <c r="D160" s="1084" t="s">
        <v>858</v>
      </c>
      <c r="E160" s="1085" t="s">
        <v>454</v>
      </c>
      <c r="F160" s="1086" t="s">
        <v>456</v>
      </c>
      <c r="G160" s="1084" t="s">
        <v>865</v>
      </c>
      <c r="H160" s="1087" t="s">
        <v>862</v>
      </c>
    </row>
    <row r="161" spans="2:8" s="698" customFormat="1" ht="86.25" x14ac:dyDescent="0.3">
      <c r="B161" s="1083" t="s">
        <v>636</v>
      </c>
      <c r="C161" s="1084" t="s">
        <v>637</v>
      </c>
      <c r="D161" s="1084" t="s">
        <v>866</v>
      </c>
      <c r="E161" s="1085" t="s">
        <v>639</v>
      </c>
      <c r="F161" s="1086" t="s">
        <v>703</v>
      </c>
      <c r="G161" s="1084" t="s">
        <v>867</v>
      </c>
      <c r="H161" s="1087" t="s">
        <v>675</v>
      </c>
    </row>
    <row r="162" spans="2:8" s="698" customFormat="1" ht="86.25" x14ac:dyDescent="0.3">
      <c r="B162" s="1083" t="s">
        <v>636</v>
      </c>
      <c r="C162" s="1084" t="s">
        <v>637</v>
      </c>
      <c r="D162" s="1084" t="s">
        <v>866</v>
      </c>
      <c r="E162" s="1085" t="s">
        <v>389</v>
      </c>
      <c r="F162" s="1086" t="s">
        <v>419</v>
      </c>
      <c r="G162" s="1084" t="s">
        <v>567</v>
      </c>
      <c r="H162" s="1087" t="s">
        <v>868</v>
      </c>
    </row>
    <row r="163" spans="2:8" s="698" customFormat="1" ht="86.25" x14ac:dyDescent="0.3">
      <c r="B163" s="1083" t="s">
        <v>636</v>
      </c>
      <c r="C163" s="1084" t="s">
        <v>637</v>
      </c>
      <c r="D163" s="1084" t="s">
        <v>866</v>
      </c>
      <c r="E163" s="1085" t="s">
        <v>373</v>
      </c>
      <c r="F163" s="1086" t="s">
        <v>420</v>
      </c>
      <c r="G163" s="1084" t="s">
        <v>568</v>
      </c>
      <c r="H163" s="1087" t="s">
        <v>868</v>
      </c>
    </row>
    <row r="164" spans="2:8" s="698" customFormat="1" ht="86.25" x14ac:dyDescent="0.3">
      <c r="B164" s="1083" t="s">
        <v>636</v>
      </c>
      <c r="C164" s="1084" t="s">
        <v>637</v>
      </c>
      <c r="D164" s="1084" t="s">
        <v>866</v>
      </c>
      <c r="E164" s="1085" t="s">
        <v>375</v>
      </c>
      <c r="F164" s="1086" t="s">
        <v>421</v>
      </c>
      <c r="G164" s="1084" t="s">
        <v>569</v>
      </c>
      <c r="H164" s="1087" t="s">
        <v>868</v>
      </c>
    </row>
    <row r="165" spans="2:8" s="698" customFormat="1" ht="86.25" x14ac:dyDescent="0.3">
      <c r="B165" s="1083" t="s">
        <v>636</v>
      </c>
      <c r="C165" s="1084" t="s">
        <v>637</v>
      </c>
      <c r="D165" s="1084" t="s">
        <v>866</v>
      </c>
      <c r="E165" s="1085" t="s">
        <v>377</v>
      </c>
      <c r="F165" s="1086" t="s">
        <v>422</v>
      </c>
      <c r="G165" s="1084" t="s">
        <v>579</v>
      </c>
      <c r="H165" s="1087"/>
    </row>
    <row r="166" spans="2:8" s="698" customFormat="1" ht="69" x14ac:dyDescent="0.3">
      <c r="B166" s="1083" t="s">
        <v>636</v>
      </c>
      <c r="C166" s="1084" t="s">
        <v>641</v>
      </c>
      <c r="D166" s="1084" t="s">
        <v>642</v>
      </c>
      <c r="E166" s="1085" t="s">
        <v>214</v>
      </c>
      <c r="F166" s="1086" t="s">
        <v>140</v>
      </c>
      <c r="G166" s="1084" t="s">
        <v>27</v>
      </c>
      <c r="H166" s="1087" t="s">
        <v>869</v>
      </c>
    </row>
    <row r="167" spans="2:8" s="698" customFormat="1" ht="51.75" x14ac:dyDescent="0.3">
      <c r="B167" s="1083" t="s">
        <v>636</v>
      </c>
      <c r="C167" s="1084" t="s">
        <v>641</v>
      </c>
      <c r="D167" s="1084" t="s">
        <v>642</v>
      </c>
      <c r="E167" s="1085" t="s">
        <v>215</v>
      </c>
      <c r="F167" s="1086" t="s">
        <v>141</v>
      </c>
      <c r="G167" s="1084" t="s">
        <v>28</v>
      </c>
      <c r="H167" s="1087" t="s">
        <v>869</v>
      </c>
    </row>
    <row r="168" spans="2:8" s="698" customFormat="1" ht="51.75" x14ac:dyDescent="0.3">
      <c r="B168" s="1083" t="s">
        <v>636</v>
      </c>
      <c r="C168" s="1084" t="s">
        <v>641</v>
      </c>
      <c r="D168" s="1084" t="s">
        <v>642</v>
      </c>
      <c r="E168" s="1085" t="s">
        <v>216</v>
      </c>
      <c r="F168" s="1086" t="s">
        <v>220</v>
      </c>
      <c r="G168" s="1084" t="s">
        <v>583</v>
      </c>
      <c r="H168" s="1087" t="s">
        <v>869</v>
      </c>
    </row>
    <row r="169" spans="2:8" s="698" customFormat="1" ht="51.75" x14ac:dyDescent="0.3">
      <c r="B169" s="1083" t="s">
        <v>636</v>
      </c>
      <c r="C169" s="1084" t="s">
        <v>641</v>
      </c>
      <c r="D169" s="1084" t="s">
        <v>870</v>
      </c>
      <c r="E169" s="1088" t="s">
        <v>293</v>
      </c>
      <c r="F169" s="1086" t="s">
        <v>221</v>
      </c>
      <c r="G169" s="1084" t="s">
        <v>302</v>
      </c>
      <c r="H169" s="1087" t="s">
        <v>869</v>
      </c>
    </row>
    <row r="170" spans="2:8" s="698" customFormat="1" ht="34.5" x14ac:dyDescent="0.3">
      <c r="B170" s="1083" t="s">
        <v>636</v>
      </c>
      <c r="C170" s="1084" t="s">
        <v>641</v>
      </c>
      <c r="D170" s="1084" t="s">
        <v>870</v>
      </c>
      <c r="E170" s="1085" t="s">
        <v>217</v>
      </c>
      <c r="F170" s="1086" t="s">
        <v>222</v>
      </c>
      <c r="G170" s="1084" t="s">
        <v>303</v>
      </c>
      <c r="H170" s="1087" t="s">
        <v>869</v>
      </c>
    </row>
    <row r="171" spans="2:8" s="698" customFormat="1" ht="51.75" x14ac:dyDescent="0.3">
      <c r="B171" s="1083" t="s">
        <v>636</v>
      </c>
      <c r="C171" s="1084" t="s">
        <v>641</v>
      </c>
      <c r="D171" s="1084" t="s">
        <v>643</v>
      </c>
      <c r="E171" s="1085" t="s">
        <v>510</v>
      </c>
      <c r="F171" s="1086" t="s">
        <v>142</v>
      </c>
      <c r="G171" s="1084" t="s">
        <v>51</v>
      </c>
      <c r="H171" s="1087" t="s">
        <v>871</v>
      </c>
    </row>
    <row r="172" spans="2:8" s="698" customFormat="1" ht="34.5" x14ac:dyDescent="0.3">
      <c r="B172" s="1083" t="s">
        <v>636</v>
      </c>
      <c r="C172" s="1084" t="s">
        <v>641</v>
      </c>
      <c r="D172" s="1084" t="s">
        <v>643</v>
      </c>
      <c r="E172" s="1085" t="s">
        <v>270</v>
      </c>
      <c r="F172" s="1086" t="s">
        <v>271</v>
      </c>
      <c r="G172" s="1084" t="s">
        <v>304</v>
      </c>
      <c r="H172" s="1087" t="s">
        <v>871</v>
      </c>
    </row>
    <row r="173" spans="2:8" s="698" customFormat="1" ht="34.5" x14ac:dyDescent="0.3">
      <c r="B173" s="1083" t="s">
        <v>636</v>
      </c>
      <c r="C173" s="1084" t="s">
        <v>641</v>
      </c>
      <c r="D173" s="1084" t="s">
        <v>644</v>
      </c>
      <c r="E173" s="1085" t="s">
        <v>218</v>
      </c>
      <c r="F173" s="1086" t="s">
        <v>143</v>
      </c>
      <c r="G173" s="1084" t="s">
        <v>305</v>
      </c>
      <c r="H173" s="1087" t="s">
        <v>872</v>
      </c>
    </row>
    <row r="174" spans="2:8" s="698" customFormat="1" ht="34.5" x14ac:dyDescent="0.3">
      <c r="B174" s="1083" t="s">
        <v>636</v>
      </c>
      <c r="C174" s="1084" t="s">
        <v>641</v>
      </c>
      <c r="D174" s="1084" t="s">
        <v>644</v>
      </c>
      <c r="E174" s="1085" t="s">
        <v>219</v>
      </c>
      <c r="F174" s="1086" t="s">
        <v>223</v>
      </c>
      <c r="G174" s="1084" t="s">
        <v>306</v>
      </c>
      <c r="H174" s="1087" t="s">
        <v>872</v>
      </c>
    </row>
    <row r="175" spans="2:8" s="698" customFormat="1" ht="51.75" x14ac:dyDescent="0.3">
      <c r="B175" s="1083" t="s">
        <v>636</v>
      </c>
      <c r="C175" s="1084" t="s">
        <v>641</v>
      </c>
      <c r="D175" s="1084" t="s">
        <v>644</v>
      </c>
      <c r="E175" s="1085" t="s">
        <v>511</v>
      </c>
      <c r="F175" s="1086" t="s">
        <v>224</v>
      </c>
      <c r="G175" s="1084" t="s">
        <v>307</v>
      </c>
      <c r="H175" s="1087" t="s">
        <v>873</v>
      </c>
    </row>
    <row r="176" spans="2:8" s="698" customFormat="1" ht="51.75" x14ac:dyDescent="0.3">
      <c r="B176" s="1083" t="s">
        <v>636</v>
      </c>
      <c r="C176" s="1084" t="s">
        <v>641</v>
      </c>
      <c r="D176" s="1084" t="s">
        <v>644</v>
      </c>
      <c r="E176" s="1085" t="s">
        <v>467</v>
      </c>
      <c r="F176" s="1086" t="s">
        <v>466</v>
      </c>
      <c r="G176" s="1084" t="s">
        <v>307</v>
      </c>
      <c r="H176" s="1087" t="s">
        <v>873</v>
      </c>
    </row>
    <row r="177" spans="2:8" s="698" customFormat="1" ht="86.25" x14ac:dyDescent="0.3">
      <c r="B177" s="1083" t="s">
        <v>636</v>
      </c>
      <c r="C177" s="1084" t="s">
        <v>645</v>
      </c>
      <c r="D177" s="1084" t="s">
        <v>874</v>
      </c>
      <c r="E177" s="1085" t="s">
        <v>646</v>
      </c>
      <c r="F177" s="1086" t="s">
        <v>145</v>
      </c>
      <c r="G177" s="1084" t="s">
        <v>875</v>
      </c>
      <c r="H177" s="1087" t="s">
        <v>876</v>
      </c>
    </row>
    <row r="178" spans="2:8" s="698" customFormat="1" ht="86.25" x14ac:dyDescent="0.3">
      <c r="B178" s="1083" t="s">
        <v>636</v>
      </c>
      <c r="C178" s="1084" t="s">
        <v>645</v>
      </c>
      <c r="D178" s="1084" t="s">
        <v>874</v>
      </c>
      <c r="E178" s="1085" t="s">
        <v>647</v>
      </c>
      <c r="F178" s="1086" t="s">
        <v>704</v>
      </c>
      <c r="G178" s="1084" t="s">
        <v>877</v>
      </c>
      <c r="H178" s="1087" t="s">
        <v>876</v>
      </c>
    </row>
    <row r="179" spans="2:8" s="698" customFormat="1" ht="103.5" x14ac:dyDescent="0.3">
      <c r="B179" s="1083" t="s">
        <v>636</v>
      </c>
      <c r="C179" s="1084" t="s">
        <v>645</v>
      </c>
      <c r="D179" s="1084" t="s">
        <v>874</v>
      </c>
      <c r="E179" s="1085" t="s">
        <v>648</v>
      </c>
      <c r="F179" s="1086" t="s">
        <v>146</v>
      </c>
      <c r="G179" s="1084" t="s">
        <v>52</v>
      </c>
      <c r="H179" s="1087" t="s">
        <v>878</v>
      </c>
    </row>
    <row r="180" spans="2:8" s="698" customFormat="1" ht="86.25" x14ac:dyDescent="0.3">
      <c r="B180" s="1083" t="s">
        <v>636</v>
      </c>
      <c r="C180" s="1084" t="s">
        <v>645</v>
      </c>
      <c r="D180" s="1084" t="s">
        <v>874</v>
      </c>
      <c r="E180" s="1085" t="s">
        <v>649</v>
      </c>
      <c r="F180" s="1086" t="s">
        <v>147</v>
      </c>
      <c r="G180" s="1084" t="s">
        <v>879</v>
      </c>
      <c r="H180" s="1087" t="s">
        <v>880</v>
      </c>
    </row>
    <row r="181" spans="2:8" s="698" customFormat="1" ht="103.5" x14ac:dyDescent="0.3">
      <c r="B181" s="1083" t="s">
        <v>636</v>
      </c>
      <c r="C181" s="1084" t="s">
        <v>645</v>
      </c>
      <c r="D181" s="1084" t="s">
        <v>874</v>
      </c>
      <c r="E181" s="1085" t="s">
        <v>650</v>
      </c>
      <c r="F181" s="1086" t="s">
        <v>705</v>
      </c>
      <c r="G181" s="1084" t="s">
        <v>881</v>
      </c>
      <c r="H181" s="1087" t="s">
        <v>882</v>
      </c>
    </row>
    <row r="182" spans="2:8" s="698" customFormat="1" ht="51.75" x14ac:dyDescent="0.3">
      <c r="B182" s="1083" t="s">
        <v>670</v>
      </c>
      <c r="C182" s="1084" t="s">
        <v>671</v>
      </c>
      <c r="D182" s="1084" t="s">
        <v>672</v>
      </c>
      <c r="E182" s="1085" t="s">
        <v>226</v>
      </c>
      <c r="F182" s="1086" t="s">
        <v>229</v>
      </c>
      <c r="G182" s="1084" t="s">
        <v>330</v>
      </c>
      <c r="H182" s="1087" t="s">
        <v>883</v>
      </c>
    </row>
    <row r="183" spans="2:8" s="698" customFormat="1" ht="51.75" x14ac:dyDescent="0.3">
      <c r="B183" s="1083" t="s">
        <v>670</v>
      </c>
      <c r="C183" s="1084" t="s">
        <v>671</v>
      </c>
      <c r="D183" s="1084" t="s">
        <v>672</v>
      </c>
      <c r="E183" s="1085" t="s">
        <v>884</v>
      </c>
      <c r="F183" s="1086" t="s">
        <v>230</v>
      </c>
      <c r="G183" s="1084" t="s">
        <v>331</v>
      </c>
      <c r="H183" s="1087" t="s">
        <v>885</v>
      </c>
    </row>
    <row r="184" spans="2:8" s="699" customFormat="1" ht="86.25" x14ac:dyDescent="0.3">
      <c r="B184" s="1083" t="s">
        <v>670</v>
      </c>
      <c r="C184" s="1084" t="s">
        <v>671</v>
      </c>
      <c r="D184" s="1084" t="s">
        <v>672</v>
      </c>
      <c r="E184" s="1085" t="s">
        <v>509</v>
      </c>
      <c r="F184" s="1086" t="s">
        <v>359</v>
      </c>
      <c r="G184" s="1084" t="s">
        <v>531</v>
      </c>
      <c r="H184" s="1087"/>
    </row>
    <row r="185" spans="2:8" s="699" customFormat="1" ht="51.75" x14ac:dyDescent="0.3">
      <c r="B185" s="1083" t="s">
        <v>670</v>
      </c>
      <c r="C185" s="1084" t="s">
        <v>671</v>
      </c>
      <c r="D185" s="1084" t="s">
        <v>672</v>
      </c>
      <c r="E185" s="1085" t="s">
        <v>227</v>
      </c>
      <c r="F185" s="1086" t="s">
        <v>231</v>
      </c>
      <c r="G185" s="1084" t="s">
        <v>332</v>
      </c>
      <c r="H185" s="1087"/>
    </row>
    <row r="186" spans="2:8" s="699" customFormat="1" ht="51.75" x14ac:dyDescent="0.3">
      <c r="B186" s="1083" t="s">
        <v>670</v>
      </c>
      <c r="C186" s="1084" t="s">
        <v>671</v>
      </c>
      <c r="D186" s="1084" t="s">
        <v>672</v>
      </c>
      <c r="E186" s="1088" t="s">
        <v>240</v>
      </c>
      <c r="F186" s="1086" t="s">
        <v>232</v>
      </c>
      <c r="G186" s="1084" t="s">
        <v>333</v>
      </c>
      <c r="H186" s="1087" t="s">
        <v>885</v>
      </c>
    </row>
    <row r="187" spans="2:8" s="699" customFormat="1" ht="51.75" x14ac:dyDescent="0.3">
      <c r="B187" s="1083" t="s">
        <v>670</v>
      </c>
      <c r="C187" s="1084" t="s">
        <v>671</v>
      </c>
      <c r="D187" s="1084" t="s">
        <v>672</v>
      </c>
      <c r="E187" s="1085" t="s">
        <v>228</v>
      </c>
      <c r="F187" s="1086" t="s">
        <v>233</v>
      </c>
      <c r="G187" s="1084" t="s">
        <v>334</v>
      </c>
      <c r="H187" s="1087"/>
    </row>
    <row r="188" spans="2:8" s="699" customFormat="1" ht="51.75" x14ac:dyDescent="0.3">
      <c r="B188" s="1083" t="s">
        <v>670</v>
      </c>
      <c r="C188" s="1084" t="s">
        <v>671</v>
      </c>
      <c r="D188" s="1084" t="s">
        <v>672</v>
      </c>
      <c r="E188" s="1088" t="s">
        <v>242</v>
      </c>
      <c r="F188" s="1086" t="s">
        <v>234</v>
      </c>
      <c r="G188" s="1084" t="s">
        <v>335</v>
      </c>
      <c r="H188" s="1087" t="s">
        <v>885</v>
      </c>
    </row>
    <row r="189" spans="2:8" s="698" customFormat="1" ht="51.75" x14ac:dyDescent="0.3">
      <c r="B189" s="1083" t="s">
        <v>670</v>
      </c>
      <c r="C189" s="1084" t="s">
        <v>671</v>
      </c>
      <c r="D189" s="1084" t="s">
        <v>672</v>
      </c>
      <c r="E189" s="1085" t="s">
        <v>389</v>
      </c>
      <c r="F189" s="1086" t="s">
        <v>399</v>
      </c>
      <c r="G189" s="1084" t="s">
        <v>567</v>
      </c>
      <c r="H189" s="1087" t="s">
        <v>886</v>
      </c>
    </row>
    <row r="190" spans="2:8" s="698" customFormat="1" ht="51.75" x14ac:dyDescent="0.3">
      <c r="B190" s="1083" t="s">
        <v>670</v>
      </c>
      <c r="C190" s="1084" t="s">
        <v>671</v>
      </c>
      <c r="D190" s="1084" t="s">
        <v>672</v>
      </c>
      <c r="E190" s="1085" t="s">
        <v>373</v>
      </c>
      <c r="F190" s="1086" t="s">
        <v>400</v>
      </c>
      <c r="G190" s="1084" t="s">
        <v>568</v>
      </c>
      <c r="H190" s="1087" t="s">
        <v>886</v>
      </c>
    </row>
    <row r="191" spans="2:8" s="698" customFormat="1" ht="51.75" x14ac:dyDescent="0.3">
      <c r="B191" s="1083" t="s">
        <v>670</v>
      </c>
      <c r="C191" s="1084" t="s">
        <v>671</v>
      </c>
      <c r="D191" s="1084" t="s">
        <v>672</v>
      </c>
      <c r="E191" s="1085" t="s">
        <v>375</v>
      </c>
      <c r="F191" s="1086" t="s">
        <v>401</v>
      </c>
      <c r="G191" s="1084" t="s">
        <v>569</v>
      </c>
      <c r="H191" s="1087" t="s">
        <v>886</v>
      </c>
    </row>
    <row r="192" spans="2:8" s="698" customFormat="1" ht="51.75" x14ac:dyDescent="0.3">
      <c r="B192" s="1083" t="s">
        <v>670</v>
      </c>
      <c r="C192" s="1084" t="s">
        <v>671</v>
      </c>
      <c r="D192" s="1084" t="s">
        <v>672</v>
      </c>
      <c r="E192" s="1085" t="s">
        <v>377</v>
      </c>
      <c r="F192" s="1086" t="s">
        <v>402</v>
      </c>
      <c r="G192" s="1084" t="s">
        <v>575</v>
      </c>
      <c r="H192" s="1087" t="s">
        <v>886</v>
      </c>
    </row>
    <row r="193" spans="2:8" s="698" customFormat="1" ht="51.75" x14ac:dyDescent="0.3">
      <c r="B193" s="1083" t="s">
        <v>670</v>
      </c>
      <c r="C193" s="1084" t="s">
        <v>671</v>
      </c>
      <c r="D193" s="1084" t="s">
        <v>672</v>
      </c>
      <c r="E193" s="1085" t="s">
        <v>235</v>
      </c>
      <c r="F193" s="1086" t="s">
        <v>236</v>
      </c>
      <c r="G193" s="1084" t="s">
        <v>336</v>
      </c>
      <c r="H193" s="1087"/>
    </row>
    <row r="194" spans="2:8" s="698" customFormat="1" ht="51.75" x14ac:dyDescent="0.3">
      <c r="B194" s="1083" t="s">
        <v>670</v>
      </c>
      <c r="C194" s="1084" t="s">
        <v>673</v>
      </c>
      <c r="D194" s="1084" t="s">
        <v>674</v>
      </c>
      <c r="E194" s="1088" t="s">
        <v>239</v>
      </c>
      <c r="F194" s="1086" t="s">
        <v>237</v>
      </c>
      <c r="G194" s="1084" t="s">
        <v>337</v>
      </c>
      <c r="H194" s="1087" t="s">
        <v>886</v>
      </c>
    </row>
    <row r="195" spans="2:8" s="698" customFormat="1" ht="51.75" x14ac:dyDescent="0.3">
      <c r="B195" s="1083" t="s">
        <v>670</v>
      </c>
      <c r="C195" s="1084" t="s">
        <v>673</v>
      </c>
      <c r="D195" s="1084" t="s">
        <v>674</v>
      </c>
      <c r="E195" s="1085" t="s">
        <v>241</v>
      </c>
      <c r="F195" s="1086" t="s">
        <v>238</v>
      </c>
      <c r="G195" s="1084" t="s">
        <v>338</v>
      </c>
      <c r="H195" s="1087" t="s">
        <v>886</v>
      </c>
    </row>
    <row r="196" spans="2:8" s="698" customFormat="1" ht="51.75" x14ac:dyDescent="0.3">
      <c r="B196" s="1083" t="s">
        <v>670</v>
      </c>
      <c r="C196" s="1084" t="s">
        <v>673</v>
      </c>
      <c r="D196" s="1084" t="s">
        <v>674</v>
      </c>
      <c r="E196" s="1085" t="s">
        <v>244</v>
      </c>
      <c r="F196" s="1086" t="s">
        <v>243</v>
      </c>
      <c r="G196" s="1084" t="s">
        <v>339</v>
      </c>
      <c r="H196" s="1087"/>
    </row>
    <row r="197" spans="2:8" s="698" customFormat="1" ht="34.5" x14ac:dyDescent="0.3">
      <c r="B197" s="1083" t="s">
        <v>651</v>
      </c>
      <c r="C197" s="1084" t="s">
        <v>652</v>
      </c>
      <c r="D197" s="1084" t="s">
        <v>653</v>
      </c>
      <c r="E197" s="1088" t="s">
        <v>706</v>
      </c>
      <c r="F197" s="1086" t="s">
        <v>116</v>
      </c>
      <c r="G197" s="1084" t="s">
        <v>308</v>
      </c>
      <c r="H197" s="1087" t="s">
        <v>120</v>
      </c>
    </row>
    <row r="198" spans="2:8" s="698" customFormat="1" ht="51.75" x14ac:dyDescent="0.3">
      <c r="B198" s="1083" t="s">
        <v>651</v>
      </c>
      <c r="C198" s="1084" t="s">
        <v>652</v>
      </c>
      <c r="D198" s="1084" t="s">
        <v>654</v>
      </c>
      <c r="E198" s="1085" t="s">
        <v>161</v>
      </c>
      <c r="F198" s="1086" t="s">
        <v>249</v>
      </c>
      <c r="G198" s="1084" t="s">
        <v>309</v>
      </c>
      <c r="H198" s="1087" t="s">
        <v>120</v>
      </c>
    </row>
    <row r="199" spans="2:8" s="698" customFormat="1" ht="51.75" x14ac:dyDescent="0.3">
      <c r="B199" s="1083" t="s">
        <v>651</v>
      </c>
      <c r="C199" s="1084" t="s">
        <v>652</v>
      </c>
      <c r="D199" s="1084" t="s">
        <v>654</v>
      </c>
      <c r="E199" s="1085" t="s">
        <v>157</v>
      </c>
      <c r="F199" s="1086" t="s">
        <v>250</v>
      </c>
      <c r="G199" s="1084" t="s">
        <v>310</v>
      </c>
      <c r="H199" s="1087" t="s">
        <v>120</v>
      </c>
    </row>
    <row r="200" spans="2:8" s="698" customFormat="1" ht="51.75" x14ac:dyDescent="0.3">
      <c r="B200" s="1083" t="s">
        <v>651</v>
      </c>
      <c r="C200" s="1084" t="s">
        <v>652</v>
      </c>
      <c r="D200" s="1084" t="s">
        <v>654</v>
      </c>
      <c r="E200" s="1085" t="s">
        <v>158</v>
      </c>
      <c r="F200" s="1086" t="s">
        <v>251</v>
      </c>
      <c r="G200" s="1084" t="s">
        <v>311</v>
      </c>
      <c r="H200" s="1087" t="s">
        <v>120</v>
      </c>
    </row>
    <row r="201" spans="2:8" s="698" customFormat="1" ht="51.75" x14ac:dyDescent="0.3">
      <c r="B201" s="1083" t="s">
        <v>651</v>
      </c>
      <c r="C201" s="1084" t="s">
        <v>652</v>
      </c>
      <c r="D201" s="1084" t="s">
        <v>654</v>
      </c>
      <c r="E201" s="1085" t="s">
        <v>159</v>
      </c>
      <c r="F201" s="1086" t="s">
        <v>252</v>
      </c>
      <c r="G201" s="1084" t="s">
        <v>312</v>
      </c>
      <c r="H201" s="1087" t="s">
        <v>120</v>
      </c>
    </row>
    <row r="202" spans="2:8" s="698" customFormat="1" ht="51.75" x14ac:dyDescent="0.3">
      <c r="B202" s="1083" t="s">
        <v>651</v>
      </c>
      <c r="C202" s="1084" t="s">
        <v>652</v>
      </c>
      <c r="D202" s="1084" t="s">
        <v>654</v>
      </c>
      <c r="E202" s="1085" t="s">
        <v>160</v>
      </c>
      <c r="F202" s="1086" t="s">
        <v>253</v>
      </c>
      <c r="G202" s="1084" t="s">
        <v>313</v>
      </c>
      <c r="H202" s="1087" t="s">
        <v>120</v>
      </c>
    </row>
    <row r="203" spans="2:8" s="698" customFormat="1" ht="34.5" x14ac:dyDescent="0.3">
      <c r="B203" s="1083" t="s">
        <v>651</v>
      </c>
      <c r="C203" s="1084" t="s">
        <v>652</v>
      </c>
      <c r="D203" s="1084" t="s">
        <v>655</v>
      </c>
      <c r="E203" s="1085" t="s">
        <v>656</v>
      </c>
      <c r="F203" s="1086" t="s">
        <v>117</v>
      </c>
      <c r="G203" s="1084" t="s">
        <v>29</v>
      </c>
      <c r="H203" s="1087" t="s">
        <v>120</v>
      </c>
    </row>
    <row r="204" spans="2:8" s="698" customFormat="1" ht="51.75" x14ac:dyDescent="0.3">
      <c r="B204" s="1083" t="s">
        <v>651</v>
      </c>
      <c r="C204" s="1084" t="s">
        <v>652</v>
      </c>
      <c r="D204" s="1084" t="s">
        <v>657</v>
      </c>
      <c r="E204" s="1085" t="s">
        <v>544</v>
      </c>
      <c r="F204" s="1086" t="s">
        <v>355</v>
      </c>
      <c r="G204" s="1084" t="s">
        <v>545</v>
      </c>
      <c r="H204" s="1087" t="s">
        <v>120</v>
      </c>
    </row>
    <row r="205" spans="2:8" s="698" customFormat="1" ht="34.5" x14ac:dyDescent="0.3">
      <c r="B205" s="1083" t="s">
        <v>651</v>
      </c>
      <c r="C205" s="1084" t="s">
        <v>652</v>
      </c>
      <c r="D205" s="1084" t="s">
        <v>657</v>
      </c>
      <c r="E205" s="1085" t="s">
        <v>500</v>
      </c>
      <c r="F205" s="1086" t="s">
        <v>502</v>
      </c>
      <c r="G205" s="1084" t="s">
        <v>532</v>
      </c>
      <c r="H205" s="1087" t="s">
        <v>565</v>
      </c>
    </row>
    <row r="206" spans="2:8" s="698" customFormat="1" ht="34.5" x14ac:dyDescent="0.3">
      <c r="B206" s="1083" t="s">
        <v>651</v>
      </c>
      <c r="C206" s="1084" t="s">
        <v>652</v>
      </c>
      <c r="D206" s="1084" t="s">
        <v>657</v>
      </c>
      <c r="E206" s="1085" t="s">
        <v>505</v>
      </c>
      <c r="F206" s="1086" t="s">
        <v>503</v>
      </c>
      <c r="G206" s="1084" t="s">
        <v>533</v>
      </c>
      <c r="H206" s="1087" t="s">
        <v>565</v>
      </c>
    </row>
    <row r="207" spans="2:8" s="698" customFormat="1" ht="51.75" x14ac:dyDescent="0.3">
      <c r="B207" s="1083" t="s">
        <v>651</v>
      </c>
      <c r="C207" s="1084" t="s">
        <v>652</v>
      </c>
      <c r="D207" s="1084" t="s">
        <v>657</v>
      </c>
      <c r="E207" s="1085" t="s">
        <v>501</v>
      </c>
      <c r="F207" s="1086" t="s">
        <v>504</v>
      </c>
      <c r="G207" s="1084" t="s">
        <v>546</v>
      </c>
      <c r="H207" s="1087"/>
    </row>
    <row r="208" spans="2:8" s="698" customFormat="1" ht="34.5" x14ac:dyDescent="0.3">
      <c r="B208" s="1083" t="s">
        <v>651</v>
      </c>
      <c r="C208" s="1084" t="s">
        <v>652</v>
      </c>
      <c r="D208" s="1084" t="s">
        <v>658</v>
      </c>
      <c r="E208" s="1085" t="s">
        <v>343</v>
      </c>
      <c r="F208" s="1086" t="s">
        <v>119</v>
      </c>
      <c r="G208" s="1084" t="s">
        <v>118</v>
      </c>
      <c r="H208" s="1087" t="s">
        <v>120</v>
      </c>
    </row>
    <row r="209" spans="2:8" s="700" customFormat="1" ht="34.5" x14ac:dyDescent="0.25">
      <c r="B209" s="1083" t="s">
        <v>651</v>
      </c>
      <c r="C209" s="1084" t="s">
        <v>652</v>
      </c>
      <c r="D209" s="1084" t="s">
        <v>659</v>
      </c>
      <c r="E209" s="1085" t="s">
        <v>161</v>
      </c>
      <c r="F209" s="1086" t="s">
        <v>162</v>
      </c>
      <c r="G209" s="1084" t="s">
        <v>178</v>
      </c>
      <c r="H209" s="1087" t="s">
        <v>120</v>
      </c>
    </row>
    <row r="210" spans="2:8" s="698" customFormat="1" ht="34.5" x14ac:dyDescent="0.3">
      <c r="B210" s="1083" t="s">
        <v>651</v>
      </c>
      <c r="C210" s="1084" t="s">
        <v>652</v>
      </c>
      <c r="D210" s="1084" t="s">
        <v>659</v>
      </c>
      <c r="E210" s="1085" t="s">
        <v>157</v>
      </c>
      <c r="F210" s="1086" t="s">
        <v>163</v>
      </c>
      <c r="G210" s="1084" t="s">
        <v>179</v>
      </c>
      <c r="H210" s="1087" t="s">
        <v>120</v>
      </c>
    </row>
    <row r="211" spans="2:8" s="698" customFormat="1" ht="34.5" x14ac:dyDescent="0.3">
      <c r="B211" s="1083" t="s">
        <v>651</v>
      </c>
      <c r="C211" s="1084" t="s">
        <v>652</v>
      </c>
      <c r="D211" s="1084" t="s">
        <v>659</v>
      </c>
      <c r="E211" s="1085" t="s">
        <v>158</v>
      </c>
      <c r="F211" s="1086" t="s">
        <v>164</v>
      </c>
      <c r="G211" s="1084" t="s">
        <v>180</v>
      </c>
      <c r="H211" s="1087" t="s">
        <v>120</v>
      </c>
    </row>
    <row r="212" spans="2:8" s="698" customFormat="1" ht="34.5" x14ac:dyDescent="0.3">
      <c r="B212" s="1083" t="s">
        <v>651</v>
      </c>
      <c r="C212" s="1084" t="s">
        <v>652</v>
      </c>
      <c r="D212" s="1084" t="s">
        <v>659</v>
      </c>
      <c r="E212" s="1085" t="s">
        <v>159</v>
      </c>
      <c r="F212" s="1086" t="s">
        <v>165</v>
      </c>
      <c r="G212" s="1084" t="s">
        <v>181</v>
      </c>
      <c r="H212" s="1087" t="s">
        <v>120</v>
      </c>
    </row>
    <row r="213" spans="2:8" s="698" customFormat="1" ht="34.5" x14ac:dyDescent="0.3">
      <c r="B213" s="1083" t="s">
        <v>651</v>
      </c>
      <c r="C213" s="1084" t="s">
        <v>652</v>
      </c>
      <c r="D213" s="1084" t="s">
        <v>659</v>
      </c>
      <c r="E213" s="1085" t="s">
        <v>160</v>
      </c>
      <c r="F213" s="1086" t="s">
        <v>166</v>
      </c>
      <c r="G213" s="1084" t="s">
        <v>182</v>
      </c>
      <c r="H213" s="1087" t="s">
        <v>120</v>
      </c>
    </row>
    <row r="214" spans="2:8" s="698" customFormat="1" ht="34.5" x14ac:dyDescent="0.3">
      <c r="B214" s="1083" t="s">
        <v>651</v>
      </c>
      <c r="C214" s="1084" t="s">
        <v>652</v>
      </c>
      <c r="D214" s="1084" t="s">
        <v>660</v>
      </c>
      <c r="E214" s="1085" t="s">
        <v>192</v>
      </c>
      <c r="F214" s="1086" t="s">
        <v>172</v>
      </c>
      <c r="G214" s="1084" t="s">
        <v>183</v>
      </c>
      <c r="H214" s="1087" t="s">
        <v>189</v>
      </c>
    </row>
    <row r="215" spans="2:8" s="698" customFormat="1" ht="34.5" x14ac:dyDescent="0.3">
      <c r="B215" s="1083" t="s">
        <v>651</v>
      </c>
      <c r="C215" s="1084" t="s">
        <v>652</v>
      </c>
      <c r="D215" s="1084" t="s">
        <v>660</v>
      </c>
      <c r="E215" s="1085" t="s">
        <v>167</v>
      </c>
      <c r="F215" s="1086" t="s">
        <v>173</v>
      </c>
      <c r="G215" s="1084" t="s">
        <v>184</v>
      </c>
      <c r="H215" s="1087" t="s">
        <v>189</v>
      </c>
    </row>
    <row r="216" spans="2:8" s="698" customFormat="1" ht="34.5" x14ac:dyDescent="0.3">
      <c r="B216" s="1083" t="s">
        <v>651</v>
      </c>
      <c r="C216" s="1084" t="s">
        <v>652</v>
      </c>
      <c r="D216" s="1084" t="s">
        <v>660</v>
      </c>
      <c r="E216" s="1085" t="s">
        <v>168</v>
      </c>
      <c r="F216" s="1086" t="s">
        <v>174</v>
      </c>
      <c r="G216" s="1084" t="s">
        <v>185</v>
      </c>
      <c r="H216" s="1087" t="s">
        <v>189</v>
      </c>
    </row>
    <row r="217" spans="2:8" s="698" customFormat="1" ht="34.5" x14ac:dyDescent="0.3">
      <c r="B217" s="1083" t="s">
        <v>651</v>
      </c>
      <c r="C217" s="1084" t="s">
        <v>652</v>
      </c>
      <c r="D217" s="1084" t="s">
        <v>660</v>
      </c>
      <c r="E217" s="1085" t="s">
        <v>169</v>
      </c>
      <c r="F217" s="1086" t="s">
        <v>175</v>
      </c>
      <c r="G217" s="1084" t="s">
        <v>186</v>
      </c>
      <c r="H217" s="1087" t="s">
        <v>189</v>
      </c>
    </row>
    <row r="218" spans="2:8" s="698" customFormat="1" ht="34.5" x14ac:dyDescent="0.3">
      <c r="B218" s="1083" t="s">
        <v>651</v>
      </c>
      <c r="C218" s="1084" t="s">
        <v>652</v>
      </c>
      <c r="D218" s="1084" t="s">
        <v>660</v>
      </c>
      <c r="E218" s="1085" t="s">
        <v>170</v>
      </c>
      <c r="F218" s="1086" t="s">
        <v>176</v>
      </c>
      <c r="G218" s="1084" t="s">
        <v>187</v>
      </c>
      <c r="H218" s="1087" t="s">
        <v>189</v>
      </c>
    </row>
    <row r="219" spans="2:8" s="698" customFormat="1" ht="34.5" x14ac:dyDescent="0.3">
      <c r="B219" s="1083" t="s">
        <v>651</v>
      </c>
      <c r="C219" s="1084" t="s">
        <v>652</v>
      </c>
      <c r="D219" s="1084" t="s">
        <v>660</v>
      </c>
      <c r="E219" s="1085" t="s">
        <v>171</v>
      </c>
      <c r="F219" s="1086" t="s">
        <v>177</v>
      </c>
      <c r="G219" s="1084" t="s">
        <v>188</v>
      </c>
      <c r="H219" s="1087" t="s">
        <v>189</v>
      </c>
    </row>
    <row r="220" spans="2:8" s="698" customFormat="1" ht="34.5" x14ac:dyDescent="0.3">
      <c r="B220" s="1083" t="s">
        <v>651</v>
      </c>
      <c r="C220" s="1084" t="s">
        <v>652</v>
      </c>
      <c r="D220" s="1084" t="s">
        <v>660</v>
      </c>
      <c r="E220" s="1085" t="s">
        <v>190</v>
      </c>
      <c r="F220" s="1086" t="s">
        <v>191</v>
      </c>
      <c r="G220" s="1084" t="s">
        <v>887</v>
      </c>
      <c r="H220" s="1087" t="s">
        <v>189</v>
      </c>
    </row>
    <row r="221" spans="2:8" s="698" customFormat="1" ht="34.5" x14ac:dyDescent="0.3">
      <c r="B221" s="1083" t="s">
        <v>651</v>
      </c>
      <c r="C221" s="1084" t="s">
        <v>652</v>
      </c>
      <c r="D221" s="1084" t="s">
        <v>661</v>
      </c>
      <c r="E221" s="1085" t="s">
        <v>662</v>
      </c>
      <c r="F221" s="1086" t="s">
        <v>144</v>
      </c>
      <c r="G221" s="1084" t="s">
        <v>115</v>
      </c>
      <c r="H221" s="1087" t="s">
        <v>888</v>
      </c>
    </row>
    <row r="222" spans="2:8" s="698" customFormat="1" ht="69" x14ac:dyDescent="0.3">
      <c r="B222" s="1083" t="s">
        <v>651</v>
      </c>
      <c r="C222" s="1084" t="s">
        <v>663</v>
      </c>
      <c r="D222" s="1084" t="s">
        <v>664</v>
      </c>
      <c r="E222" s="1085" t="s">
        <v>341</v>
      </c>
      <c r="F222" s="1086" t="s">
        <v>121</v>
      </c>
      <c r="G222" s="1084" t="s">
        <v>314</v>
      </c>
      <c r="H222" s="1087" t="s">
        <v>889</v>
      </c>
    </row>
    <row r="223" spans="2:8" s="698" customFormat="1" ht="51.75" x14ac:dyDescent="0.3">
      <c r="B223" s="1083" t="s">
        <v>651</v>
      </c>
      <c r="C223" s="1084" t="s">
        <v>663</v>
      </c>
      <c r="D223" s="1084" t="s">
        <v>664</v>
      </c>
      <c r="E223" s="1085" t="s">
        <v>258</v>
      </c>
      <c r="F223" s="1086" t="s">
        <v>248</v>
      </c>
      <c r="G223" s="1084" t="s">
        <v>317</v>
      </c>
      <c r="H223" s="1087" t="s">
        <v>890</v>
      </c>
    </row>
    <row r="224" spans="2:8" s="698" customFormat="1" ht="69" x14ac:dyDescent="0.3">
      <c r="B224" s="1083" t="s">
        <v>651</v>
      </c>
      <c r="C224" s="1084" t="s">
        <v>663</v>
      </c>
      <c r="D224" s="1084" t="s">
        <v>664</v>
      </c>
      <c r="E224" s="1085" t="s">
        <v>259</v>
      </c>
      <c r="F224" s="1086" t="s">
        <v>254</v>
      </c>
      <c r="G224" s="1084" t="s">
        <v>318</v>
      </c>
      <c r="H224" s="1087" t="s">
        <v>890</v>
      </c>
    </row>
    <row r="225" spans="2:8" s="698" customFormat="1" ht="51.75" x14ac:dyDescent="0.3">
      <c r="B225" s="1083" t="s">
        <v>651</v>
      </c>
      <c r="C225" s="1084" t="s">
        <v>663</v>
      </c>
      <c r="D225" s="1084" t="s">
        <v>664</v>
      </c>
      <c r="E225" s="1085" t="s">
        <v>353</v>
      </c>
      <c r="F225" s="1086" t="s">
        <v>246</v>
      </c>
      <c r="G225" s="1084" t="s">
        <v>315</v>
      </c>
      <c r="H225" s="1087" t="s">
        <v>890</v>
      </c>
    </row>
    <row r="226" spans="2:8" s="698" customFormat="1" ht="69" x14ac:dyDescent="0.3">
      <c r="B226" s="1083" t="s">
        <v>651</v>
      </c>
      <c r="C226" s="1084" t="s">
        <v>663</v>
      </c>
      <c r="D226" s="1084" t="s">
        <v>664</v>
      </c>
      <c r="E226" s="1085" t="s">
        <v>361</v>
      </c>
      <c r="F226" s="1086" t="s">
        <v>247</v>
      </c>
      <c r="G226" s="1084" t="s">
        <v>316</v>
      </c>
      <c r="H226" s="1087" t="s">
        <v>890</v>
      </c>
    </row>
    <row r="227" spans="2:8" s="698" customFormat="1" ht="34.5" x14ac:dyDescent="0.3">
      <c r="B227" s="1083" t="s">
        <v>651</v>
      </c>
      <c r="C227" s="1084" t="s">
        <v>663</v>
      </c>
      <c r="D227" s="1084" t="s">
        <v>664</v>
      </c>
      <c r="E227" s="1085" t="s">
        <v>340</v>
      </c>
      <c r="F227" s="1086" t="s">
        <v>245</v>
      </c>
      <c r="G227" s="1084"/>
      <c r="H227" s="1087"/>
    </row>
    <row r="228" spans="2:8" s="698" customFormat="1" ht="34.5" x14ac:dyDescent="0.3">
      <c r="B228" s="1083" t="s">
        <v>651</v>
      </c>
      <c r="C228" s="1084" t="s">
        <v>663</v>
      </c>
      <c r="D228" s="1084" t="s">
        <v>664</v>
      </c>
      <c r="E228" s="1085" t="s">
        <v>891</v>
      </c>
      <c r="F228" s="1086" t="s">
        <v>255</v>
      </c>
      <c r="G228" s="1084" t="s">
        <v>319</v>
      </c>
      <c r="H228" s="1087" t="s">
        <v>320</v>
      </c>
    </row>
    <row r="229" spans="2:8" s="698" customFormat="1" ht="69" x14ac:dyDescent="0.3">
      <c r="B229" s="1083" t="s">
        <v>651</v>
      </c>
      <c r="C229" s="1084" t="s">
        <v>663</v>
      </c>
      <c r="D229" s="1084" t="s">
        <v>664</v>
      </c>
      <c r="E229" s="1085" t="s">
        <v>892</v>
      </c>
      <c r="F229" s="1086" t="s">
        <v>256</v>
      </c>
      <c r="G229" s="1084" t="s">
        <v>547</v>
      </c>
      <c r="H229" s="1087" t="s">
        <v>321</v>
      </c>
    </row>
    <row r="230" spans="2:8" s="698" customFormat="1" ht="34.5" x14ac:dyDescent="0.3">
      <c r="B230" s="1083" t="s">
        <v>651</v>
      </c>
      <c r="C230" s="1084" t="s">
        <v>663</v>
      </c>
      <c r="D230" s="1084" t="s">
        <v>664</v>
      </c>
      <c r="E230" s="1085" t="s">
        <v>893</v>
      </c>
      <c r="F230" s="1086" t="s">
        <v>257</v>
      </c>
      <c r="G230" s="1084" t="s">
        <v>548</v>
      </c>
      <c r="H230" s="1087" t="s">
        <v>322</v>
      </c>
    </row>
    <row r="231" spans="2:8" s="698" customFormat="1" ht="34.5" x14ac:dyDescent="0.3">
      <c r="B231" s="1083" t="s">
        <v>651</v>
      </c>
      <c r="C231" s="1084" t="s">
        <v>663</v>
      </c>
      <c r="D231" s="1084" t="s">
        <v>664</v>
      </c>
      <c r="E231" s="1085" t="s">
        <v>549</v>
      </c>
      <c r="F231" s="1086" t="s">
        <v>261</v>
      </c>
      <c r="G231" s="1084" t="s">
        <v>342</v>
      </c>
      <c r="H231" s="1087"/>
    </row>
    <row r="232" spans="2:8" s="698" customFormat="1" ht="51.75" x14ac:dyDescent="0.3">
      <c r="B232" s="1083" t="s">
        <v>651</v>
      </c>
      <c r="C232" s="1084" t="s">
        <v>663</v>
      </c>
      <c r="D232" s="1084" t="s">
        <v>664</v>
      </c>
      <c r="E232" s="1085" t="s">
        <v>260</v>
      </c>
      <c r="F232" s="1086" t="s">
        <v>262</v>
      </c>
      <c r="G232" s="1084" t="s">
        <v>323</v>
      </c>
      <c r="H232" s="1087" t="s">
        <v>324</v>
      </c>
    </row>
    <row r="233" spans="2:8" s="698" customFormat="1" ht="34.5" x14ac:dyDescent="0.3">
      <c r="B233" s="1083" t="s">
        <v>651</v>
      </c>
      <c r="C233" s="1084" t="s">
        <v>663</v>
      </c>
      <c r="D233" s="1084" t="s">
        <v>665</v>
      </c>
      <c r="E233" s="1085" t="s">
        <v>666</v>
      </c>
      <c r="F233" s="1086" t="s">
        <v>506</v>
      </c>
      <c r="G233" s="1084" t="s">
        <v>525</v>
      </c>
      <c r="H233" s="1087" t="s">
        <v>526</v>
      </c>
    </row>
    <row r="234" spans="2:8" s="698" customFormat="1" ht="34.5" x14ac:dyDescent="0.3">
      <c r="B234" s="1083" t="s">
        <v>651</v>
      </c>
      <c r="C234" s="1084" t="s">
        <v>663</v>
      </c>
      <c r="D234" s="1084" t="s">
        <v>665</v>
      </c>
      <c r="E234" s="1085" t="s">
        <v>667</v>
      </c>
      <c r="F234" s="1086" t="s">
        <v>507</v>
      </c>
      <c r="G234" s="1084" t="s">
        <v>527</v>
      </c>
      <c r="H234" s="1087" t="s">
        <v>528</v>
      </c>
    </row>
    <row r="235" spans="2:8" s="698" customFormat="1" ht="69" x14ac:dyDescent="0.3">
      <c r="B235" s="1083" t="s">
        <v>651</v>
      </c>
      <c r="C235" s="1084" t="s">
        <v>663</v>
      </c>
      <c r="D235" s="1084" t="s">
        <v>665</v>
      </c>
      <c r="E235" s="1085" t="s">
        <v>668</v>
      </c>
      <c r="F235" s="1086" t="s">
        <v>508</v>
      </c>
      <c r="G235" s="1084" t="s">
        <v>529</v>
      </c>
      <c r="H235" s="1087" t="s">
        <v>530</v>
      </c>
    </row>
    <row r="236" spans="2:8" s="698" customFormat="1" ht="34.5" x14ac:dyDescent="0.3">
      <c r="B236" s="1083" t="s">
        <v>651</v>
      </c>
      <c r="C236" s="1084" t="s">
        <v>663</v>
      </c>
      <c r="D236" s="1084" t="s">
        <v>669</v>
      </c>
      <c r="E236" s="1085" t="s">
        <v>476</v>
      </c>
      <c r="F236" s="1086" t="s">
        <v>263</v>
      </c>
      <c r="G236" s="1084" t="s">
        <v>325</v>
      </c>
      <c r="H236" s="1087" t="s">
        <v>326</v>
      </c>
    </row>
    <row r="237" spans="2:8" s="698" customFormat="1" ht="34.5" x14ac:dyDescent="0.3">
      <c r="B237" s="1083" t="s">
        <v>651</v>
      </c>
      <c r="C237" s="1084" t="s">
        <v>663</v>
      </c>
      <c r="D237" s="1084" t="s">
        <v>669</v>
      </c>
      <c r="E237" s="1085" t="s">
        <v>477</v>
      </c>
      <c r="F237" s="1086" t="s">
        <v>264</v>
      </c>
      <c r="G237" s="1084" t="s">
        <v>327</v>
      </c>
      <c r="H237" s="1087" t="s">
        <v>328</v>
      </c>
    </row>
    <row r="238" spans="2:8" s="698" customFormat="1" ht="34.5" x14ac:dyDescent="0.3">
      <c r="B238" s="1083" t="s">
        <v>651</v>
      </c>
      <c r="C238" s="1084" t="s">
        <v>663</v>
      </c>
      <c r="D238" s="1084" t="s">
        <v>669</v>
      </c>
      <c r="E238" s="1085" t="s">
        <v>478</v>
      </c>
      <c r="F238" s="1086" t="s">
        <v>265</v>
      </c>
      <c r="G238" s="1084" t="s">
        <v>329</v>
      </c>
      <c r="H238" s="1087" t="s">
        <v>328</v>
      </c>
    </row>
    <row r="239" spans="2:8" s="698" customFormat="1" ht="51.75" x14ac:dyDescent="0.3">
      <c r="B239" s="1083" t="s">
        <v>607</v>
      </c>
      <c r="C239" s="1084" t="s">
        <v>608</v>
      </c>
      <c r="D239" s="1084" t="s">
        <v>609</v>
      </c>
      <c r="E239" s="1085" t="s">
        <v>277</v>
      </c>
      <c r="F239" s="1086" t="s">
        <v>474</v>
      </c>
      <c r="G239" s="1084" t="s">
        <v>894</v>
      </c>
      <c r="H239" s="1087" t="s">
        <v>895</v>
      </c>
    </row>
    <row r="240" spans="2:8" s="698" customFormat="1" ht="51.75" x14ac:dyDescent="0.3">
      <c r="B240" s="1083" t="s">
        <v>607</v>
      </c>
      <c r="C240" s="1084" t="s">
        <v>608</v>
      </c>
      <c r="D240" s="1084" t="s">
        <v>609</v>
      </c>
      <c r="E240" s="1085" t="s">
        <v>610</v>
      </c>
      <c r="F240" s="1086" t="s">
        <v>550</v>
      </c>
      <c r="G240" s="1084" t="s">
        <v>896</v>
      </c>
      <c r="H240" s="1087" t="s">
        <v>895</v>
      </c>
    </row>
    <row r="241" spans="2:8" s="698" customFormat="1" ht="51.75" x14ac:dyDescent="0.3">
      <c r="B241" s="1083" t="s">
        <v>607</v>
      </c>
      <c r="C241" s="1084" t="s">
        <v>695</v>
      </c>
      <c r="D241" s="1084" t="s">
        <v>611</v>
      </c>
      <c r="E241" s="1085" t="s">
        <v>277</v>
      </c>
      <c r="F241" s="1086" t="s">
        <v>465</v>
      </c>
      <c r="G241" s="1084" t="s">
        <v>897</v>
      </c>
      <c r="H241" s="1087" t="s">
        <v>898</v>
      </c>
    </row>
    <row r="242" spans="2:8" s="698" customFormat="1" ht="51.75" x14ac:dyDescent="0.3">
      <c r="B242" s="1083" t="s">
        <v>607</v>
      </c>
      <c r="C242" s="1084" t="s">
        <v>695</v>
      </c>
      <c r="D242" s="1084" t="s">
        <v>611</v>
      </c>
      <c r="E242" s="1085" t="s">
        <v>610</v>
      </c>
      <c r="F242" s="1086" t="s">
        <v>551</v>
      </c>
      <c r="G242" s="1084" t="s">
        <v>899</v>
      </c>
      <c r="H242" s="1087" t="s">
        <v>898</v>
      </c>
    </row>
    <row r="243" spans="2:8" s="698" customFormat="1" ht="51.75" x14ac:dyDescent="0.3">
      <c r="B243" s="1083" t="s">
        <v>607</v>
      </c>
      <c r="C243" s="1084" t="s">
        <v>695</v>
      </c>
      <c r="D243" s="1084" t="s">
        <v>900</v>
      </c>
      <c r="E243" s="1085" t="s">
        <v>559</v>
      </c>
      <c r="F243" s="1086" t="s">
        <v>561</v>
      </c>
      <c r="G243" s="1084" t="s">
        <v>901</v>
      </c>
      <c r="H243" s="1087" t="s">
        <v>566</v>
      </c>
    </row>
    <row r="244" spans="2:8" s="698" customFormat="1" ht="51.75" x14ac:dyDescent="0.3">
      <c r="B244" s="1083" t="s">
        <v>607</v>
      </c>
      <c r="C244" s="1084" t="s">
        <v>695</v>
      </c>
      <c r="D244" s="1084" t="s">
        <v>900</v>
      </c>
      <c r="E244" s="1085" t="s">
        <v>560</v>
      </c>
      <c r="F244" s="1086" t="s">
        <v>562</v>
      </c>
      <c r="G244" s="1084" t="s">
        <v>902</v>
      </c>
      <c r="H244" s="1087" t="s">
        <v>566</v>
      </c>
    </row>
    <row r="245" spans="2:8" s="698" customFormat="1" ht="51.75" x14ac:dyDescent="0.3">
      <c r="B245" s="1083" t="s">
        <v>607</v>
      </c>
      <c r="C245" s="1084" t="s">
        <v>737</v>
      </c>
      <c r="D245" s="1084" t="s">
        <v>696</v>
      </c>
      <c r="E245" s="1085" t="s">
        <v>903</v>
      </c>
      <c r="F245" s="1086" t="s">
        <v>470</v>
      </c>
      <c r="G245" s="1084" t="s">
        <v>904</v>
      </c>
      <c r="H245" s="1087" t="s">
        <v>895</v>
      </c>
    </row>
    <row r="246" spans="2:8" s="698" customFormat="1" ht="51.75" x14ac:dyDescent="0.3">
      <c r="B246" s="1083" t="s">
        <v>607</v>
      </c>
      <c r="C246" s="1084" t="s">
        <v>737</v>
      </c>
      <c r="D246" s="1084" t="s">
        <v>696</v>
      </c>
      <c r="E246" s="1085" t="s">
        <v>463</v>
      </c>
      <c r="F246" s="1086" t="s">
        <v>471</v>
      </c>
      <c r="G246" s="1084" t="s">
        <v>905</v>
      </c>
      <c r="H246" s="1087" t="s">
        <v>895</v>
      </c>
    </row>
    <row r="247" spans="2:8" s="698" customFormat="1" ht="34.5" x14ac:dyDescent="0.3">
      <c r="B247" s="1083" t="s">
        <v>607</v>
      </c>
      <c r="C247" s="1084" t="s">
        <v>737</v>
      </c>
      <c r="D247" s="1084" t="s">
        <v>612</v>
      </c>
      <c r="E247" s="1085" t="s">
        <v>906</v>
      </c>
      <c r="F247" s="1086" t="s">
        <v>88</v>
      </c>
      <c r="G247" s="1084" t="s">
        <v>907</v>
      </c>
      <c r="H247" s="1087" t="s">
        <v>898</v>
      </c>
    </row>
    <row r="248" spans="2:8" s="698" customFormat="1" ht="34.5" x14ac:dyDescent="0.3">
      <c r="B248" s="1083" t="s">
        <v>607</v>
      </c>
      <c r="C248" s="1084" t="s">
        <v>737</v>
      </c>
      <c r="D248" s="1084" t="s">
        <v>612</v>
      </c>
      <c r="E248" s="1085" t="s">
        <v>468</v>
      </c>
      <c r="F248" s="1086" t="s">
        <v>89</v>
      </c>
      <c r="G248" s="1084" t="s">
        <v>908</v>
      </c>
      <c r="H248" s="1087" t="s">
        <v>898</v>
      </c>
    </row>
    <row r="249" spans="2:8" s="698" customFormat="1" ht="69" x14ac:dyDescent="0.3">
      <c r="B249" s="1083" t="s">
        <v>607</v>
      </c>
      <c r="C249" s="1084" t="s">
        <v>738</v>
      </c>
      <c r="D249" s="1084" t="s">
        <v>909</v>
      </c>
      <c r="E249" s="1085" t="s">
        <v>464</v>
      </c>
      <c r="F249" s="1086" t="s">
        <v>472</v>
      </c>
      <c r="G249" s="1084" t="s">
        <v>910</v>
      </c>
      <c r="H249" s="1087" t="s">
        <v>895</v>
      </c>
    </row>
    <row r="250" spans="2:8" s="698" customFormat="1" ht="69" x14ac:dyDescent="0.3">
      <c r="B250" s="1083" t="s">
        <v>607</v>
      </c>
      <c r="C250" s="1084" t="s">
        <v>738</v>
      </c>
      <c r="D250" s="1084" t="s">
        <v>909</v>
      </c>
      <c r="E250" s="1085" t="s">
        <v>463</v>
      </c>
      <c r="F250" s="1086" t="s">
        <v>473</v>
      </c>
      <c r="G250" s="1084" t="s">
        <v>911</v>
      </c>
      <c r="H250" s="1087" t="s">
        <v>895</v>
      </c>
    </row>
    <row r="251" spans="2:8" s="698" customFormat="1" ht="51.75" x14ac:dyDescent="0.3">
      <c r="B251" s="1083" t="s">
        <v>607</v>
      </c>
      <c r="C251" s="1084" t="s">
        <v>738</v>
      </c>
      <c r="D251" s="1084" t="s">
        <v>912</v>
      </c>
      <c r="E251" s="1085" t="s">
        <v>469</v>
      </c>
      <c r="F251" s="1086" t="s">
        <v>90</v>
      </c>
      <c r="G251" s="1084" t="s">
        <v>913</v>
      </c>
      <c r="H251" s="1087" t="s">
        <v>898</v>
      </c>
    </row>
    <row r="252" spans="2:8" s="698" customFormat="1" ht="51.75" x14ac:dyDescent="0.3">
      <c r="B252" s="1083" t="s">
        <v>607</v>
      </c>
      <c r="C252" s="1084" t="s">
        <v>738</v>
      </c>
      <c r="D252" s="1084" t="s">
        <v>912</v>
      </c>
      <c r="E252" s="1085" t="s">
        <v>468</v>
      </c>
      <c r="F252" s="1086" t="s">
        <v>91</v>
      </c>
      <c r="G252" s="1084" t="s">
        <v>914</v>
      </c>
      <c r="H252" s="1087" t="s">
        <v>898</v>
      </c>
    </row>
    <row r="253" spans="2:8" s="698" customFormat="1" ht="86.25" x14ac:dyDescent="0.3">
      <c r="B253" s="1083" t="s">
        <v>697</v>
      </c>
      <c r="C253" s="1084" t="s">
        <v>697</v>
      </c>
      <c r="D253" s="1084" t="s">
        <v>613</v>
      </c>
      <c r="E253" s="1085" t="s">
        <v>278</v>
      </c>
      <c r="F253" s="1086" t="s">
        <v>126</v>
      </c>
      <c r="G253" s="1084" t="s">
        <v>915</v>
      </c>
      <c r="H253" s="1087" t="s">
        <v>916</v>
      </c>
    </row>
    <row r="254" spans="2:8" s="698" customFormat="1" ht="69" x14ac:dyDescent="0.3">
      <c r="B254" s="1083" t="s">
        <v>697</v>
      </c>
      <c r="C254" s="1084" t="s">
        <v>697</v>
      </c>
      <c r="D254" s="1084" t="s">
        <v>613</v>
      </c>
      <c r="E254" s="1085" t="s">
        <v>61</v>
      </c>
      <c r="F254" s="1086" t="s">
        <v>92</v>
      </c>
      <c r="G254" s="1084" t="s">
        <v>917</v>
      </c>
      <c r="H254" s="1087" t="s">
        <v>916</v>
      </c>
    </row>
    <row r="255" spans="2:8" s="698" customFormat="1" ht="69" x14ac:dyDescent="0.3">
      <c r="B255" s="1083" t="s">
        <v>697</v>
      </c>
      <c r="C255" s="1084" t="s">
        <v>697</v>
      </c>
      <c r="D255" s="1084" t="s">
        <v>613</v>
      </c>
      <c r="E255" s="1085" t="s">
        <v>279</v>
      </c>
      <c r="F255" s="1086" t="s">
        <v>127</v>
      </c>
      <c r="G255" s="1084" t="s">
        <v>918</v>
      </c>
      <c r="H255" s="1087" t="s">
        <v>916</v>
      </c>
    </row>
    <row r="256" spans="2:8" s="698" customFormat="1" ht="51.75" x14ac:dyDescent="0.3">
      <c r="B256" s="1083" t="s">
        <v>697</v>
      </c>
      <c r="C256" s="1084" t="s">
        <v>697</v>
      </c>
      <c r="D256" s="1084" t="s">
        <v>613</v>
      </c>
      <c r="E256" s="1085" t="s">
        <v>344</v>
      </c>
      <c r="F256" s="1086" t="s">
        <v>345</v>
      </c>
      <c r="G256" s="1084" t="s">
        <v>919</v>
      </c>
      <c r="H256" s="1087" t="s">
        <v>675</v>
      </c>
    </row>
    <row r="257" spans="2:8" s="698" customFormat="1" ht="51.75" x14ac:dyDescent="0.3">
      <c r="B257" s="1083" t="s">
        <v>697</v>
      </c>
      <c r="C257" s="1084" t="s">
        <v>697</v>
      </c>
      <c r="D257" s="1084" t="s">
        <v>614</v>
      </c>
      <c r="E257" s="1085" t="s">
        <v>475</v>
      </c>
      <c r="F257" s="1086" t="s">
        <v>356</v>
      </c>
      <c r="G257" s="1084"/>
      <c r="H257" s="1087"/>
    </row>
    <row r="258" spans="2:8" s="698" customFormat="1" ht="69" x14ac:dyDescent="0.3">
      <c r="B258" s="1083" t="s">
        <v>697</v>
      </c>
      <c r="C258" s="1084" t="s">
        <v>697</v>
      </c>
      <c r="D258" s="1084" t="s">
        <v>614</v>
      </c>
      <c r="E258" s="1085" t="s">
        <v>280</v>
      </c>
      <c r="F258" s="1086" t="s">
        <v>93</v>
      </c>
      <c r="G258" s="1084" t="s">
        <v>920</v>
      </c>
      <c r="H258" s="1087" t="s">
        <v>921</v>
      </c>
    </row>
    <row r="259" spans="2:8" s="698" customFormat="1" ht="103.5" x14ac:dyDescent="0.3">
      <c r="B259" s="1083" t="s">
        <v>697</v>
      </c>
      <c r="C259" s="1084" t="s">
        <v>697</v>
      </c>
      <c r="D259" s="1084" t="s">
        <v>614</v>
      </c>
      <c r="E259" s="1085" t="s">
        <v>281</v>
      </c>
      <c r="F259" s="1086" t="s">
        <v>94</v>
      </c>
      <c r="G259" s="1084" t="s">
        <v>922</v>
      </c>
      <c r="H259" s="1087" t="s">
        <v>923</v>
      </c>
    </row>
    <row r="260" spans="2:8" s="698" customFormat="1" ht="120.75" x14ac:dyDescent="0.3">
      <c r="B260" s="1083" t="s">
        <v>697</v>
      </c>
      <c r="C260" s="1084" t="s">
        <v>697</v>
      </c>
      <c r="D260" s="1084" t="s">
        <v>614</v>
      </c>
      <c r="E260" s="1085" t="s">
        <v>282</v>
      </c>
      <c r="F260" s="1086" t="s">
        <v>95</v>
      </c>
      <c r="G260" s="1084" t="s">
        <v>924</v>
      </c>
      <c r="H260" s="1087" t="s">
        <v>925</v>
      </c>
    </row>
    <row r="261" spans="2:8" s="698" customFormat="1" ht="51.75" x14ac:dyDescent="0.3">
      <c r="B261" s="1083" t="s">
        <v>697</v>
      </c>
      <c r="C261" s="1084" t="s">
        <v>697</v>
      </c>
      <c r="D261" s="1084" t="s">
        <v>614</v>
      </c>
      <c r="E261" s="1085" t="s">
        <v>926</v>
      </c>
      <c r="F261" s="1086" t="s">
        <v>698</v>
      </c>
      <c r="G261" s="1084" t="s">
        <v>927</v>
      </c>
      <c r="H261" s="1087"/>
    </row>
    <row r="262" spans="2:8" s="698" customFormat="1" ht="86.25" x14ac:dyDescent="0.3">
      <c r="B262" s="1083" t="s">
        <v>697</v>
      </c>
      <c r="C262" s="1084" t="s">
        <v>697</v>
      </c>
      <c r="D262" s="1084" t="s">
        <v>615</v>
      </c>
      <c r="E262" s="1085" t="s">
        <v>278</v>
      </c>
      <c r="F262" s="1086" t="s">
        <v>128</v>
      </c>
      <c r="G262" s="1084" t="s">
        <v>928</v>
      </c>
      <c r="H262" s="1087" t="s">
        <v>916</v>
      </c>
    </row>
    <row r="263" spans="2:8" s="698" customFormat="1" ht="69" x14ac:dyDescent="0.3">
      <c r="B263" s="1083" t="s">
        <v>697</v>
      </c>
      <c r="C263" s="1084" t="s">
        <v>697</v>
      </c>
      <c r="D263" s="1084" t="s">
        <v>615</v>
      </c>
      <c r="E263" s="1085" t="s">
        <v>61</v>
      </c>
      <c r="F263" s="1086" t="s">
        <v>129</v>
      </c>
      <c r="G263" s="1084" t="s">
        <v>929</v>
      </c>
      <c r="H263" s="1087" t="s">
        <v>916</v>
      </c>
    </row>
    <row r="264" spans="2:8" s="698" customFormat="1" ht="69" x14ac:dyDescent="0.3">
      <c r="B264" s="1083" t="s">
        <v>697</v>
      </c>
      <c r="C264" s="1084" t="s">
        <v>697</v>
      </c>
      <c r="D264" s="1084" t="s">
        <v>615</v>
      </c>
      <c r="E264" s="1085" t="s">
        <v>279</v>
      </c>
      <c r="F264" s="1086" t="s">
        <v>96</v>
      </c>
      <c r="G264" s="1084" t="s">
        <v>930</v>
      </c>
      <c r="H264" s="1087" t="s">
        <v>916</v>
      </c>
    </row>
    <row r="265" spans="2:8" s="698" customFormat="1" ht="51.75" x14ac:dyDescent="0.3">
      <c r="B265" s="1083" t="s">
        <v>697</v>
      </c>
      <c r="C265" s="1084" t="s">
        <v>697</v>
      </c>
      <c r="D265" s="1084" t="s">
        <v>615</v>
      </c>
      <c r="E265" s="1085" t="s">
        <v>344</v>
      </c>
      <c r="F265" s="1086" t="s">
        <v>346</v>
      </c>
      <c r="G265" s="1084" t="s">
        <v>919</v>
      </c>
      <c r="H265" s="1087" t="s">
        <v>675</v>
      </c>
    </row>
    <row r="266" spans="2:8" s="698" customFormat="1" ht="51.75" x14ac:dyDescent="0.3">
      <c r="B266" s="1083" t="s">
        <v>697</v>
      </c>
      <c r="C266" s="1084" t="s">
        <v>697</v>
      </c>
      <c r="D266" s="1084" t="s">
        <v>616</v>
      </c>
      <c r="E266" s="1085" t="s">
        <v>475</v>
      </c>
      <c r="F266" s="1086" t="s">
        <v>358</v>
      </c>
      <c r="G266" s="1084" t="s">
        <v>675</v>
      </c>
      <c r="H266" s="1087" t="s">
        <v>675</v>
      </c>
    </row>
    <row r="267" spans="2:8" s="698" customFormat="1" ht="69" x14ac:dyDescent="0.3">
      <c r="B267" s="1083" t="s">
        <v>697</v>
      </c>
      <c r="C267" s="1084" t="s">
        <v>697</v>
      </c>
      <c r="D267" s="1084" t="s">
        <v>616</v>
      </c>
      <c r="E267" s="1085" t="s">
        <v>280</v>
      </c>
      <c r="F267" s="1086" t="s">
        <v>97</v>
      </c>
      <c r="G267" s="1084" t="s">
        <v>931</v>
      </c>
      <c r="H267" s="1087" t="s">
        <v>921</v>
      </c>
    </row>
    <row r="268" spans="2:8" s="698" customFormat="1" ht="103.5" x14ac:dyDescent="0.3">
      <c r="B268" s="1083" t="s">
        <v>697</v>
      </c>
      <c r="C268" s="1084" t="s">
        <v>697</v>
      </c>
      <c r="D268" s="1084" t="s">
        <v>616</v>
      </c>
      <c r="E268" s="1085" t="s">
        <v>281</v>
      </c>
      <c r="F268" s="1086" t="s">
        <v>130</v>
      </c>
      <c r="G268" s="1084" t="s">
        <v>932</v>
      </c>
      <c r="H268" s="1087" t="s">
        <v>923</v>
      </c>
    </row>
    <row r="269" spans="2:8" s="698" customFormat="1" ht="120.75" x14ac:dyDescent="0.3">
      <c r="B269" s="1083" t="s">
        <v>697</v>
      </c>
      <c r="C269" s="1084" t="s">
        <v>697</v>
      </c>
      <c r="D269" s="1084" t="s">
        <v>616</v>
      </c>
      <c r="E269" s="1085" t="s">
        <v>282</v>
      </c>
      <c r="F269" s="1086" t="s">
        <v>98</v>
      </c>
      <c r="G269" s="1084" t="s">
        <v>933</v>
      </c>
      <c r="H269" s="1087" t="s">
        <v>925</v>
      </c>
    </row>
    <row r="270" spans="2:8" s="698" customFormat="1" ht="69" x14ac:dyDescent="0.3">
      <c r="B270" s="1083" t="s">
        <v>697</v>
      </c>
      <c r="C270" s="1084" t="s">
        <v>697</v>
      </c>
      <c r="D270" s="1084" t="s">
        <v>616</v>
      </c>
      <c r="E270" s="1085" t="s">
        <v>926</v>
      </c>
      <c r="F270" s="1086" t="s">
        <v>699</v>
      </c>
      <c r="G270" s="1084" t="s">
        <v>934</v>
      </c>
      <c r="H270" s="1087"/>
    </row>
    <row r="271" spans="2:8" s="698" customFormat="1" ht="69" x14ac:dyDescent="0.3">
      <c r="B271" s="1083" t="s">
        <v>697</v>
      </c>
      <c r="C271" s="1084" t="s">
        <v>697</v>
      </c>
      <c r="D271" s="1084" t="s">
        <v>617</v>
      </c>
      <c r="E271" s="1085" t="s">
        <v>278</v>
      </c>
      <c r="F271" s="1086" t="s">
        <v>131</v>
      </c>
      <c r="G271" s="1084" t="s">
        <v>935</v>
      </c>
      <c r="H271" s="1087" t="s">
        <v>916</v>
      </c>
    </row>
    <row r="272" spans="2:8" s="698" customFormat="1" ht="69" x14ac:dyDescent="0.3">
      <c r="B272" s="1083" t="s">
        <v>697</v>
      </c>
      <c r="C272" s="1084" t="s">
        <v>697</v>
      </c>
      <c r="D272" s="1084" t="s">
        <v>617</v>
      </c>
      <c r="E272" s="1085" t="s">
        <v>61</v>
      </c>
      <c r="F272" s="1086" t="s">
        <v>132</v>
      </c>
      <c r="G272" s="1084" t="s">
        <v>936</v>
      </c>
      <c r="H272" s="1087" t="s">
        <v>916</v>
      </c>
    </row>
    <row r="273" spans="2:8" s="698" customFormat="1" ht="69" x14ac:dyDescent="0.3">
      <c r="B273" s="1083" t="s">
        <v>697</v>
      </c>
      <c r="C273" s="1084" t="s">
        <v>697</v>
      </c>
      <c r="D273" s="1084" t="s">
        <v>617</v>
      </c>
      <c r="E273" s="1085" t="s">
        <v>279</v>
      </c>
      <c r="F273" s="1086" t="s">
        <v>133</v>
      </c>
      <c r="G273" s="1084" t="s">
        <v>937</v>
      </c>
      <c r="H273" s="1087" t="s">
        <v>916</v>
      </c>
    </row>
    <row r="274" spans="2:8" s="698" customFormat="1" ht="51.75" x14ac:dyDescent="0.3">
      <c r="B274" s="1083" t="s">
        <v>697</v>
      </c>
      <c r="C274" s="1084" t="s">
        <v>697</v>
      </c>
      <c r="D274" s="1084" t="s">
        <v>617</v>
      </c>
      <c r="E274" s="1085" t="s">
        <v>344</v>
      </c>
      <c r="F274" s="1086" t="s">
        <v>347</v>
      </c>
      <c r="G274" s="1084" t="s">
        <v>919</v>
      </c>
      <c r="H274" s="1087"/>
    </row>
    <row r="275" spans="2:8" s="698" customFormat="1" ht="51.75" x14ac:dyDescent="0.3">
      <c r="B275" s="1083" t="s">
        <v>697</v>
      </c>
      <c r="C275" s="1084" t="s">
        <v>697</v>
      </c>
      <c r="D275" s="1084" t="s">
        <v>618</v>
      </c>
      <c r="E275" s="1085" t="s">
        <v>475</v>
      </c>
      <c r="F275" s="1086" t="s">
        <v>357</v>
      </c>
      <c r="G275" s="1084" t="s">
        <v>675</v>
      </c>
      <c r="H275" s="1087" t="s">
        <v>675</v>
      </c>
    </row>
    <row r="276" spans="2:8" s="698" customFormat="1" ht="69" x14ac:dyDescent="0.3">
      <c r="B276" s="1083" t="s">
        <v>697</v>
      </c>
      <c r="C276" s="1084" t="s">
        <v>697</v>
      </c>
      <c r="D276" s="1084" t="s">
        <v>618</v>
      </c>
      <c r="E276" s="1085" t="s">
        <v>280</v>
      </c>
      <c r="F276" s="1086" t="s">
        <v>99</v>
      </c>
      <c r="G276" s="1084" t="s">
        <v>938</v>
      </c>
      <c r="H276" s="1087" t="s">
        <v>921</v>
      </c>
    </row>
    <row r="277" spans="2:8" s="698" customFormat="1" ht="103.5" x14ac:dyDescent="0.3">
      <c r="B277" s="1083" t="s">
        <v>697</v>
      </c>
      <c r="C277" s="1084" t="s">
        <v>697</v>
      </c>
      <c r="D277" s="1084" t="s">
        <v>618</v>
      </c>
      <c r="E277" s="1085" t="s">
        <v>281</v>
      </c>
      <c r="F277" s="1086" t="s">
        <v>134</v>
      </c>
      <c r="G277" s="1084" t="s">
        <v>939</v>
      </c>
      <c r="H277" s="1087" t="s">
        <v>923</v>
      </c>
    </row>
    <row r="278" spans="2:8" s="698" customFormat="1" ht="120.75" x14ac:dyDescent="0.3">
      <c r="B278" s="1083" t="s">
        <v>697</v>
      </c>
      <c r="C278" s="1084" t="s">
        <v>697</v>
      </c>
      <c r="D278" s="1084" t="s">
        <v>618</v>
      </c>
      <c r="E278" s="1085" t="s">
        <v>282</v>
      </c>
      <c r="F278" s="1086" t="s">
        <v>135</v>
      </c>
      <c r="G278" s="1084" t="s">
        <v>940</v>
      </c>
      <c r="H278" s="1087" t="s">
        <v>925</v>
      </c>
    </row>
    <row r="279" spans="2:8" s="698" customFormat="1" ht="69" x14ac:dyDescent="0.3">
      <c r="B279" s="1083" t="s">
        <v>697</v>
      </c>
      <c r="C279" s="1084" t="s">
        <v>697</v>
      </c>
      <c r="D279" s="1084" t="s">
        <v>618</v>
      </c>
      <c r="E279" s="1085" t="s">
        <v>926</v>
      </c>
      <c r="F279" s="1086" t="s">
        <v>700</v>
      </c>
      <c r="G279" s="1084" t="s">
        <v>941</v>
      </c>
      <c r="H279" s="1087"/>
    </row>
    <row r="280" spans="2:8" s="698" customFormat="1" ht="51.75" x14ac:dyDescent="0.3">
      <c r="B280" s="1083" t="s">
        <v>619</v>
      </c>
      <c r="C280" s="1084" t="s">
        <v>619</v>
      </c>
      <c r="D280" s="1084" t="s">
        <v>942</v>
      </c>
      <c r="E280" s="1085" t="s">
        <v>621</v>
      </c>
      <c r="F280" s="1086" t="s">
        <v>225</v>
      </c>
      <c r="G280" s="1084" t="s">
        <v>943</v>
      </c>
      <c r="H280" s="1087" t="s">
        <v>944</v>
      </c>
    </row>
    <row r="281" spans="2:8" s="698" customFormat="1" ht="51.75" x14ac:dyDescent="0.3">
      <c r="B281" s="1083" t="s">
        <v>619</v>
      </c>
      <c r="C281" s="1084" t="s">
        <v>619</v>
      </c>
      <c r="D281" s="1085" t="s">
        <v>622</v>
      </c>
      <c r="E281" s="1085" t="s">
        <v>623</v>
      </c>
      <c r="F281" s="1086" t="s">
        <v>100</v>
      </c>
      <c r="G281" s="1084" t="s">
        <v>945</v>
      </c>
      <c r="H281" s="1087" t="s">
        <v>944</v>
      </c>
    </row>
    <row r="282" spans="2:8" s="698" customFormat="1" ht="69" x14ac:dyDescent="0.3">
      <c r="B282" s="1083" t="s">
        <v>619</v>
      </c>
      <c r="C282" s="1084" t="s">
        <v>619</v>
      </c>
      <c r="D282" s="1085" t="s">
        <v>624</v>
      </c>
      <c r="E282" s="1085" t="s">
        <v>946</v>
      </c>
      <c r="F282" s="1086" t="s">
        <v>84</v>
      </c>
      <c r="G282" s="1084" t="s">
        <v>947</v>
      </c>
      <c r="H282" s="1087" t="s">
        <v>944</v>
      </c>
    </row>
    <row r="283" spans="2:8" s="698" customFormat="1" ht="51.75" x14ac:dyDescent="0.3">
      <c r="B283" s="1083" t="s">
        <v>619</v>
      </c>
      <c r="C283" s="1084" t="s">
        <v>619</v>
      </c>
      <c r="D283" s="1084" t="s">
        <v>624</v>
      </c>
      <c r="E283" s="1085" t="s">
        <v>625</v>
      </c>
      <c r="F283" s="1086" t="s">
        <v>348</v>
      </c>
      <c r="G283" s="1084" t="s">
        <v>948</v>
      </c>
      <c r="H283" s="1087" t="s">
        <v>944</v>
      </c>
    </row>
    <row r="284" spans="2:8" s="698" customFormat="1" ht="34.5" x14ac:dyDescent="0.3">
      <c r="B284" s="1083" t="s">
        <v>619</v>
      </c>
      <c r="C284" s="1084" t="s">
        <v>619</v>
      </c>
      <c r="D284" s="1084" t="s">
        <v>624</v>
      </c>
      <c r="E284" s="1085" t="s">
        <v>626</v>
      </c>
      <c r="F284" s="1086" t="s">
        <v>106</v>
      </c>
      <c r="G284" s="1084" t="s">
        <v>949</v>
      </c>
      <c r="H284" s="1087" t="s">
        <v>944</v>
      </c>
    </row>
    <row r="285" spans="2:8" s="699" customFormat="1" ht="34.5" x14ac:dyDescent="0.3">
      <c r="B285" s="1083" t="s">
        <v>619</v>
      </c>
      <c r="C285" s="1084" t="s">
        <v>619</v>
      </c>
      <c r="D285" s="1084" t="s">
        <v>624</v>
      </c>
      <c r="E285" s="1085" t="s">
        <v>701</v>
      </c>
      <c r="F285" s="1086" t="s">
        <v>107</v>
      </c>
      <c r="G285" s="1084" t="s">
        <v>950</v>
      </c>
      <c r="H285" s="1087" t="s">
        <v>944</v>
      </c>
    </row>
    <row r="286" spans="2:8" s="699" customFormat="1" ht="34.5" x14ac:dyDescent="0.3">
      <c r="B286" s="1083" t="s">
        <v>619</v>
      </c>
      <c r="C286" s="1084" t="s">
        <v>619</v>
      </c>
      <c r="D286" s="1084" t="s">
        <v>624</v>
      </c>
      <c r="E286" s="1085" t="s">
        <v>951</v>
      </c>
      <c r="F286" s="1086" t="s">
        <v>552</v>
      </c>
      <c r="G286" s="1084" t="s">
        <v>952</v>
      </c>
      <c r="H286" s="1087" t="s">
        <v>944</v>
      </c>
    </row>
    <row r="287" spans="2:8" s="698" customFormat="1" ht="51.75" x14ac:dyDescent="0.3">
      <c r="B287" s="1083" t="s">
        <v>619</v>
      </c>
      <c r="C287" s="1084" t="s">
        <v>619</v>
      </c>
      <c r="D287" s="1084" t="s">
        <v>624</v>
      </c>
      <c r="E287" s="1085" t="s">
        <v>628</v>
      </c>
      <c r="F287" s="1086" t="s">
        <v>83</v>
      </c>
      <c r="G287" s="1084" t="s">
        <v>953</v>
      </c>
      <c r="H287" s="1087" t="s">
        <v>944</v>
      </c>
    </row>
    <row r="288" spans="2:8" s="698" customFormat="1" ht="34.5" x14ac:dyDescent="0.3">
      <c r="B288" s="1083" t="s">
        <v>619</v>
      </c>
      <c r="C288" s="1084" t="s">
        <v>619</v>
      </c>
      <c r="D288" s="1084" t="s">
        <v>624</v>
      </c>
      <c r="E288" s="1085" t="s">
        <v>629</v>
      </c>
      <c r="F288" s="1086" t="s">
        <v>553</v>
      </c>
      <c r="G288" s="1084" t="s">
        <v>954</v>
      </c>
      <c r="H288" s="1087" t="s">
        <v>944</v>
      </c>
    </row>
    <row r="289" spans="2:8" s="698" customFormat="1" ht="69" x14ac:dyDescent="0.3">
      <c r="B289" s="1083" t="s">
        <v>619</v>
      </c>
      <c r="C289" s="1084" t="s">
        <v>619</v>
      </c>
      <c r="D289" s="1084" t="s">
        <v>624</v>
      </c>
      <c r="E289" s="1085" t="s">
        <v>630</v>
      </c>
      <c r="F289" s="1086" t="s">
        <v>104</v>
      </c>
      <c r="G289" s="1084" t="s">
        <v>955</v>
      </c>
      <c r="H289" s="1087" t="s">
        <v>944</v>
      </c>
    </row>
    <row r="290" spans="2:8" s="699" customFormat="1" ht="69" x14ac:dyDescent="0.3">
      <c r="B290" s="1083" t="s">
        <v>619</v>
      </c>
      <c r="C290" s="1084" t="s">
        <v>619</v>
      </c>
      <c r="D290" s="1084" t="s">
        <v>624</v>
      </c>
      <c r="E290" s="1085" t="s">
        <v>631</v>
      </c>
      <c r="F290" s="1086" t="s">
        <v>105</v>
      </c>
      <c r="G290" s="1084" t="s">
        <v>956</v>
      </c>
      <c r="H290" s="1087" t="s">
        <v>944</v>
      </c>
    </row>
    <row r="291" spans="2:8" s="699" customFormat="1" ht="34.5" x14ac:dyDescent="0.3">
      <c r="B291" s="1083" t="s">
        <v>619</v>
      </c>
      <c r="C291" s="1084" t="s">
        <v>619</v>
      </c>
      <c r="D291" s="1084" t="s">
        <v>624</v>
      </c>
      <c r="E291" s="1085" t="s">
        <v>632</v>
      </c>
      <c r="F291" s="1086" t="s">
        <v>101</v>
      </c>
      <c r="G291" s="1084" t="s">
        <v>957</v>
      </c>
      <c r="H291" s="1087" t="s">
        <v>944</v>
      </c>
    </row>
    <row r="292" spans="2:8" s="699" customFormat="1" ht="34.5" x14ac:dyDescent="0.3">
      <c r="B292" s="1083" t="s">
        <v>619</v>
      </c>
      <c r="C292" s="1084" t="s">
        <v>619</v>
      </c>
      <c r="D292" s="1084" t="s">
        <v>624</v>
      </c>
      <c r="E292" s="1085" t="s">
        <v>633</v>
      </c>
      <c r="F292" s="1086" t="s">
        <v>102</v>
      </c>
      <c r="G292" s="1084" t="s">
        <v>958</v>
      </c>
      <c r="H292" s="1087" t="s">
        <v>944</v>
      </c>
    </row>
    <row r="293" spans="2:8" s="699" customFormat="1" ht="34.5" x14ac:dyDescent="0.3">
      <c r="B293" s="1083" t="s">
        <v>619</v>
      </c>
      <c r="C293" s="1084" t="s">
        <v>619</v>
      </c>
      <c r="D293" s="1084" t="s">
        <v>624</v>
      </c>
      <c r="E293" s="1085" t="s">
        <v>634</v>
      </c>
      <c r="F293" s="1086" t="s">
        <v>564</v>
      </c>
      <c r="G293" s="1084" t="s">
        <v>959</v>
      </c>
      <c r="H293" s="1087" t="s">
        <v>944</v>
      </c>
    </row>
    <row r="294" spans="2:8" s="699" customFormat="1" ht="34.5" x14ac:dyDescent="0.3">
      <c r="B294" s="1083" t="s">
        <v>619</v>
      </c>
      <c r="C294" s="1084" t="s">
        <v>619</v>
      </c>
      <c r="D294" s="1084" t="s">
        <v>624</v>
      </c>
      <c r="E294" s="1085" t="s">
        <v>635</v>
      </c>
      <c r="F294" s="1086" t="s">
        <v>103</v>
      </c>
      <c r="G294" s="1084" t="s">
        <v>24</v>
      </c>
      <c r="H294" s="1087" t="s">
        <v>944</v>
      </c>
    </row>
    <row r="295" spans="2:8" s="699" customFormat="1" ht="35.25" thickBot="1" x14ac:dyDescent="0.35">
      <c r="B295" s="1089" t="s">
        <v>619</v>
      </c>
      <c r="C295" s="1090" t="s">
        <v>619</v>
      </c>
      <c r="D295" s="1090" t="s">
        <v>624</v>
      </c>
      <c r="E295" s="1091" t="s">
        <v>635</v>
      </c>
      <c r="F295" s="1092" t="s">
        <v>103</v>
      </c>
      <c r="G295" s="1090" t="s">
        <v>24</v>
      </c>
      <c r="H295" s="1093" t="s">
        <v>108</v>
      </c>
    </row>
    <row r="298" spans="2:8" ht="15.75" thickBot="1" x14ac:dyDescent="0.3"/>
    <row r="299" spans="2:8" ht="15.75" thickBot="1" x14ac:dyDescent="0.3">
      <c r="B299" s="1068"/>
      <c r="C299" s="1069"/>
      <c r="D299" s="1073"/>
    </row>
    <row r="300" spans="2:8" x14ac:dyDescent="0.25">
      <c r="B300" s="1061" t="s">
        <v>960</v>
      </c>
      <c r="C300" s="1062" t="s">
        <v>961</v>
      </c>
      <c r="D300" s="1074" t="s">
        <v>962</v>
      </c>
    </row>
    <row r="301" spans="2:8" ht="15.75" thickBot="1" x14ac:dyDescent="0.3">
      <c r="B301" s="1063"/>
      <c r="C301" s="1064"/>
      <c r="D301" s="1075"/>
    </row>
    <row r="302" spans="2:8" ht="19.5" x14ac:dyDescent="0.4">
      <c r="B302" s="1065" t="s">
        <v>963</v>
      </c>
      <c r="C302" s="1066" t="s">
        <v>964</v>
      </c>
      <c r="D302" s="1066" t="s">
        <v>965</v>
      </c>
    </row>
    <row r="303" spans="2:8" ht="19.5" x14ac:dyDescent="0.4">
      <c r="B303" s="1040" t="s">
        <v>966</v>
      </c>
      <c r="C303" s="1067" t="s">
        <v>967</v>
      </c>
      <c r="D303" s="1067" t="s">
        <v>968</v>
      </c>
    </row>
    <row r="304" spans="2:8" ht="19.5" x14ac:dyDescent="0.4">
      <c r="B304" s="1040" t="s">
        <v>969</v>
      </c>
      <c r="C304" s="1067" t="s">
        <v>970</v>
      </c>
      <c r="D304" s="1067" t="s">
        <v>971</v>
      </c>
    </row>
    <row r="305" spans="2:4" ht="19.5" x14ac:dyDescent="0.4">
      <c r="B305" s="1040" t="s">
        <v>972</v>
      </c>
      <c r="C305" s="1067" t="s">
        <v>963</v>
      </c>
      <c r="D305" s="1067" t="s">
        <v>964</v>
      </c>
    </row>
    <row r="306" spans="2:4" ht="19.5" x14ac:dyDescent="0.4">
      <c r="B306" s="1040" t="s">
        <v>973</v>
      </c>
      <c r="C306" s="1067" t="s">
        <v>966</v>
      </c>
      <c r="D306" s="1067" t="s">
        <v>967</v>
      </c>
    </row>
    <row r="307" spans="2:4" ht="19.5" x14ac:dyDescent="0.4">
      <c r="B307" s="1040" t="s">
        <v>974</v>
      </c>
      <c r="C307" s="1067" t="s">
        <v>969</v>
      </c>
      <c r="D307" s="1067" t="s">
        <v>970</v>
      </c>
    </row>
    <row r="308" spans="2:4" ht="19.5" x14ac:dyDescent="0.4">
      <c r="B308" s="1040" t="s">
        <v>965</v>
      </c>
      <c r="C308" s="1067" t="s">
        <v>972</v>
      </c>
      <c r="D308" s="1067" t="s">
        <v>963</v>
      </c>
    </row>
    <row r="309" spans="2:4" ht="19.5" x14ac:dyDescent="0.4">
      <c r="B309" s="1040" t="s">
        <v>968</v>
      </c>
      <c r="C309" s="1067" t="s">
        <v>973</v>
      </c>
      <c r="D309" s="1067" t="s">
        <v>966</v>
      </c>
    </row>
    <row r="310" spans="2:4" ht="19.5" x14ac:dyDescent="0.4">
      <c r="B310" s="1040" t="s">
        <v>971</v>
      </c>
      <c r="C310" s="1067" t="s">
        <v>974</v>
      </c>
      <c r="D310" s="1067" t="s">
        <v>969</v>
      </c>
    </row>
    <row r="311" spans="2:4" ht="19.5" x14ac:dyDescent="0.4">
      <c r="B311" s="1040" t="s">
        <v>964</v>
      </c>
      <c r="C311" s="1067" t="s">
        <v>965</v>
      </c>
      <c r="D311" s="1067" t="s">
        <v>972</v>
      </c>
    </row>
    <row r="312" spans="2:4" ht="19.5" x14ac:dyDescent="0.4">
      <c r="B312" s="1040" t="s">
        <v>967</v>
      </c>
      <c r="C312" s="1067" t="s">
        <v>968</v>
      </c>
      <c r="D312" s="1067" t="s">
        <v>973</v>
      </c>
    </row>
    <row r="313" spans="2:4" ht="19.5" x14ac:dyDescent="0.4">
      <c r="B313" s="1040" t="s">
        <v>970</v>
      </c>
      <c r="C313" s="1067" t="s">
        <v>971</v>
      </c>
      <c r="D313" s="1067" t="s">
        <v>974</v>
      </c>
    </row>
  </sheetData>
  <autoFilter ref="A3:H295" xr:uid="{871CFF9D-A4EB-41E4-97D7-4EE894F5F63D}"/>
  <mergeCells count="4">
    <mergeCell ref="B2:H2"/>
    <mergeCell ref="B300:B301"/>
    <mergeCell ref="C300:C301"/>
    <mergeCell ref="D300:D301"/>
  </mergeCells>
  <conditionalFormatting sqref="E144 E197:E239">
    <cfRule type="cellIs" dxfId="1359" priority="1094" operator="equal">
      <formula>0</formula>
    </cfRule>
  </conditionalFormatting>
  <conditionalFormatting sqref="E145">
    <cfRule type="cellIs" dxfId="1358" priority="1093" operator="equal">
      <formula>0</formula>
    </cfRule>
  </conditionalFormatting>
  <conditionalFormatting sqref="E169">
    <cfRule type="cellIs" dxfId="1357" priority="1076" operator="equal">
      <formula>0</formula>
    </cfRule>
  </conditionalFormatting>
  <conditionalFormatting sqref="E186">
    <cfRule type="cellIs" dxfId="1356" priority="1064" operator="equal">
      <formula>0</formula>
    </cfRule>
  </conditionalFormatting>
  <conditionalFormatting sqref="E188">
    <cfRule type="cellIs" dxfId="1355" priority="1063" operator="equal">
      <formula>0</formula>
    </cfRule>
  </conditionalFormatting>
  <conditionalFormatting sqref="E194">
    <cfRule type="cellIs" dxfId="1354" priority="1057" operator="equal">
      <formula>0</formula>
    </cfRule>
  </conditionalFormatting>
  <conditionalFormatting sqref="E105">
    <cfRule type="cellIs" dxfId="1353" priority="1052" operator="equal">
      <formula>0</formula>
    </cfRule>
  </conditionalFormatting>
  <conditionalFormatting sqref="F67">
    <cfRule type="duplicateValues" dxfId="1352" priority="280"/>
  </conditionalFormatting>
  <conditionalFormatting sqref="F67">
    <cfRule type="duplicateValues" dxfId="1351" priority="277"/>
  </conditionalFormatting>
  <conditionalFormatting sqref="F83:F88">
    <cfRule type="duplicateValues" dxfId="1350" priority="247"/>
  </conditionalFormatting>
  <conditionalFormatting sqref="F83:F88">
    <cfRule type="duplicateValues" dxfId="1349" priority="246"/>
  </conditionalFormatting>
  <conditionalFormatting sqref="F68:F73">
    <cfRule type="duplicateValues" dxfId="1348" priority="245"/>
  </conditionalFormatting>
  <conditionalFormatting sqref="F68:F73">
    <cfRule type="duplicateValues" dxfId="1347" priority="244"/>
  </conditionalFormatting>
  <conditionalFormatting sqref="F77:F79">
    <cfRule type="duplicateValues" dxfId="1346" priority="211"/>
  </conditionalFormatting>
  <conditionalFormatting sqref="F77:F79">
    <cfRule type="duplicateValues" dxfId="1345" priority="210"/>
  </conditionalFormatting>
  <conditionalFormatting sqref="F80:F82">
    <cfRule type="duplicateValues" dxfId="1344" priority="209"/>
  </conditionalFormatting>
  <conditionalFormatting sqref="F90:F94">
    <cfRule type="duplicateValues" dxfId="1343" priority="208"/>
  </conditionalFormatting>
  <conditionalFormatting sqref="F90:F94">
    <cfRule type="duplicateValues" dxfId="1342" priority="207"/>
  </conditionalFormatting>
  <conditionalFormatting sqref="F246:F247">
    <cfRule type="duplicateValues" dxfId="1341" priority="192"/>
  </conditionalFormatting>
  <conditionalFormatting sqref="F246:F247">
    <cfRule type="duplicateValues" dxfId="1340" priority="191"/>
  </conditionalFormatting>
  <conditionalFormatting sqref="F246:F247">
    <cfRule type="duplicateValues" dxfId="1339" priority="190"/>
  </conditionalFormatting>
  <conditionalFormatting sqref="F250:F251">
    <cfRule type="duplicateValues" dxfId="1338" priority="189"/>
  </conditionalFormatting>
  <conditionalFormatting sqref="F250:F251">
    <cfRule type="duplicateValues" dxfId="1337" priority="188"/>
  </conditionalFormatting>
  <conditionalFormatting sqref="F250:F251">
    <cfRule type="duplicateValues" dxfId="1336" priority="187"/>
  </conditionalFormatting>
  <conditionalFormatting sqref="F276:F280">
    <cfRule type="duplicateValues" dxfId="1335" priority="141"/>
  </conditionalFormatting>
  <conditionalFormatting sqref="F276:F280">
    <cfRule type="duplicateValues" dxfId="1334" priority="140"/>
  </conditionalFormatting>
  <conditionalFormatting sqref="F276:F280">
    <cfRule type="duplicateValues" dxfId="1333" priority="139"/>
  </conditionalFormatting>
  <conditionalFormatting sqref="F276:F280">
    <cfRule type="duplicateValues" dxfId="1332" priority="138"/>
  </conditionalFormatting>
  <conditionalFormatting sqref="F281:F295">
    <cfRule type="duplicateValues" dxfId="1331" priority="135"/>
  </conditionalFormatting>
  <conditionalFormatting sqref="F281:F295">
    <cfRule type="duplicateValues" dxfId="1330" priority="134"/>
  </conditionalFormatting>
  <conditionalFormatting sqref="F281:F295">
    <cfRule type="duplicateValues" dxfId="1329" priority="133"/>
  </conditionalFormatting>
  <conditionalFormatting sqref="F281:F295">
    <cfRule type="duplicateValues" dxfId="1328" priority="132"/>
  </conditionalFormatting>
  <conditionalFormatting sqref="F140:F143">
    <cfRule type="duplicateValues" dxfId="1327" priority="88"/>
  </conditionalFormatting>
  <conditionalFormatting sqref="F140:F143">
    <cfRule type="duplicateValues" dxfId="1326" priority="87"/>
  </conditionalFormatting>
  <conditionalFormatting sqref="F140:F143">
    <cfRule type="duplicateValues" dxfId="1325" priority="86"/>
  </conditionalFormatting>
  <conditionalFormatting sqref="F140:F143">
    <cfRule type="duplicateValues" dxfId="1324" priority="85"/>
  </conditionalFormatting>
  <conditionalFormatting sqref="F163:F166">
    <cfRule type="duplicateValues" dxfId="1323" priority="40"/>
  </conditionalFormatting>
  <conditionalFormatting sqref="F163:F166">
    <cfRule type="duplicateValues" dxfId="1322" priority="39"/>
  </conditionalFormatting>
  <conditionalFormatting sqref="F163:F166">
    <cfRule type="duplicateValues" dxfId="1321" priority="38"/>
  </conditionalFormatting>
  <conditionalFormatting sqref="F163:F166">
    <cfRule type="duplicateValues" dxfId="1320" priority="37"/>
  </conditionalFormatting>
  <conditionalFormatting sqref="F162">
    <cfRule type="duplicateValues" dxfId="1319" priority="19"/>
  </conditionalFormatting>
  <conditionalFormatting sqref="F162">
    <cfRule type="duplicateValues" dxfId="1318" priority="18"/>
  </conditionalFormatting>
  <conditionalFormatting sqref="F162">
    <cfRule type="duplicateValues" dxfId="1317" priority="17"/>
  </conditionalFormatting>
  <conditionalFormatting sqref="F162">
    <cfRule type="duplicateValues" dxfId="1316" priority="16"/>
  </conditionalFormatting>
  <conditionalFormatting sqref="F242:F245">
    <cfRule type="duplicateValues" dxfId="1315" priority="5582"/>
  </conditionalFormatting>
  <conditionalFormatting sqref="F252:F275 F89 F4:F66 F74:F76 F95:F139 F248:F249 F144:F161 F167:F221 F223:F241">
    <cfRule type="duplicateValues" dxfId="1314" priority="5608"/>
  </conditionalFormatting>
  <conditionalFormatting sqref="F252:F275 F89 F4:F67 F74:F76 F95:F139 F248:F249 F144:F161 F167:F221 F223:F241">
    <cfRule type="duplicateValues" dxfId="1313" priority="5618"/>
  </conditionalFormatting>
  <conditionalFormatting sqref="F252:F275 F4:F139 F248:F249 F144:F161 F167:F221 F223:F245">
    <cfRule type="duplicateValues" dxfId="1312" priority="5628"/>
  </conditionalFormatting>
  <conditionalFormatting sqref="F4:F139 F144:F161 F167:F221 F223:F275">
    <cfRule type="duplicateValues" dxfId="1311" priority="5635"/>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S392"/>
  <sheetViews>
    <sheetView showGridLines="0" tabSelected="1" showRuler="0" zoomScale="60" zoomScaleNormal="60" zoomScaleSheetLayoutView="68" zoomScalePageLayoutView="21" workbookViewId="0">
      <pane xSplit="3" ySplit="7" topLeftCell="D8" activePane="bottomRight" state="frozen"/>
      <selection pane="topRight" activeCell="D1" sqref="D1"/>
      <selection pane="bottomLeft" activeCell="A22" sqref="A22"/>
      <selection pane="bottomRight" activeCell="F8" sqref="F8"/>
    </sheetView>
  </sheetViews>
  <sheetFormatPr defaultColWidth="9.140625" defaultRowHeight="30.75" x14ac:dyDescent="0.6"/>
  <cols>
    <col min="1" max="1" width="62.28515625" style="30" customWidth="1" collapsed="1"/>
    <col min="2" max="2" width="96" style="804" customWidth="1" collapsed="1"/>
    <col min="3" max="3" width="16.28515625" style="7" customWidth="1" collapsed="1"/>
    <col min="4" max="4" width="9" style="5" customWidth="1" collapsed="1"/>
    <col min="5" max="5" width="8.140625" style="5" customWidth="1" collapsed="1"/>
    <col min="6" max="23" width="7.5703125" style="5" customWidth="1" collapsed="1"/>
    <col min="24" max="24" width="9.140625" style="5" customWidth="1" collapsed="1"/>
    <col min="25" max="26" width="8.85546875" style="5" customWidth="1" collapsed="1"/>
    <col min="27" max="27" width="9.140625" style="5" customWidth="1" collapsed="1"/>
    <col min="28" max="35" width="9.140625" style="5" customWidth="1"/>
    <col min="36" max="36" width="16.7109375" style="5" bestFit="1" customWidth="1" collapsed="1"/>
    <col min="37" max="37" width="11.42578125" style="7" bestFit="1" customWidth="1" collapsed="1"/>
    <col min="38" max="38" width="27.5703125" style="19" bestFit="1" customWidth="1" collapsed="1"/>
    <col min="39" max="40" width="50.42578125" style="5" bestFit="1" customWidth="1" collapsed="1"/>
    <col min="41" max="41" width="9.140625" style="25" collapsed="1"/>
    <col min="42" max="42" width="9.140625" style="5"/>
    <col min="43" max="43" width="24.140625" style="1044" bestFit="1" customWidth="1"/>
    <col min="44" max="44" width="35.42578125" style="1044" bestFit="1" customWidth="1"/>
    <col min="45" max="45" width="32" style="1044" bestFit="1" customWidth="1" collapsed="1"/>
    <col min="46" max="16384" width="9.140625" style="5" collapsed="1"/>
  </cols>
  <sheetData>
    <row r="1" spans="1:45" s="1" customFormat="1" ht="39" hidden="1" customHeight="1" thickBot="1" x14ac:dyDescent="0.3">
      <c r="A1" s="702" t="s">
        <v>150</v>
      </c>
      <c r="B1" s="1005" t="s">
        <v>193</v>
      </c>
      <c r="C1" s="1006"/>
      <c r="D1" s="954" t="s">
        <v>53</v>
      </c>
      <c r="E1" s="956"/>
      <c r="F1" s="958" t="s">
        <v>194</v>
      </c>
      <c r="G1" s="960"/>
      <c r="H1" s="954" t="s">
        <v>149</v>
      </c>
      <c r="I1" s="955"/>
      <c r="J1" s="956"/>
      <c r="K1" s="958" t="s">
        <v>195</v>
      </c>
      <c r="L1" s="959"/>
      <c r="M1" s="959"/>
      <c r="N1" s="959"/>
      <c r="O1" s="959"/>
      <c r="P1" s="959"/>
      <c r="Q1" s="960"/>
      <c r="R1" s="954" t="s">
        <v>156</v>
      </c>
      <c r="S1" s="956"/>
      <c r="T1" s="958" t="s">
        <v>196</v>
      </c>
      <c r="U1" s="959"/>
      <c r="V1" s="960"/>
      <c r="W1" s="954" t="s">
        <v>151</v>
      </c>
      <c r="X1" s="956"/>
      <c r="Y1" s="109" t="s">
        <v>197</v>
      </c>
      <c r="Z1" s="110" t="s">
        <v>152</v>
      </c>
      <c r="AA1" s="958">
        <v>2020</v>
      </c>
      <c r="AB1" s="959"/>
      <c r="AC1" s="959"/>
      <c r="AD1" s="959"/>
      <c r="AE1" s="959"/>
      <c r="AF1" s="959"/>
      <c r="AG1" s="959"/>
      <c r="AH1" s="959"/>
      <c r="AI1" s="959"/>
      <c r="AJ1" s="960"/>
      <c r="AK1" s="985" t="s">
        <v>153</v>
      </c>
      <c r="AL1" s="986"/>
      <c r="AM1" s="986"/>
      <c r="AN1" s="986"/>
      <c r="AO1" s="980"/>
      <c r="AQ1" s="1042"/>
      <c r="AR1" s="1042"/>
      <c r="AS1" s="1042"/>
    </row>
    <row r="2" spans="1:45" s="2" customFormat="1" ht="75.75" customHeight="1" thickBot="1" x14ac:dyDescent="0.65">
      <c r="A2" s="706"/>
      <c r="B2" s="111" t="str">
        <f>IF(LEN(A341)&gt;1,"This form has data Errors. Please correct before submitting","")</f>
        <v/>
      </c>
      <c r="C2" s="111"/>
      <c r="D2" s="111"/>
      <c r="E2" s="111"/>
      <c r="F2" s="111"/>
      <c r="G2" s="111"/>
      <c r="H2" s="111"/>
      <c r="I2" s="111"/>
      <c r="J2" s="111"/>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2"/>
      <c r="AO2" s="980"/>
      <c r="AQ2" s="1043"/>
      <c r="AR2" s="1043"/>
      <c r="AS2" s="1043"/>
    </row>
    <row r="3" spans="1:45" s="31" customFormat="1" ht="57.4" customHeight="1" thickBot="1" x14ac:dyDescent="0.3">
      <c r="A3" s="1011" t="str">
        <f>CONCATENATE(R1,":  ",T1,"                            ",H1,":   ",K1,"                            ",A1,":   ",B1,"                            ",D1,":   ",F1,"                            Reporting Year:   ",AA1,"              Reporting Month:   ",Y1)</f>
        <v>County:  Laikipia                            Sub County:   Laikipia East                            Health Facility:   Likii Dispensary                            MFL Code:   15035                            Reporting Year:   2020              Reporting Month:   02</v>
      </c>
      <c r="B3" s="1012"/>
      <c r="C3" s="1012"/>
      <c r="D3" s="1012"/>
      <c r="E3" s="1012"/>
      <c r="F3" s="1012"/>
      <c r="G3" s="1012"/>
      <c r="H3" s="1012"/>
      <c r="I3" s="1012"/>
      <c r="J3" s="1012"/>
      <c r="K3" s="1012"/>
      <c r="L3" s="1012"/>
      <c r="M3" s="1012"/>
      <c r="N3" s="1012"/>
      <c r="O3" s="1012"/>
      <c r="P3" s="1012"/>
      <c r="Q3" s="1012"/>
      <c r="R3" s="1012"/>
      <c r="S3" s="1012"/>
      <c r="T3" s="1012"/>
      <c r="U3" s="1012"/>
      <c r="V3" s="1012"/>
      <c r="W3" s="1012"/>
      <c r="X3" s="1012"/>
      <c r="Y3" s="1012"/>
      <c r="Z3" s="1012"/>
      <c r="AA3" s="1012"/>
      <c r="AB3" s="1012"/>
      <c r="AC3" s="1012"/>
      <c r="AD3" s="1012"/>
      <c r="AE3" s="1012"/>
      <c r="AF3" s="1012"/>
      <c r="AG3" s="1012"/>
      <c r="AH3" s="1012"/>
      <c r="AI3" s="1012"/>
      <c r="AJ3" s="1012"/>
      <c r="AK3" s="1012"/>
      <c r="AL3" s="1012"/>
      <c r="AM3" s="1012"/>
      <c r="AN3" s="1013"/>
      <c r="AO3" s="980"/>
      <c r="AQ3" s="1041"/>
      <c r="AR3" s="1041"/>
      <c r="AS3" s="1041"/>
    </row>
    <row r="4" spans="1:45" s="3" customFormat="1" ht="31.5" thickBot="1" x14ac:dyDescent="0.3">
      <c r="A4" s="961" t="s">
        <v>584</v>
      </c>
      <c r="B4" s="962"/>
      <c r="C4" s="962"/>
      <c r="D4" s="957" t="s">
        <v>360</v>
      </c>
      <c r="E4" s="957"/>
      <c r="F4" s="957"/>
      <c r="G4" s="957"/>
      <c r="H4" s="957"/>
      <c r="I4" s="957"/>
      <c r="J4" s="957"/>
      <c r="K4" s="957"/>
      <c r="L4" s="957"/>
      <c r="M4" s="957"/>
      <c r="N4" s="957"/>
      <c r="O4" s="957"/>
      <c r="P4" s="957"/>
      <c r="Q4" s="957"/>
      <c r="R4" s="957"/>
      <c r="S4" s="957"/>
      <c r="T4" s="957"/>
      <c r="U4" s="957"/>
      <c r="V4" s="957"/>
      <c r="W4" s="987" t="s">
        <v>712</v>
      </c>
      <c r="X4" s="988"/>
      <c r="Y4" s="988"/>
      <c r="Z4" s="988"/>
      <c r="AA4" s="988"/>
      <c r="AB4" s="988"/>
      <c r="AC4" s="988"/>
      <c r="AD4" s="988"/>
      <c r="AE4" s="988"/>
      <c r="AF4" s="988"/>
      <c r="AG4" s="988"/>
      <c r="AH4" s="988"/>
      <c r="AI4" s="988"/>
      <c r="AJ4" s="988"/>
      <c r="AK4" s="988"/>
      <c r="AL4" s="988"/>
      <c r="AM4" s="988"/>
      <c r="AN4" s="989"/>
      <c r="AO4" s="980"/>
      <c r="AQ4" s="1041"/>
      <c r="AR4" s="1041"/>
      <c r="AS4" s="1041"/>
    </row>
    <row r="5" spans="1:45" ht="42" customHeight="1" thickBot="1" x14ac:dyDescent="0.65">
      <c r="A5" s="940" t="s">
        <v>12</v>
      </c>
      <c r="B5" s="941"/>
      <c r="C5" s="941"/>
      <c r="D5" s="941"/>
      <c r="E5" s="941"/>
      <c r="F5" s="941"/>
      <c r="G5" s="941"/>
      <c r="H5" s="941"/>
      <c r="I5" s="941"/>
      <c r="J5" s="941"/>
      <c r="K5" s="941"/>
      <c r="L5" s="941"/>
      <c r="M5" s="941"/>
      <c r="N5" s="941"/>
      <c r="O5" s="941"/>
      <c r="P5" s="941"/>
      <c r="Q5" s="941"/>
      <c r="R5" s="941"/>
      <c r="S5" s="941"/>
      <c r="T5" s="941"/>
      <c r="U5" s="941"/>
      <c r="V5" s="941"/>
      <c r="W5" s="941"/>
      <c r="X5" s="941"/>
      <c r="Y5" s="941"/>
      <c r="Z5" s="941"/>
      <c r="AA5" s="941"/>
      <c r="AB5" s="941"/>
      <c r="AC5" s="941"/>
      <c r="AD5" s="941"/>
      <c r="AE5" s="941"/>
      <c r="AF5" s="941"/>
      <c r="AG5" s="941"/>
      <c r="AH5" s="941"/>
      <c r="AI5" s="941"/>
      <c r="AJ5" s="941"/>
      <c r="AK5" s="941"/>
      <c r="AL5" s="941"/>
      <c r="AM5" s="941"/>
      <c r="AN5" s="942"/>
      <c r="AO5" s="980"/>
    </row>
    <row r="6" spans="1:45" s="4" customFormat="1" ht="33" customHeight="1" x14ac:dyDescent="0.6">
      <c r="A6" s="950" t="s">
        <v>18</v>
      </c>
      <c r="B6" s="964" t="s">
        <v>123</v>
      </c>
      <c r="C6" s="951" t="s">
        <v>122</v>
      </c>
      <c r="D6" s="848" t="s">
        <v>0</v>
      </c>
      <c r="E6" s="848"/>
      <c r="F6" s="848" t="s">
        <v>1</v>
      </c>
      <c r="G6" s="848"/>
      <c r="H6" s="848" t="s">
        <v>2</v>
      </c>
      <c r="I6" s="848"/>
      <c r="J6" s="848" t="s">
        <v>3</v>
      </c>
      <c r="K6" s="848"/>
      <c r="L6" s="848" t="s">
        <v>4</v>
      </c>
      <c r="M6" s="848"/>
      <c r="N6" s="848" t="s">
        <v>5</v>
      </c>
      <c r="O6" s="848"/>
      <c r="P6" s="848" t="s">
        <v>6</v>
      </c>
      <c r="Q6" s="848"/>
      <c r="R6" s="848" t="s">
        <v>7</v>
      </c>
      <c r="S6" s="848"/>
      <c r="T6" s="848" t="s">
        <v>8</v>
      </c>
      <c r="U6" s="848"/>
      <c r="V6" s="848" t="s">
        <v>15</v>
      </c>
      <c r="W6" s="848"/>
      <c r="X6" s="848" t="s">
        <v>16</v>
      </c>
      <c r="Y6" s="848"/>
      <c r="Z6" s="848" t="s">
        <v>9</v>
      </c>
      <c r="AA6" s="848"/>
      <c r="AB6" s="840" t="s">
        <v>365</v>
      </c>
      <c r="AC6" s="841"/>
      <c r="AD6" s="840" t="s">
        <v>366</v>
      </c>
      <c r="AE6" s="841"/>
      <c r="AF6" s="840" t="s">
        <v>427</v>
      </c>
      <c r="AG6" s="841"/>
      <c r="AH6" s="840" t="s">
        <v>428</v>
      </c>
      <c r="AI6" s="841"/>
      <c r="AJ6" s="972" t="s">
        <v>13</v>
      </c>
      <c r="AK6" s="983" t="s">
        <v>148</v>
      </c>
      <c r="AL6" s="995" t="s">
        <v>154</v>
      </c>
      <c r="AM6" s="993" t="s">
        <v>155</v>
      </c>
      <c r="AN6" s="1009" t="s">
        <v>155</v>
      </c>
      <c r="AO6" s="980"/>
      <c r="AQ6" s="1045"/>
      <c r="AR6" s="1045"/>
      <c r="AS6" s="1045"/>
    </row>
    <row r="7" spans="1:45" s="4" customFormat="1" ht="33" customHeight="1" thickBot="1" x14ac:dyDescent="0.65">
      <c r="A7" s="845"/>
      <c r="B7" s="851"/>
      <c r="C7" s="952"/>
      <c r="D7" s="113" t="s">
        <v>10</v>
      </c>
      <c r="E7" s="113" t="s">
        <v>11</v>
      </c>
      <c r="F7" s="113" t="s">
        <v>10</v>
      </c>
      <c r="G7" s="113" t="s">
        <v>11</v>
      </c>
      <c r="H7" s="113" t="s">
        <v>10</v>
      </c>
      <c r="I7" s="113" t="s">
        <v>11</v>
      </c>
      <c r="J7" s="113" t="s">
        <v>10</v>
      </c>
      <c r="K7" s="113" t="s">
        <v>11</v>
      </c>
      <c r="L7" s="113" t="s">
        <v>10</v>
      </c>
      <c r="M7" s="113" t="s">
        <v>11</v>
      </c>
      <c r="N7" s="113" t="s">
        <v>10</v>
      </c>
      <c r="O7" s="113" t="s">
        <v>11</v>
      </c>
      <c r="P7" s="113" t="s">
        <v>10</v>
      </c>
      <c r="Q7" s="113" t="s">
        <v>11</v>
      </c>
      <c r="R7" s="113" t="s">
        <v>10</v>
      </c>
      <c r="S7" s="113" t="s">
        <v>11</v>
      </c>
      <c r="T7" s="113" t="s">
        <v>10</v>
      </c>
      <c r="U7" s="113" t="s">
        <v>11</v>
      </c>
      <c r="V7" s="113" t="s">
        <v>10</v>
      </c>
      <c r="W7" s="113" t="s">
        <v>11</v>
      </c>
      <c r="X7" s="113" t="s">
        <v>10</v>
      </c>
      <c r="Y7" s="113" t="s">
        <v>11</v>
      </c>
      <c r="Z7" s="113" t="s">
        <v>10</v>
      </c>
      <c r="AA7" s="113" t="s">
        <v>11</v>
      </c>
      <c r="AB7" s="114" t="s">
        <v>10</v>
      </c>
      <c r="AC7" s="114" t="s">
        <v>11</v>
      </c>
      <c r="AD7" s="114" t="s">
        <v>10</v>
      </c>
      <c r="AE7" s="114" t="s">
        <v>11</v>
      </c>
      <c r="AF7" s="114" t="s">
        <v>10</v>
      </c>
      <c r="AG7" s="114" t="s">
        <v>11</v>
      </c>
      <c r="AH7" s="114" t="s">
        <v>10</v>
      </c>
      <c r="AI7" s="114" t="s">
        <v>11</v>
      </c>
      <c r="AJ7" s="973"/>
      <c r="AK7" s="1014"/>
      <c r="AL7" s="880"/>
      <c r="AM7" s="1007"/>
      <c r="AN7" s="1010"/>
      <c r="AO7" s="980"/>
      <c r="AQ7" s="1045"/>
      <c r="AR7" s="1045"/>
      <c r="AS7" s="1045"/>
    </row>
    <row r="8" spans="1:45" x14ac:dyDescent="0.6">
      <c r="A8" s="861" t="s">
        <v>749</v>
      </c>
      <c r="B8" s="707" t="s">
        <v>362</v>
      </c>
      <c r="C8" s="115" t="s">
        <v>54</v>
      </c>
      <c r="D8" s="116"/>
      <c r="E8" s="117"/>
      <c r="F8" s="118"/>
      <c r="G8" s="118"/>
      <c r="H8" s="118"/>
      <c r="I8" s="119"/>
      <c r="J8" s="118"/>
      <c r="K8" s="118"/>
      <c r="L8" s="118"/>
      <c r="M8" s="118"/>
      <c r="N8" s="118"/>
      <c r="O8" s="118"/>
      <c r="P8" s="118"/>
      <c r="Q8" s="118"/>
      <c r="R8" s="118"/>
      <c r="S8" s="118"/>
      <c r="T8" s="118"/>
      <c r="U8" s="118"/>
      <c r="V8" s="118"/>
      <c r="W8" s="118"/>
      <c r="X8" s="118"/>
      <c r="Y8" s="120"/>
      <c r="Z8" s="121">
        <f t="shared" ref="Z8:AA11" si="0">SUM(AB8,AD8,AF8,AH8)</f>
        <v>0</v>
      </c>
      <c r="AA8" s="122">
        <f t="shared" si="0"/>
        <v>0</v>
      </c>
      <c r="AB8" s="123"/>
      <c r="AC8" s="120"/>
      <c r="AD8" s="118"/>
      <c r="AE8" s="120"/>
      <c r="AF8" s="118"/>
      <c r="AG8" s="120"/>
      <c r="AH8" s="118"/>
      <c r="AI8" s="120"/>
      <c r="AJ8" s="124">
        <f t="shared" ref="AJ8" si="1">SUM(D8:AA8)</f>
        <v>0</v>
      </c>
      <c r="AK8" s="1008" t="str">
        <f>CONCATENATE(IF(D9&gt;D8," * F01-02 "&amp;$D$6&amp;" "&amp;$D$7&amp;" is more than F01-01"&amp;CHAR(10),""),IF(E9&gt;E8," * F01-02 "&amp;$D$6&amp;" "&amp;$E$7&amp;" is more than F01-01"&amp;CHAR(10),""),IF(F9&gt;F8," * F01-02 "&amp;$F$6&amp;" "&amp;$F$7&amp;" is more than F01-01"&amp;CHAR(10),""),IF(G9&gt;G8," * F01-02 "&amp;$F$6&amp;" "&amp;$G$7&amp;" is more than F01-01"&amp;CHAR(10),""),IF(H9&gt;H8," * F01-02 "&amp;$H$6&amp;" "&amp;$H$7&amp;" is more than F01-01"&amp;CHAR(10),""),IF(I9&gt;I8," * F01-02 "&amp;$H$6&amp;" "&amp;$I$7&amp;" is more than F01-01"&amp;CHAR(10),""),IF(J9&gt;J8," * F01-02 "&amp;$J$6&amp;" "&amp;$J$7&amp;" is more than F01-01"&amp;CHAR(10),""),IF(K9&gt;K8," * F01-02 "&amp;$J$6&amp;" "&amp;$K$7&amp;" is more than F01-01"&amp;CHAR(10),""),IF(L9&gt;L8," * F01-02 "&amp;$L$6&amp;" "&amp;$L$7&amp;" is more than F01-01"&amp;CHAR(10),""),IF(M9&gt;M8," * F01-02 "&amp;$L$6&amp;" "&amp;$M$7&amp;" is more than F01-01"&amp;CHAR(10),""),IF(N9&gt;N8," * F01-02 "&amp;$N$6&amp;" "&amp;$N$7&amp;" is more than F01-01"&amp;CHAR(10),""),IF(O9&gt;O8," * F01-02 "&amp;$N$6&amp;" "&amp;$O$7&amp;" is more than F01-01"&amp;CHAR(10),""),IF(P9&gt;P8," * F01-02 "&amp;$P$6&amp;" "&amp;$P$7&amp;" is more than F01-01"&amp;CHAR(10),""),IF(Q9&gt;Q8," * F01-02 "&amp;$P$6&amp;" "&amp;$Q$7&amp;" is more than F01-01"&amp;CHAR(10),""),IF(R9&gt;R8," * F01-02 "&amp;$R$6&amp;" "&amp;$R$7&amp;" is more than F01-01"&amp;CHAR(10),""),IF(S9&gt;S8," * F01-02 "&amp;$R$6&amp;" "&amp;$S$7&amp;" is more than F01-01"&amp;CHAR(10),""),IF(T9&gt;T8," * F01-02 "&amp;$T$6&amp;" "&amp;$T$7&amp;" is more than F01-01"&amp;CHAR(10),""),IF(U9&gt;U8," * F01-02 "&amp;$T$6&amp;" "&amp;$U$7&amp;" is more than F01-01"&amp;CHAR(10),""),IF(V9&gt;V8," * F01-02 "&amp;$V$6&amp;" "&amp;$V$7&amp;" is more than F01-01"&amp;CHAR(10),""),IF(W9&gt;W8," * F01-02 "&amp;$V$6&amp;" "&amp;$W$7&amp;" is more than F01-01"&amp;CHAR(10),""),IF(X9&gt;X8," * F01-02 "&amp;$X$6&amp;" "&amp;$X$7&amp;" is more than F01-01"&amp;CHAR(10),""),IF(Y9&gt;Y8," * F01-02 "&amp;$X$6&amp;" "&amp;$Y$7&amp;" is more than F01-01"&amp;CHAR(10),""),IF(Z9&gt;Z8," * F01-02 "&amp;$Z$6&amp;" "&amp;$Z$7&amp;" is more than F01-01"&amp;CHAR(10),""),IF(AA9&gt;AA8," * F01-02 "&amp;$Z$6&amp;" "&amp;$AA$7&amp;" is more than F01-01"&amp;CHAR(10),""))</f>
        <v/>
      </c>
      <c r="AL8" s="832" t="str">
        <f>CONCATENATE(AK8,AK10,AK11,AK13,AK21,AK27,AK33,AK39,AK45,AK51,AK87,AK72,AK79,AK78,AK80,AK100,AK102,AK12,AK93,AK94,AK20,AK86,AK85,AK14)</f>
        <v/>
      </c>
      <c r="AM8" s="125"/>
      <c r="AN8" s="835" t="str">
        <f>CONCATENATE(AM8,AM9,AM10,AM11,AM13,AM14,AM21,AM22,AM27,AM28,AM33,AM34,AM39,AM40,AM45,AM46,AM51,AM52,AM87,AM88,AM72,AM73,AM94,AM93,AM86,AM85,AM80,AM79,AM78,AM20,AM12)</f>
        <v/>
      </c>
      <c r="AO8" s="126">
        <v>21</v>
      </c>
    </row>
    <row r="9" spans="1:45" x14ac:dyDescent="0.6">
      <c r="A9" s="862"/>
      <c r="B9" s="716" t="s">
        <v>363</v>
      </c>
      <c r="C9" s="127" t="s">
        <v>55</v>
      </c>
      <c r="D9" s="128"/>
      <c r="E9" s="129"/>
      <c r="F9" s="130"/>
      <c r="G9" s="130"/>
      <c r="H9" s="130"/>
      <c r="I9" s="130"/>
      <c r="J9" s="130"/>
      <c r="K9" s="130"/>
      <c r="L9" s="130"/>
      <c r="M9" s="130"/>
      <c r="N9" s="130"/>
      <c r="O9" s="130"/>
      <c r="P9" s="130"/>
      <c r="Q9" s="130"/>
      <c r="R9" s="130"/>
      <c r="S9" s="130"/>
      <c r="T9" s="130"/>
      <c r="U9" s="130"/>
      <c r="V9" s="130"/>
      <c r="W9" s="130"/>
      <c r="X9" s="130"/>
      <c r="Y9" s="131"/>
      <c r="Z9" s="132">
        <f t="shared" si="0"/>
        <v>0</v>
      </c>
      <c r="AA9" s="133">
        <f t="shared" si="0"/>
        <v>0</v>
      </c>
      <c r="AB9" s="134"/>
      <c r="AC9" s="131"/>
      <c r="AD9" s="130"/>
      <c r="AE9" s="131"/>
      <c r="AF9" s="130"/>
      <c r="AG9" s="131"/>
      <c r="AH9" s="130"/>
      <c r="AI9" s="131"/>
      <c r="AJ9" s="135">
        <f t="shared" ref="AJ9:AJ16" si="2">SUM(D9:AA9)</f>
        <v>0</v>
      </c>
      <c r="AK9" s="990"/>
      <c r="AL9" s="833"/>
      <c r="AM9" s="136"/>
      <c r="AN9" s="836"/>
      <c r="AO9" s="126">
        <v>22</v>
      </c>
    </row>
    <row r="10" spans="1:45" s="7" customFormat="1" x14ac:dyDescent="0.6">
      <c r="A10" s="862"/>
      <c r="B10" s="716" t="s">
        <v>56</v>
      </c>
      <c r="C10" s="127" t="s">
        <v>124</v>
      </c>
      <c r="D10" s="128"/>
      <c r="E10" s="129"/>
      <c r="F10" s="130"/>
      <c r="G10" s="130"/>
      <c r="H10" s="130"/>
      <c r="I10" s="130"/>
      <c r="J10" s="130"/>
      <c r="K10" s="130"/>
      <c r="L10" s="130"/>
      <c r="M10" s="130"/>
      <c r="N10" s="130"/>
      <c r="O10" s="130"/>
      <c r="P10" s="130"/>
      <c r="Q10" s="130"/>
      <c r="R10" s="130"/>
      <c r="S10" s="130"/>
      <c r="T10" s="130"/>
      <c r="U10" s="130"/>
      <c r="V10" s="130"/>
      <c r="W10" s="130"/>
      <c r="X10" s="130"/>
      <c r="Y10" s="131"/>
      <c r="Z10" s="132">
        <f t="shared" si="0"/>
        <v>0</v>
      </c>
      <c r="AA10" s="133">
        <f t="shared" si="0"/>
        <v>0</v>
      </c>
      <c r="AB10" s="134"/>
      <c r="AC10" s="131"/>
      <c r="AD10" s="130"/>
      <c r="AE10" s="131"/>
      <c r="AF10" s="130"/>
      <c r="AG10" s="131"/>
      <c r="AH10" s="130"/>
      <c r="AI10" s="131"/>
      <c r="AJ10" s="135">
        <f t="shared" si="2"/>
        <v>0</v>
      </c>
      <c r="AK10" s="137" t="str">
        <f>IF(AJ10&gt;0,IF(AJ9&lt;1,"Contacts were Elicited [ F01-03 ] yet no Patients Accepted Index Testing [F01-02]",""),"")</f>
        <v/>
      </c>
      <c r="AL10" s="833"/>
      <c r="AM10" s="138" t="str">
        <f>CONCATENATE(IF(D10&lt;&gt;SUM(D11,D13)," * F01-03 for Age "&amp;D6&amp;" "&amp;D7&amp;" is not equal to the sum of (F01-04+F01-05)"&amp;CHAR(10),""),IF(E10&lt;&gt;SUM(E11,E13)," * F01-03 for Age "&amp;D6&amp;" "&amp;E7&amp;" is not equal to the sum of F01-04+F01-05"&amp;CHAR(10),""),IF(F10&lt;&gt;SUM(F11,F13)," * F01-03 for Age "&amp;F6&amp;" "&amp;F7&amp;" is not equal to the sum of (F01-04+F01-05)"&amp;CHAR(10),""),IF(G10&lt;&gt;SUM(G11,G13)," * F01-03 for Age "&amp;F6&amp;" "&amp;G7&amp;" is not equal to the sum of F01-04+F01-05"&amp;CHAR(10),""),IF(H10&lt;&gt;SUM(H11,H13)," * F01-03 for Age "&amp;H6&amp;" "&amp;H7&amp;" is not equal to the sum of (F01-04+F01-05)"&amp;CHAR(10),""),IF(I10&lt;&gt;SUM(I11,I13)," * F01-03 for Age "&amp;H6&amp;" "&amp;I7&amp;" is not equal to the sum of F01-04+F01-05"&amp;CHAR(10),""),IF(J10&lt;&gt;SUM(J11,J13)," * F01-03 for Age "&amp;J6&amp;" "&amp;J7&amp;" is not equal to the sum of (F01-04+F01-05)"&amp;CHAR(10),""),IF(K10&lt;&gt;SUM(K11,K13)," * F01-03 for Age "&amp;J6&amp;" "&amp;K7&amp;" is not equal to the sum of F01-04+F01-05"&amp;CHAR(10),""),IF(L10&lt;&gt;SUM(L11,L13)," * F01-03 for Age "&amp;L6&amp;" "&amp;L7&amp;" is not equal to the sum of (F01-04+F01-05)"&amp;CHAR(10),""),IF(M10&lt;&gt;SUM(M11,M13)," * F01-03 for Age "&amp;L6&amp;" "&amp;M7&amp;" is not equal to the sum of F01-04+F01-05"&amp;CHAR(10),""),IF(N10&lt;&gt;SUM(N11,N13)," * F01-03 for Age "&amp;N6&amp;" "&amp;N7&amp;" is not equal to the sum of (F01-04+F01-05)"&amp;CHAR(10),""),IF(O10&lt;&gt;SUM(O11,O13)," * F01-03 for Age "&amp;N6&amp;" "&amp;O7&amp;" is not equal to the sum of F01-04+F01-05"&amp;CHAR(10),""),IF(P10&lt;&gt;SUM(P11,P13)," * F01-03 for Age "&amp;P6&amp;" "&amp;P7&amp;" is not equal to the sum of (F01-04+F01-05)"&amp;CHAR(10),""),IF(Q10&lt;&gt;SUM(Q11,Q13)," * F01-03 for Age "&amp;P6&amp;" "&amp;Q7&amp;" is not equal to the sum of F01-04+F01-05"&amp;CHAR(10),""),IF(R10&lt;&gt;SUM(R11,R13)," * F01-03 for Age "&amp;R6&amp;" "&amp;R7&amp;" is not equal to the sum of (F01-04+F01-05)"&amp;CHAR(10),""),IF(S10&lt;&gt;SUM(S11,S13)," * F01-03 for Age "&amp;R6&amp;" "&amp;S7&amp;" is not equal to the sum of F01-04+F01-05"&amp;CHAR(10),""),IF(T10&lt;&gt;SUM(T11,T13)," * F01-03 for Age "&amp;T6&amp;" "&amp;T7&amp;" is not equal to the sum of (F01-04+F01-05)"&amp;CHAR(10),""),IF(U10&lt;&gt;SUM(U11,U13)," * F01-03 for Age "&amp;T6&amp;" "&amp;U7&amp;" is not equal to the sum of F01-04+F01-05"&amp;CHAR(10),""),IF(V10&lt;&gt;SUM(V11,V13)," * F01-03 for Age "&amp;V6&amp;" "&amp;V7&amp;" is not equal to the sum of (F01-04+F01-05)"&amp;CHAR(10),""),IF(W10&lt;&gt;SUM(W11,W13)," * F01-03 for Age "&amp;V6&amp;" "&amp;W7&amp;" is not equal to the sum of F01-04+F01-05"&amp;CHAR(10),""),IF(X10&lt;&gt;SUM(X11,X13)," * F01-03 for Age "&amp;X6&amp;" "&amp;X7&amp;" is not equal to the sum of (F01-04+F01-05)"&amp;CHAR(10),""),IF(Y10&lt;&gt;SUM(Y11,Y13)," * F01-03 for Age "&amp;X6&amp;" "&amp;Y7&amp;" is not equal to the sum of F01-04+F01-05"&amp;CHAR(10),""),IF(Z10&lt;&gt;SUM(Z11,Z13)," * F01-03 for Age "&amp;Z6&amp;" "&amp;Z7&amp;" is not equal to the sum of (F01-04+F01-05)"&amp;CHAR(10),""),IF(AA10&lt;&gt;SUM(AA11,AA13)," * F01-03 for Age "&amp;Z6&amp;" "&amp;AA7&amp;" is not equal to the sum of (F01-04+F01-05)"&amp;CHAR(10),""))</f>
        <v/>
      </c>
      <c r="AN10" s="836"/>
      <c r="AO10" s="126">
        <v>23</v>
      </c>
      <c r="AQ10" s="1046"/>
      <c r="AR10" s="1046"/>
      <c r="AS10" s="1046"/>
    </row>
    <row r="11" spans="1:45" s="10" customFormat="1" x14ac:dyDescent="0.55000000000000004">
      <c r="A11" s="862"/>
      <c r="B11" s="716" t="s">
        <v>57</v>
      </c>
      <c r="C11" s="127" t="s">
        <v>58</v>
      </c>
      <c r="D11" s="128"/>
      <c r="E11" s="129"/>
      <c r="F11" s="130"/>
      <c r="G11" s="130"/>
      <c r="H11" s="130"/>
      <c r="I11" s="130"/>
      <c r="J11" s="130"/>
      <c r="K11" s="130"/>
      <c r="L11" s="130"/>
      <c r="M11" s="130"/>
      <c r="N11" s="130"/>
      <c r="O11" s="130"/>
      <c r="P11" s="130"/>
      <c r="Q11" s="130"/>
      <c r="R11" s="130"/>
      <c r="S11" s="130"/>
      <c r="T11" s="130"/>
      <c r="U11" s="130"/>
      <c r="V11" s="130"/>
      <c r="W11" s="130"/>
      <c r="X11" s="130"/>
      <c r="Y11" s="131"/>
      <c r="Z11" s="132">
        <f t="shared" si="0"/>
        <v>0</v>
      </c>
      <c r="AA11" s="133">
        <f t="shared" si="0"/>
        <v>0</v>
      </c>
      <c r="AB11" s="134"/>
      <c r="AC11" s="131"/>
      <c r="AD11" s="130"/>
      <c r="AE11" s="131"/>
      <c r="AF11" s="130"/>
      <c r="AG11" s="131"/>
      <c r="AH11" s="130"/>
      <c r="AI11" s="131"/>
      <c r="AJ11" s="135">
        <f t="shared" si="2"/>
        <v>0</v>
      </c>
      <c r="AK11" s="137"/>
      <c r="AL11" s="833"/>
      <c r="AM11" s="136"/>
      <c r="AN11" s="836"/>
      <c r="AO11" s="126">
        <v>24</v>
      </c>
      <c r="AQ11" s="1047"/>
      <c r="AR11" s="1047"/>
      <c r="AS11" s="1047"/>
    </row>
    <row r="12" spans="1:45" s="10" customFormat="1" x14ac:dyDescent="0.55000000000000004">
      <c r="A12" s="862"/>
      <c r="B12" s="716" t="s">
        <v>370</v>
      </c>
      <c r="C12" s="127" t="s">
        <v>369</v>
      </c>
      <c r="D12" s="128"/>
      <c r="E12" s="129"/>
      <c r="F12" s="130"/>
      <c r="G12" s="130"/>
      <c r="H12" s="130"/>
      <c r="I12" s="130"/>
      <c r="J12" s="130"/>
      <c r="K12" s="130"/>
      <c r="L12" s="129"/>
      <c r="M12" s="129"/>
      <c r="N12" s="129"/>
      <c r="O12" s="129"/>
      <c r="P12" s="129"/>
      <c r="Q12" s="129"/>
      <c r="R12" s="129"/>
      <c r="S12" s="129"/>
      <c r="T12" s="129"/>
      <c r="U12" s="129"/>
      <c r="V12" s="129"/>
      <c r="W12" s="129"/>
      <c r="X12" s="129"/>
      <c r="Y12" s="139"/>
      <c r="Z12" s="128"/>
      <c r="AA12" s="140"/>
      <c r="AB12" s="141"/>
      <c r="AC12" s="139"/>
      <c r="AD12" s="129"/>
      <c r="AE12" s="139"/>
      <c r="AF12" s="129"/>
      <c r="AG12" s="139"/>
      <c r="AH12" s="129"/>
      <c r="AI12" s="139"/>
      <c r="AJ12" s="135">
        <f t="shared" si="2"/>
        <v>0</v>
      </c>
      <c r="AK12" s="137"/>
      <c r="AL12" s="833"/>
      <c r="AM12" s="136"/>
      <c r="AN12" s="836"/>
      <c r="AO12" s="126"/>
      <c r="AQ12" s="1047"/>
      <c r="AR12" s="1047"/>
      <c r="AS12" s="1047"/>
    </row>
    <row r="13" spans="1:45" s="10" customFormat="1" x14ac:dyDescent="0.55000000000000004">
      <c r="A13" s="862"/>
      <c r="B13" s="716" t="s">
        <v>63</v>
      </c>
      <c r="C13" s="127" t="s">
        <v>59</v>
      </c>
      <c r="D13" s="128"/>
      <c r="E13" s="129"/>
      <c r="F13" s="130"/>
      <c r="G13" s="130"/>
      <c r="H13" s="130"/>
      <c r="I13" s="130"/>
      <c r="J13" s="130"/>
      <c r="K13" s="130"/>
      <c r="L13" s="130"/>
      <c r="M13" s="130"/>
      <c r="N13" s="130"/>
      <c r="O13" s="130"/>
      <c r="P13" s="130"/>
      <c r="Q13" s="130"/>
      <c r="R13" s="130"/>
      <c r="S13" s="130"/>
      <c r="T13" s="130"/>
      <c r="U13" s="130"/>
      <c r="V13" s="130"/>
      <c r="W13" s="130"/>
      <c r="X13" s="130"/>
      <c r="Y13" s="131"/>
      <c r="Z13" s="132">
        <f t="shared" ref="Z13:Z32" si="3">SUM(AB13,AD13,AF13,AH13)</f>
        <v>0</v>
      </c>
      <c r="AA13" s="133">
        <f t="shared" ref="AA13:AA32" si="4">SUM(AC13,AE13,AG13,AI13)</f>
        <v>0</v>
      </c>
      <c r="AB13" s="134"/>
      <c r="AC13" s="130"/>
      <c r="AD13" s="130"/>
      <c r="AE13" s="130"/>
      <c r="AF13" s="130"/>
      <c r="AG13" s="130"/>
      <c r="AH13" s="130"/>
      <c r="AI13" s="131"/>
      <c r="AJ13" s="135">
        <f t="shared" si="2"/>
        <v>0</v>
      </c>
      <c r="AK13" s="825" t="str">
        <f>CONCATENATE(IF(D14&gt;D13," * Positive F01-06 for Age "&amp;D6&amp;" "&amp;D7&amp;" is more than Tested  F01-05"&amp;CHAR(10),""),IF(E14&gt;E13," * Positive F01-06 for Age "&amp;D6&amp;" "&amp;E7&amp;" is more than Tested  F01-05"&amp;CHAR(10),""),IF(F14&gt;F13," * Positive F01-06 for Age "&amp;F6&amp;" "&amp;F7&amp;" is more than Tested  F01-05"&amp;CHAR(10),""),IF(G14&gt;G13," * Positive F01-06 for Age "&amp;F6&amp;" "&amp;G7&amp;" is more than Tested  F01-05"&amp;CHAR(10),""),IF(H14&gt;H13," * Positive F01-06 for Age "&amp;H6&amp;" "&amp;H7&amp;" is more than Tested  F01-05"&amp;CHAR(10),""),IF(I14&gt;I13," * Positive F01-06 for Age "&amp;H6&amp;" "&amp;I7&amp;" is more than Tested  F01-05"&amp;CHAR(10),""),IF(J14&gt;J13," * Positive F01-06 for Age "&amp;J6&amp;" "&amp;J7&amp;" is more than Tested  F01-05"&amp;CHAR(10),""),IF(K14&gt;K13," * Positive F01-06 for Age "&amp;J6&amp;" "&amp;K7&amp;" is more than Tested  F01-05"&amp;CHAR(10),""),IF(L14&gt;L13," * Positive F01-06 for Age "&amp;L6&amp;" "&amp;L7&amp;" is more than Tested  F01-05"&amp;CHAR(10),""),IF(M14&gt;M13," * Positive F01-06 for Age "&amp;L6&amp;" "&amp;M7&amp;" is more than Tested  F01-05"&amp;CHAR(10),""),IF(N14&gt;N13," * Positive F01-06 for Age "&amp;N6&amp;" "&amp;N7&amp;" is more than Tested  F01-05"&amp;CHAR(10),""),IF(O14&gt;O13," * Positive F01-06 for Age "&amp;N6&amp;" "&amp;O7&amp;" is more than Tested  F01-05"&amp;CHAR(10),""),IF(P14&gt;P13," * Positive F01-06 for Age "&amp;P6&amp;" "&amp;P7&amp;" is more than Tested  F01-05"&amp;CHAR(10),""),IF(Q14&gt;Q13," * Positive F01-06 for Age "&amp;P6&amp;" "&amp;Q7&amp;" is more than Tested  F01-05"&amp;CHAR(10),""),IF(R14&gt;R13," * Positive F01-06 for Age "&amp;R6&amp;" "&amp;R7&amp;" is more than Tested  F01-05"&amp;CHAR(10),""),IF(S14&gt;S13," * Positive F01-06 for Age "&amp;R6&amp;" "&amp;S7&amp;" is more than Tested  F01-05"&amp;CHAR(10),""),IF(T14&gt;T13," * Positive F01-06 for Age "&amp;T6&amp;" "&amp;T7&amp;" is more than Tested  F01-05"&amp;CHAR(10),""),IF(U14&gt;U13," * Positive F01-06 for Age "&amp;T6&amp;" "&amp;U7&amp;" is more than Tested  F01-05"&amp;CHAR(10),""),IF(V14&gt;V13," * Positive F01-06 for Age "&amp;V6&amp;" "&amp;V7&amp;" is more than Tested  F01-05"&amp;CHAR(10),""),IF(W14&gt;W13," * Positive F01-06 for Age "&amp;V6&amp;" "&amp;W7&amp;" is more than Tested  F01-05"&amp;CHAR(10),""),IF(X14&gt;X13," * Positive F01-06 for Age "&amp;X6&amp;" "&amp;X7&amp;" is more than Tested  F01-05"&amp;CHAR(10),""),IF(Y14&gt;Y13," * Positive F01-06 for Age "&amp;X6&amp;" "&amp;Y7&amp;" is more than Tested  F01-05"&amp;CHAR(10),""),IF(Z14&gt;Z13," * Positive F01-06 for Age "&amp;Z6&amp;" "&amp;Z7&amp;" is more than Tested  F01-05"&amp;CHAR(10),""),IF(AA14&gt;AA13," * Positive F01-06 for Age "&amp;Z6&amp;" "&amp;AA7&amp;" is more than Tested  F01-05"&amp;CHAR(10),""))</f>
        <v/>
      </c>
      <c r="AL13" s="833"/>
      <c r="AM13" s="136" t="str">
        <f>CONCATENATE(IF(AND(IFERROR((AJ14*100)/AJ13,0)&gt;10,AJ14&gt;5)," * This facility has a high positivity rate for Index Testing. Kindly confirm if this is the true reflection"&amp;CHAR(10),""),"")</f>
        <v/>
      </c>
      <c r="AN13" s="836"/>
      <c r="AO13" s="126">
        <v>25</v>
      </c>
      <c r="AQ13" s="1047"/>
      <c r="AR13" s="1047"/>
      <c r="AS13" s="1047"/>
    </row>
    <row r="14" spans="1:45" s="10" customFormat="1" x14ac:dyDescent="0.55000000000000004">
      <c r="A14" s="862"/>
      <c r="B14" s="717" t="s">
        <v>61</v>
      </c>
      <c r="C14" s="127" t="s">
        <v>60</v>
      </c>
      <c r="D14" s="128"/>
      <c r="E14" s="129"/>
      <c r="F14" s="142"/>
      <c r="G14" s="142"/>
      <c r="H14" s="142"/>
      <c r="I14" s="142"/>
      <c r="J14" s="142"/>
      <c r="K14" s="142"/>
      <c r="L14" s="142"/>
      <c r="M14" s="142"/>
      <c r="N14" s="142"/>
      <c r="O14" s="142"/>
      <c r="P14" s="142"/>
      <c r="Q14" s="142"/>
      <c r="R14" s="142"/>
      <c r="S14" s="142"/>
      <c r="T14" s="142"/>
      <c r="U14" s="142"/>
      <c r="V14" s="142"/>
      <c r="W14" s="142"/>
      <c r="X14" s="142"/>
      <c r="Y14" s="143"/>
      <c r="Z14" s="132">
        <f t="shared" si="3"/>
        <v>0</v>
      </c>
      <c r="AA14" s="133">
        <f t="shared" si="4"/>
        <v>0</v>
      </c>
      <c r="AB14" s="144"/>
      <c r="AC14" s="143"/>
      <c r="AD14" s="142"/>
      <c r="AE14" s="143"/>
      <c r="AF14" s="142"/>
      <c r="AG14" s="143"/>
      <c r="AH14" s="142"/>
      <c r="AI14" s="143"/>
      <c r="AJ14" s="135">
        <f t="shared" si="2"/>
        <v>0</v>
      </c>
      <c r="AK14" s="145" t="str">
        <f>CONCATENATE(IF((D15+D16+D17+D18)&lt;&gt;D14," * "&amp;$A14&amp;" , "&amp;$B15&amp;" plus "&amp;$B16&amp;" plus "&amp;$B17&amp;" plus "&amp;$B18&amp;" For age "&amp;$D$6&amp;" "&amp;$D$7&amp;" should be equal to "&amp;$B14&amp;""&amp;CHAR(10),""),IF((E15+E16+E17+E18)&lt;&gt;E14," * "&amp;$A14&amp;" , "&amp;$B15&amp;" plus "&amp;$B16&amp;" plus "&amp;$B17&amp;" plus "&amp;$B18&amp;" For age "&amp;$D$6&amp;" "&amp;$E$7&amp;" should be equal to "&amp;$B14&amp;""&amp;CHAR(10),""),IF((F15+F16+F17+F18)&lt;&gt;F14," * "&amp;$A14&amp;" , "&amp;$B15&amp;" plus "&amp;$B16&amp;" plus "&amp;$B17&amp;" plus "&amp;$B18&amp;" For age "&amp;$F$6&amp;" "&amp;$F$7&amp;" should be equal to "&amp;$B14&amp;""&amp;CHAR(10),""),IF((G15+G16+G17+G18)&lt;&gt;G14," * "&amp;$A14&amp;" , "&amp;$B15&amp;" plus "&amp;$B16&amp;" plus "&amp;$B17&amp;" plus "&amp;$B18&amp;" For age "&amp;$F$6&amp;" "&amp;$G$7&amp;" should be equal to "&amp;$B14&amp;""&amp;CHAR(10),""),IF((H15+H16+H17+H18)&lt;&gt;H14," * "&amp;$A14&amp;" , "&amp;$B15&amp;" plus "&amp;$B16&amp;" plus "&amp;$B17&amp;" plus "&amp;$B18&amp;" For age "&amp;$H$6&amp;" "&amp;$H$7&amp;" should be equal to "&amp;$B14&amp;""&amp;CHAR(10),""),IF((I15+I16+I17+I18)&lt;&gt;I14," * "&amp;$A14&amp;" , "&amp;$B15&amp;" plus "&amp;$B16&amp;" plus "&amp;$B17&amp;" plus "&amp;$B18&amp;" For age "&amp;$H$6&amp;" "&amp;$I$7&amp;" should be equal to "&amp;$B14&amp;""&amp;CHAR(10),""),IF((J15+J16+J17+J18)&lt;&gt;J14," * "&amp;$A14&amp;" , "&amp;$B15&amp;" plus "&amp;$B16&amp;" plus "&amp;$B17&amp;" plus "&amp;$B18&amp;" For age "&amp;$J$6&amp;" "&amp;$J$7&amp;" should be equal to "&amp;$B14&amp;""&amp;CHAR(10),""),IF((K15+K16+K17+K18)&lt;&gt;K14," * "&amp;$A14&amp;" , "&amp;$B15&amp;" plus "&amp;$B16&amp;" plus "&amp;$B17&amp;" plus "&amp;$B18&amp;" For age "&amp;$J$6&amp;" "&amp;$K$7&amp;" should be equal to "&amp;$B14&amp;""&amp;CHAR(10),""),IF((L15+L16+L17+L18)&lt;&gt;L14," * "&amp;$A14&amp;" , "&amp;$B15&amp;" plus "&amp;$B16&amp;" plus "&amp;$B17&amp;" plus "&amp;$B18&amp;" For age "&amp;$L$6&amp;" "&amp;$L$7&amp;" should be equal to "&amp;$B14&amp;""&amp;CHAR(10),""),IF((M15+M16+M17+M18)&lt;&gt;M14," * "&amp;$A14&amp;" , "&amp;$B15&amp;" plus "&amp;$B16&amp;" plus "&amp;$B17&amp;" plus "&amp;$B18&amp;" For age "&amp;$L$6&amp;" "&amp;$M$7&amp;" should be equal to "&amp;$B14&amp;""&amp;CHAR(10),""),IF((N15+N16+N17+N18)&lt;&gt;N14," * "&amp;$A14&amp;" , "&amp;$B15&amp;" plus "&amp;$B16&amp;" plus "&amp;$B17&amp;" plus "&amp;$B18&amp;" For age "&amp;$N$6&amp;" "&amp;$N$7&amp;" should be equal to "&amp;$B14&amp;""&amp;CHAR(10),""),IF((O15+O16+O17+O18)&lt;&gt;O14," * "&amp;$A14&amp;" , "&amp;$B15&amp;" plus "&amp;$B16&amp;" plus "&amp;$B17&amp;" plus "&amp;$B18&amp;" For age "&amp;$N$6&amp;" "&amp;$O$7&amp;" should be equal to "&amp;$B14&amp;""&amp;CHAR(10),""),IF((P15+P16+P17+P18)&lt;&gt;P14," * "&amp;$A14&amp;" , "&amp;$B15&amp;" plus "&amp;$B16&amp;" plus "&amp;$B17&amp;" plus "&amp;$B18&amp;" For age "&amp;$P$6&amp;" "&amp;$P$7&amp;" should be equal to "&amp;$B14&amp;""&amp;CHAR(10),""),IF((Q15+Q16+Q17+Q18)&lt;&gt;Q14," * "&amp;$A14&amp;" , "&amp;$B15&amp;" plus "&amp;$B16&amp;" plus "&amp;$B17&amp;" plus "&amp;$B18&amp;" For age "&amp;$P$6&amp;" "&amp;$Q$7&amp;" should be equal to "&amp;$B14&amp;""&amp;CHAR(10),""),IF((R15+R16+R17+R18)&lt;&gt;R14," * "&amp;$A14&amp;" , "&amp;$B15&amp;" plus "&amp;$B16&amp;" plus "&amp;$B17&amp;" plus "&amp;$B18&amp;" For age "&amp;$R$6&amp;" "&amp;$R$7&amp;" should be equal to "&amp;$B14&amp;""&amp;CHAR(10),""),IF((S15+S16+S17+S18)&lt;&gt;S14," * "&amp;$A14&amp;" , "&amp;$B15&amp;" plus "&amp;$B16&amp;" plus "&amp;$B17&amp;" plus "&amp;$B18&amp;" For age "&amp;$R$6&amp;" "&amp;$S$7&amp;" should be equal to "&amp;$B14&amp;""&amp;CHAR(10),""),IF((T15+T16+T17+T18)&lt;&gt;T14," * "&amp;$A14&amp;" , "&amp;$B15&amp;" plus "&amp;$B16&amp;" plus "&amp;$B17&amp;" plus "&amp;$B18&amp;" For age "&amp;$T$6&amp;" "&amp;$T$7&amp;" should be equal to "&amp;$B14&amp;""&amp;CHAR(10),""),IF((U15+U16+U17+U18)&lt;&gt;U14," * "&amp;$A14&amp;" , "&amp;$B15&amp;" plus "&amp;$B16&amp;" plus "&amp;$B17&amp;" plus "&amp;$B18&amp;" For age "&amp;$T$6&amp;" "&amp;$U$7&amp;" should be equal to "&amp;$B14&amp;""&amp;CHAR(10),""),IF((V15+V16+V17+V18)&lt;&gt;V14," * "&amp;$A14&amp;" , "&amp;$B15&amp;" plus "&amp;$B16&amp;" plus "&amp;$B17&amp;" plus "&amp;$B18&amp;" For age "&amp;$V$6&amp;" "&amp;$V$7&amp;" should be equal to "&amp;$B14&amp;""&amp;CHAR(10),""),IF((W15+W16+W17+W18)&lt;&gt;W14," * "&amp;$A14&amp;" , "&amp;$B15&amp;" plus "&amp;$B16&amp;" plus "&amp;$B17&amp;" plus "&amp;$B18&amp;" For age "&amp;$V$6&amp;" "&amp;$W$7&amp;" should be equal to "&amp;$B14&amp;""&amp;CHAR(10),""),IF((X15+X16+X17+X18)&lt;&gt;X14," * "&amp;$A14&amp;" , "&amp;$B15&amp;" plus "&amp;$B16&amp;" plus "&amp;$B17&amp;" plus "&amp;$B18&amp;" For age "&amp;$X$6&amp;" "&amp;$X$7&amp;" should be equal to "&amp;$B14&amp;""&amp;CHAR(10),""),IF((Y15+Y16+Y17+Y18)&lt;&gt;Y14," * "&amp;$A14&amp;" , "&amp;$B15&amp;" plus "&amp;$B16&amp;" plus "&amp;$B17&amp;" plus "&amp;$B18&amp;" For age "&amp;$X$6&amp;" "&amp;$Y$7&amp;" should be equal to "&amp;$B14&amp;""&amp;CHAR(10),""),IF((Z15+Z16+Z17+Z18)&lt;&gt;Z14," * "&amp;$A14&amp;" , "&amp;$B15&amp;" plus "&amp;$B16&amp;" plus "&amp;$B17&amp;" plus "&amp;$B18&amp;" For age "&amp;$Z$6&amp;" "&amp;$Z$7&amp;" should be equal to "&amp;$B14&amp;""&amp;CHAR(10),""),IF((AA15+AA16+AA17+AA18)&lt;&gt;AA14," * "&amp;$A14&amp;" , "&amp;$B15&amp;" plus "&amp;$B16&amp;" plus "&amp;$B17&amp;" plus "&amp;$B18&amp;" For age "&amp;$Z$6&amp;" "&amp;$AA$7&amp;" should be equal to "&amp;$B14&amp;""&amp;CHAR(10),""))</f>
        <v/>
      </c>
      <c r="AL14" s="833"/>
      <c r="AM14" s="136"/>
      <c r="AN14" s="836"/>
      <c r="AO14" s="126">
        <v>26</v>
      </c>
      <c r="AQ14" s="1047"/>
      <c r="AR14" s="1047"/>
      <c r="AS14" s="1047"/>
    </row>
    <row r="15" spans="1:45" s="10" customFormat="1" x14ac:dyDescent="0.55000000000000004">
      <c r="A15" s="862"/>
      <c r="B15" s="718" t="s">
        <v>389</v>
      </c>
      <c r="C15" s="127" t="s">
        <v>371</v>
      </c>
      <c r="D15" s="128"/>
      <c r="E15" s="129"/>
      <c r="F15" s="146"/>
      <c r="G15" s="146"/>
      <c r="H15" s="146"/>
      <c r="I15" s="146"/>
      <c r="J15" s="146"/>
      <c r="K15" s="146"/>
      <c r="L15" s="146"/>
      <c r="M15" s="146"/>
      <c r="N15" s="146"/>
      <c r="O15" s="146"/>
      <c r="P15" s="146"/>
      <c r="Q15" s="146"/>
      <c r="R15" s="146"/>
      <c r="S15" s="146"/>
      <c r="T15" s="146"/>
      <c r="U15" s="146"/>
      <c r="V15" s="146"/>
      <c r="W15" s="146"/>
      <c r="X15" s="146"/>
      <c r="Y15" s="146"/>
      <c r="Z15" s="132">
        <f t="shared" si="3"/>
        <v>0</v>
      </c>
      <c r="AA15" s="133">
        <f t="shared" si="4"/>
        <v>0</v>
      </c>
      <c r="AB15" s="146"/>
      <c r="AC15" s="146"/>
      <c r="AD15" s="146"/>
      <c r="AE15" s="146"/>
      <c r="AF15" s="146"/>
      <c r="AG15" s="146"/>
      <c r="AH15" s="146"/>
      <c r="AI15" s="147"/>
      <c r="AJ15" s="135">
        <f t="shared" si="2"/>
        <v>0</v>
      </c>
      <c r="AK15" s="137"/>
      <c r="AL15" s="833"/>
      <c r="AM15" s="136"/>
      <c r="AN15" s="836"/>
      <c r="AO15" s="126"/>
      <c r="AQ15" s="1047"/>
      <c r="AR15" s="1047"/>
      <c r="AS15" s="1047"/>
    </row>
    <row r="16" spans="1:45" s="10" customFormat="1" x14ac:dyDescent="0.55000000000000004">
      <c r="A16" s="862"/>
      <c r="B16" s="718" t="s">
        <v>373</v>
      </c>
      <c r="C16" s="127" t="s">
        <v>372</v>
      </c>
      <c r="D16" s="128"/>
      <c r="E16" s="129"/>
      <c r="F16" s="146"/>
      <c r="G16" s="148"/>
      <c r="H16" s="148"/>
      <c r="I16" s="148"/>
      <c r="J16" s="148"/>
      <c r="K16" s="148"/>
      <c r="L16" s="148"/>
      <c r="M16" s="148"/>
      <c r="N16" s="148"/>
      <c r="O16" s="148"/>
      <c r="P16" s="148"/>
      <c r="Q16" s="148"/>
      <c r="R16" s="148"/>
      <c r="S16" s="148"/>
      <c r="T16" s="148"/>
      <c r="U16" s="148"/>
      <c r="V16" s="148"/>
      <c r="W16" s="148"/>
      <c r="X16" s="148"/>
      <c r="Y16" s="149"/>
      <c r="Z16" s="132">
        <f t="shared" si="3"/>
        <v>0</v>
      </c>
      <c r="AA16" s="133">
        <f t="shared" si="4"/>
        <v>0</v>
      </c>
      <c r="AB16" s="146"/>
      <c r="AC16" s="148"/>
      <c r="AD16" s="148"/>
      <c r="AE16" s="148"/>
      <c r="AF16" s="148"/>
      <c r="AG16" s="148"/>
      <c r="AH16" s="148"/>
      <c r="AI16" s="149"/>
      <c r="AJ16" s="135">
        <f t="shared" si="2"/>
        <v>0</v>
      </c>
      <c r="AK16" s="137"/>
      <c r="AL16" s="833"/>
      <c r="AM16" s="136"/>
      <c r="AN16" s="836"/>
      <c r="AO16" s="126"/>
      <c r="AQ16" s="1047"/>
      <c r="AR16" s="1047"/>
      <c r="AS16" s="1047"/>
    </row>
    <row r="17" spans="1:45" s="10" customFormat="1" x14ac:dyDescent="0.55000000000000004">
      <c r="A17" s="862"/>
      <c r="B17" s="718" t="s">
        <v>375</v>
      </c>
      <c r="C17" s="127" t="s">
        <v>374</v>
      </c>
      <c r="D17" s="128"/>
      <c r="E17" s="129"/>
      <c r="F17" s="150"/>
      <c r="G17" s="151"/>
      <c r="H17" s="151"/>
      <c r="I17" s="151"/>
      <c r="J17" s="151"/>
      <c r="K17" s="151"/>
      <c r="L17" s="151"/>
      <c r="M17" s="151"/>
      <c r="N17" s="151"/>
      <c r="O17" s="151"/>
      <c r="P17" s="151"/>
      <c r="Q17" s="151"/>
      <c r="R17" s="151"/>
      <c r="S17" s="151"/>
      <c r="T17" s="151"/>
      <c r="U17" s="151"/>
      <c r="V17" s="151"/>
      <c r="W17" s="151"/>
      <c r="X17" s="151"/>
      <c r="Y17" s="152"/>
      <c r="Z17" s="132">
        <f t="shared" si="3"/>
        <v>0</v>
      </c>
      <c r="AA17" s="133">
        <f t="shared" si="4"/>
        <v>0</v>
      </c>
      <c r="AB17" s="150"/>
      <c r="AC17" s="151"/>
      <c r="AD17" s="151"/>
      <c r="AE17" s="151"/>
      <c r="AF17" s="151"/>
      <c r="AG17" s="151"/>
      <c r="AH17" s="151"/>
      <c r="AI17" s="152"/>
      <c r="AJ17" s="135">
        <f t="shared" ref="AJ17:AJ21" si="5">SUM(D17:AA17)</f>
        <v>0</v>
      </c>
      <c r="AK17" s="137"/>
      <c r="AL17" s="833"/>
      <c r="AM17" s="136"/>
      <c r="AN17" s="836"/>
      <c r="AO17" s="126"/>
      <c r="AQ17" s="1047"/>
      <c r="AR17" s="1047"/>
      <c r="AS17" s="1047"/>
    </row>
    <row r="18" spans="1:45" s="10" customFormat="1" ht="31.5" thickBot="1" x14ac:dyDescent="0.6">
      <c r="A18" s="862"/>
      <c r="B18" s="718" t="s">
        <v>377</v>
      </c>
      <c r="C18" s="127" t="s">
        <v>376</v>
      </c>
      <c r="D18" s="128"/>
      <c r="E18" s="129"/>
      <c r="F18" s="153"/>
      <c r="G18" s="154"/>
      <c r="H18" s="154"/>
      <c r="I18" s="154"/>
      <c r="J18" s="154"/>
      <c r="K18" s="154"/>
      <c r="L18" s="154"/>
      <c r="M18" s="154"/>
      <c r="N18" s="154"/>
      <c r="O18" s="154"/>
      <c r="P18" s="154"/>
      <c r="Q18" s="154"/>
      <c r="R18" s="154"/>
      <c r="S18" s="154"/>
      <c r="T18" s="154"/>
      <c r="U18" s="154"/>
      <c r="V18" s="154"/>
      <c r="W18" s="154"/>
      <c r="X18" s="154"/>
      <c r="Y18" s="155"/>
      <c r="Z18" s="132">
        <f t="shared" si="3"/>
        <v>0</v>
      </c>
      <c r="AA18" s="133">
        <f t="shared" si="4"/>
        <v>0</v>
      </c>
      <c r="AB18" s="153"/>
      <c r="AC18" s="154"/>
      <c r="AD18" s="154"/>
      <c r="AE18" s="154"/>
      <c r="AF18" s="154"/>
      <c r="AG18" s="154"/>
      <c r="AH18" s="154"/>
      <c r="AI18" s="155"/>
      <c r="AJ18" s="135">
        <f t="shared" si="5"/>
        <v>0</v>
      </c>
      <c r="AK18" s="137"/>
      <c r="AL18" s="833"/>
      <c r="AM18" s="136"/>
      <c r="AN18" s="836"/>
      <c r="AO18" s="126"/>
      <c r="AQ18" s="1047"/>
      <c r="AR18" s="1047"/>
      <c r="AS18" s="1047"/>
    </row>
    <row r="19" spans="1:45" s="10" customFormat="1" x14ac:dyDescent="0.55000000000000004">
      <c r="A19" s="862"/>
      <c r="B19" s="718" t="s">
        <v>278</v>
      </c>
      <c r="C19" s="127" t="s">
        <v>556</v>
      </c>
      <c r="D19" s="128"/>
      <c r="E19" s="129"/>
      <c r="F19" s="156">
        <f t="shared" ref="F19" si="6">F13-F14</f>
        <v>0</v>
      </c>
      <c r="G19" s="156">
        <f t="shared" ref="G19" si="7">G13-G14</f>
        <v>0</v>
      </c>
      <c r="H19" s="156">
        <f t="shared" ref="H19" si="8">H13-H14</f>
        <v>0</v>
      </c>
      <c r="I19" s="156">
        <f t="shared" ref="I19" si="9">I13-I14</f>
        <v>0</v>
      </c>
      <c r="J19" s="156">
        <f t="shared" ref="J19" si="10">J13-J14</f>
        <v>0</v>
      </c>
      <c r="K19" s="156">
        <f t="shared" ref="K19" si="11">K13-K14</f>
        <v>0</v>
      </c>
      <c r="L19" s="156">
        <f t="shared" ref="L19" si="12">L13-L14</f>
        <v>0</v>
      </c>
      <c r="M19" s="156">
        <f t="shared" ref="M19" si="13">M13-M14</f>
        <v>0</v>
      </c>
      <c r="N19" s="156">
        <f t="shared" ref="N19" si="14">N13-N14</f>
        <v>0</v>
      </c>
      <c r="O19" s="156">
        <f t="shared" ref="O19" si="15">O13-O14</f>
        <v>0</v>
      </c>
      <c r="P19" s="156">
        <f t="shared" ref="P19" si="16">P13-P14</f>
        <v>0</v>
      </c>
      <c r="Q19" s="156">
        <f t="shared" ref="Q19" si="17">Q13-Q14</f>
        <v>0</v>
      </c>
      <c r="R19" s="156">
        <f t="shared" ref="R19" si="18">R13-R14</f>
        <v>0</v>
      </c>
      <c r="S19" s="156">
        <f t="shared" ref="S19" si="19">S13-S14</f>
        <v>0</v>
      </c>
      <c r="T19" s="156">
        <f t="shared" ref="T19" si="20">T13-T14</f>
        <v>0</v>
      </c>
      <c r="U19" s="156">
        <f t="shared" ref="U19" si="21">U13-U14</f>
        <v>0</v>
      </c>
      <c r="V19" s="156">
        <f t="shared" ref="V19" si="22">V13-V14</f>
        <v>0</v>
      </c>
      <c r="W19" s="156">
        <f t="shared" ref="W19" si="23">W13-W14</f>
        <v>0</v>
      </c>
      <c r="X19" s="156">
        <f t="shared" ref="X19" si="24">X13-X14</f>
        <v>0</v>
      </c>
      <c r="Y19" s="157">
        <f t="shared" ref="Y19" si="25">Y13-Y14</f>
        <v>0</v>
      </c>
      <c r="Z19" s="158">
        <f t="shared" ref="Z19" si="26">Z13-Z14</f>
        <v>0</v>
      </c>
      <c r="AA19" s="159">
        <f t="shared" ref="AA19:AB19" si="27">AA13-AA14</f>
        <v>0</v>
      </c>
      <c r="AB19" s="156">
        <f t="shared" si="27"/>
        <v>0</v>
      </c>
      <c r="AC19" s="156">
        <f t="shared" ref="AC19" si="28">AC13-AC14</f>
        <v>0</v>
      </c>
      <c r="AD19" s="156">
        <f t="shared" ref="AD19" si="29">AD13-AD14</f>
        <v>0</v>
      </c>
      <c r="AE19" s="156">
        <f t="shared" ref="AE19" si="30">AE13-AE14</f>
        <v>0</v>
      </c>
      <c r="AF19" s="156">
        <f t="shared" ref="AF19" si="31">AF13-AF14</f>
        <v>0</v>
      </c>
      <c r="AG19" s="156">
        <f t="shared" ref="AG19" si="32">AG13-AG14</f>
        <v>0</v>
      </c>
      <c r="AH19" s="156">
        <f t="shared" ref="AH19" si="33">AH13-AH14</f>
        <v>0</v>
      </c>
      <c r="AI19" s="157">
        <f t="shared" ref="AI19" si="34">AI13-AI14</f>
        <v>0</v>
      </c>
      <c r="AJ19" s="135">
        <f t="shared" si="5"/>
        <v>0</v>
      </c>
      <c r="AK19" s="137"/>
      <c r="AL19" s="833"/>
      <c r="AM19" s="136"/>
      <c r="AN19" s="836"/>
      <c r="AO19" s="126"/>
      <c r="AQ19" s="1047"/>
      <c r="AR19" s="1047"/>
      <c r="AS19" s="1047"/>
    </row>
    <row r="20" spans="1:45" s="10" customFormat="1" ht="31.5" thickBot="1" x14ac:dyDescent="0.6">
      <c r="A20" s="862"/>
      <c r="B20" s="719" t="s">
        <v>563</v>
      </c>
      <c r="C20" s="160" t="s">
        <v>555</v>
      </c>
      <c r="D20" s="161"/>
      <c r="E20" s="162"/>
      <c r="F20" s="162"/>
      <c r="G20" s="162"/>
      <c r="H20" s="162"/>
      <c r="I20" s="162"/>
      <c r="J20" s="162"/>
      <c r="K20" s="162"/>
      <c r="L20" s="163"/>
      <c r="M20" s="163"/>
      <c r="N20" s="163"/>
      <c r="O20" s="163"/>
      <c r="P20" s="163"/>
      <c r="Q20" s="163"/>
      <c r="R20" s="163"/>
      <c r="S20" s="163"/>
      <c r="T20" s="163"/>
      <c r="U20" s="163"/>
      <c r="V20" s="163"/>
      <c r="W20" s="163"/>
      <c r="X20" s="163"/>
      <c r="Y20" s="164"/>
      <c r="Z20" s="165"/>
      <c r="AA20" s="166"/>
      <c r="AB20" s="167"/>
      <c r="AC20" s="163"/>
      <c r="AD20" s="163"/>
      <c r="AE20" s="163"/>
      <c r="AF20" s="163"/>
      <c r="AG20" s="163"/>
      <c r="AH20" s="163"/>
      <c r="AI20" s="164"/>
      <c r="AJ20" s="168">
        <f t="shared" si="5"/>
        <v>0</v>
      </c>
      <c r="AK20" s="137" t="str">
        <f>CONCATENATE(IF(D20&gt;D19," * HTS Index Negative for Age "&amp;D6&amp;" "&amp;D7&amp;" should be more than or equal to Newly Initiated on Prep"&amp;CHAR(10),""),IF(E20&gt;E19," * HTS Index Negative for Age "&amp;D6&amp;" "&amp;E7&amp;" should be more than or equal to Newly Initiated on Prep"&amp;CHAR(10),""),IF(F20&gt;F19," * HTS Index Negative for Age "&amp;F6&amp;" "&amp;F7&amp;" should be more than or equal to Newly Initiated on Prep"&amp;CHAR(10),""),IF(G20&gt;G19," * HTS Index Negative for Age "&amp;F6&amp;" "&amp;G7&amp;" should be more than or equal to Newly Initiated on Prep"&amp;CHAR(10),""),IF(H20&gt;H19," * HTS Index Negative for Age "&amp;H6&amp;" "&amp;H7&amp;" should be more than or equal to Newly Initiated on Prep"&amp;CHAR(10),""),IF(I20&gt;I19," * HTS Index Negative for Age "&amp;H6&amp;" "&amp;I7&amp;" should be more than or equal to Newly Initiated on Prep"&amp;CHAR(10),""),IF(J20&gt;J19," * HTS Index Negative for Age "&amp;J6&amp;" "&amp;J7&amp;" should be more than or equal to Newly Initiated on Prep"&amp;CHAR(10),""),IF(K20&gt;K19," * HTS Index Negative for Age "&amp;J6&amp;" "&amp;K7&amp;" should be more than or equal to Newly Initiated on Prep"&amp;CHAR(10),""),IF(L20&gt;L19," * HTS Index Negative for Age "&amp;L6&amp;" "&amp;L7&amp;" should be more than or equal to Newly Initiated on Prep"&amp;CHAR(10),""),IF(M20&gt;M19," * HTS Index Negative for Age "&amp;L6&amp;" "&amp;M7&amp;" should be more than or equal to Newly Initiated on Prep"&amp;CHAR(10),""),IF(N20&gt;N19," * HTS Index Negative for Age "&amp;N6&amp;" "&amp;N7&amp;" should be more than or equal to Newly Initiated on Prep"&amp;CHAR(10),""),IF(O20&gt;O19," * HTS Index Negative for Age "&amp;N6&amp;" "&amp;O7&amp;" should be more than or equal to Newly Initiated on Prep"&amp;CHAR(10),""),IF(P20&gt;P19," * HTS Index Negative for Age "&amp;P6&amp;" "&amp;P7&amp;" should be more than or equal to Newly Initiated on Prep"&amp;CHAR(10),""),IF(Q20&gt;Q19," * HTS Index Negative for Age "&amp;P6&amp;" "&amp;Q7&amp;" should be more than or equal to Newly Initiated on Prep"&amp;CHAR(10),""),IF(R20&gt;R19," * HTS Index Negative for Age "&amp;R6&amp;" "&amp;R7&amp;" should be more than or equal to Newly Initiated on Prep"&amp;CHAR(10),""),IF(S20&gt;S19," * HTS Index Negative for Age "&amp;R6&amp;" "&amp;S7&amp;" should be more than or equal to Newly Initiated on Prep"&amp;CHAR(10),""),IF(T20&gt;T19," * HTS Index Negative for Age "&amp;T6&amp;" "&amp;T7&amp;" should be more than or equal to Newly Initiated on Prep"&amp;CHAR(10),""),IF(U20&gt;U19," * HTS Index Negative for Age "&amp;T6&amp;" "&amp;U7&amp;" should be more than or equal to Newly Initiated on Prep"&amp;CHAR(10),""),IF(V20&gt;V19," * HTS Index Negative for Age "&amp;V6&amp;" "&amp;V7&amp;" should be more than or equal to Newly Initiated on Prep"&amp;CHAR(10),""),IF(W20&gt;W19," * HTS Index Negative for Age "&amp;V6&amp;" "&amp;W7&amp;" should be more than or equal to Newly Initiated on Prep"&amp;CHAR(10),""),IF(X20&gt;X19," * HTS Index Negative for Age "&amp;X6&amp;" "&amp;X7&amp;" should be more than or equal to Newly Initiated on Prep"&amp;CHAR(10),""),IF(Y20&gt;Y19," * HTS Index Negative for Age "&amp;X6&amp;" "&amp;Y7&amp;" should be more than or equal to Newly Initiated on Prep"&amp;CHAR(10),""),IF(Z20&gt;Z19," * HTS Index Negative for Age "&amp;Z6&amp;" "&amp;Z7&amp;" should be more than or equal to Newly Initiated on Prep"&amp;CHAR(10),""),IF(AA20&gt;AA19," * HTS Index Negative for Age "&amp;Z6&amp;" "&amp;AA7&amp;" should be more than or equal to Newly Initiated on Prep"&amp;CHAR(10),""))</f>
        <v/>
      </c>
      <c r="AL20" s="833"/>
      <c r="AM20" s="136"/>
      <c r="AN20" s="836"/>
      <c r="AO20" s="126"/>
      <c r="AQ20" s="1047"/>
      <c r="AR20" s="1047"/>
      <c r="AS20" s="1047"/>
    </row>
    <row r="21" spans="1:45" s="10" customFormat="1" x14ac:dyDescent="0.55000000000000004">
      <c r="A21" s="861" t="s">
        <v>750</v>
      </c>
      <c r="B21" s="720" t="s">
        <v>63</v>
      </c>
      <c r="C21" s="169" t="s">
        <v>62</v>
      </c>
      <c r="D21" s="116"/>
      <c r="E21" s="117"/>
      <c r="F21" s="170"/>
      <c r="G21" s="170"/>
      <c r="H21" s="170"/>
      <c r="I21" s="170"/>
      <c r="J21" s="170"/>
      <c r="K21" s="170"/>
      <c r="L21" s="170"/>
      <c r="M21" s="170"/>
      <c r="N21" s="170"/>
      <c r="O21" s="170"/>
      <c r="P21" s="170"/>
      <c r="Q21" s="170"/>
      <c r="R21" s="170"/>
      <c r="S21" s="170"/>
      <c r="T21" s="170"/>
      <c r="U21" s="170"/>
      <c r="V21" s="170"/>
      <c r="W21" s="170"/>
      <c r="X21" s="170"/>
      <c r="Y21" s="171"/>
      <c r="Z21" s="132">
        <f t="shared" si="3"/>
        <v>0</v>
      </c>
      <c r="AA21" s="133">
        <f t="shared" si="4"/>
        <v>0</v>
      </c>
      <c r="AB21" s="172"/>
      <c r="AC21" s="170"/>
      <c r="AD21" s="170"/>
      <c r="AE21" s="170"/>
      <c r="AF21" s="170"/>
      <c r="AG21" s="170"/>
      <c r="AH21" s="170"/>
      <c r="AI21" s="171"/>
      <c r="AJ21" s="173">
        <f t="shared" si="5"/>
        <v>0</v>
      </c>
      <c r="AK21" s="174" t="str">
        <f>CONCATENATE(IF(D22&gt;D21," * Positive F01-11 for Age "&amp;D6&amp;" "&amp;D7&amp;" is more than Tested  F01-10"&amp;CHAR(10),""),IF(E22&gt;E21," * Positive F01-11 for Age "&amp;D6&amp;" "&amp;E7&amp;" is more than Tested  F01-10"&amp;CHAR(10),""),IF(F22&gt;F21," * Positive F01-11 for Age "&amp;F6&amp;" "&amp;F7&amp;" is more than Tested  F01-10"&amp;CHAR(10),""),IF(G22&gt;G21," * Positive F01-11 for Age "&amp;F6&amp;" "&amp;G7&amp;" is more than Tested  F01-10"&amp;CHAR(10),""),IF(H22&gt;H21," * Positive F01-11 for Age "&amp;H6&amp;" "&amp;H7&amp;" is more than Tested  F01-10"&amp;CHAR(10),""),IF(I22&gt;I21," * Positive F01-11 for Age "&amp;H6&amp;" "&amp;I7&amp;" is more than Tested  F01-10"&amp;CHAR(10),""),IF(J22&gt;J21," * Positive F01-11 for Age "&amp;J6&amp;" "&amp;J7&amp;" is more than Tested  F01-10"&amp;CHAR(10),""),IF(K22&gt;K21," * Positive F01-11 for Age "&amp;J6&amp;" "&amp;K7&amp;" is more than Tested  F01-10"&amp;CHAR(10),""),IF(L22&gt;L21," * Positive F01-11 for Age "&amp;L6&amp;" "&amp;L7&amp;" is more than Tested  F01-10"&amp;CHAR(10),""),IF(M22&gt;M21," * Positive F01-11 for Age "&amp;L6&amp;" "&amp;M7&amp;" is more than Tested  F01-10"&amp;CHAR(10),""),IF(N22&gt;N21," * Positive F01-11 for Age "&amp;N6&amp;" "&amp;N7&amp;" is more than Tested  F01-10"&amp;CHAR(10),""),IF(O22&gt;O21," * Positive F01-11 for Age "&amp;N6&amp;" "&amp;O7&amp;" is more than Tested  F01-10"&amp;CHAR(10),""),IF(P22&gt;P21," * Positive F01-11 for Age "&amp;P6&amp;" "&amp;P7&amp;" is more than Tested  F01-10"&amp;CHAR(10),""),IF(Q22&gt;Q21," * Positive F01-11 for Age "&amp;P6&amp;" "&amp;Q7&amp;" is more than Tested  F01-10"&amp;CHAR(10),""),IF(R22&gt;R21," * Positive F01-11 for Age "&amp;R6&amp;" "&amp;R7&amp;" is more than Tested  F01-10"&amp;CHAR(10),""),IF(S22&gt;S21," * Positive F01-11 for Age "&amp;R6&amp;" "&amp;S7&amp;" is more than Tested  F01-10"&amp;CHAR(10),""),IF(T22&gt;T21," * Positive F01-11 for Age "&amp;T6&amp;" "&amp;T7&amp;" is more than Tested  F01-10"&amp;CHAR(10),""),IF(U22&gt;U21," * Positive F01-11 for Age "&amp;T6&amp;" "&amp;U7&amp;" is more than Tested  F01-10"&amp;CHAR(10),""),IF(V22&gt;V21," * Positive F01-11 for Age "&amp;V6&amp;" "&amp;V7&amp;" is more than Tested  F01-10"&amp;CHAR(10),""),IF(W22&gt;W21," * Positive F01-11 for Age "&amp;V6&amp;" "&amp;W7&amp;" is more than Tested  F01-10"&amp;CHAR(10),""),IF(X22&gt;X21," * Positive F01-11 for Age "&amp;X6&amp;" "&amp;X7&amp;" is more than Tested  F01-10"&amp;CHAR(10),""),IF(Y22&gt;Y21," * Positive F01-11 for Age "&amp;X6&amp;" "&amp;Y7&amp;" is more than Tested  F01-10"&amp;CHAR(10),""),IF(Z22&gt;Z21," * Positive F01-11 for Age "&amp;Z6&amp;" "&amp;Z7&amp;" is more than Tested  F01-10"&amp;CHAR(10),""),IF(AA22&gt;AA21," * Positive F01-11 for Age "&amp;Z6&amp;" "&amp;AA7&amp;" is more than Tested  F01-10"&amp;CHAR(10),""),IF(AJ22&gt;AJ21," * Total Positive F01-11 is more than Total Tested  F01-10"&amp;CHAR(10),""))</f>
        <v/>
      </c>
      <c r="AL21" s="833"/>
      <c r="AM21" s="136" t="str">
        <f>CONCATENATE(IF(AND(IFERROR((AJ22*100)/AJ21,0)&gt;10,AJ22&gt;5)," * This facility has a high positivity rate for Index Testing. Kindly confirm if this is the true reflection"&amp;CHAR(10),""),"")</f>
        <v/>
      </c>
      <c r="AN21" s="836"/>
      <c r="AO21" s="126">
        <v>30</v>
      </c>
      <c r="AQ21" s="1047"/>
      <c r="AR21" s="1047"/>
      <c r="AS21" s="1047"/>
    </row>
    <row r="22" spans="1:45" s="10" customFormat="1" x14ac:dyDescent="0.55000000000000004">
      <c r="A22" s="862"/>
      <c r="B22" s="721" t="s">
        <v>61</v>
      </c>
      <c r="C22" s="175" t="s">
        <v>64</v>
      </c>
      <c r="D22" s="128"/>
      <c r="E22" s="129"/>
      <c r="F22" s="176"/>
      <c r="G22" s="176"/>
      <c r="H22" s="176"/>
      <c r="I22" s="176"/>
      <c r="J22" s="176"/>
      <c r="K22" s="176"/>
      <c r="L22" s="176"/>
      <c r="M22" s="176"/>
      <c r="N22" s="176"/>
      <c r="O22" s="176"/>
      <c r="P22" s="176"/>
      <c r="Q22" s="176"/>
      <c r="R22" s="176"/>
      <c r="S22" s="176"/>
      <c r="T22" s="176"/>
      <c r="U22" s="176"/>
      <c r="V22" s="176"/>
      <c r="W22" s="176"/>
      <c r="X22" s="176"/>
      <c r="Y22" s="177"/>
      <c r="Z22" s="132">
        <f t="shared" si="3"/>
        <v>0</v>
      </c>
      <c r="AA22" s="133">
        <f t="shared" si="4"/>
        <v>0</v>
      </c>
      <c r="AB22" s="178"/>
      <c r="AC22" s="176"/>
      <c r="AD22" s="176"/>
      <c r="AE22" s="176"/>
      <c r="AF22" s="176"/>
      <c r="AG22" s="176"/>
      <c r="AH22" s="176"/>
      <c r="AI22" s="177"/>
      <c r="AJ22" s="135">
        <f t="shared" ref="AJ22:AJ26" si="35">SUM(D22:AA22)</f>
        <v>0</v>
      </c>
      <c r="AK22" s="179" t="str">
        <f>CONCATENATE(IF((D23+D24+D25+D26)&lt;&gt;D22," * "&amp;$A22&amp;" , "&amp;$B23&amp;" plus "&amp;$B24&amp;" plus "&amp;$B25&amp;" plus "&amp;$B26&amp;" For age "&amp;$D$6&amp;" "&amp;$D$7&amp;" should be equal to "&amp;$B22&amp;""&amp;CHAR(10),""),IF((E23+E24+E25+E26)&lt;&gt;E22," * "&amp;$A22&amp;" , "&amp;$B23&amp;" plus "&amp;$B24&amp;" plus "&amp;$B25&amp;" plus "&amp;$B26&amp;" For age "&amp;$D$6&amp;" "&amp;$E$7&amp;" should be equal to "&amp;$B22&amp;""&amp;CHAR(10),""),IF((F23+F24+F25+F26)&lt;&gt;F22," * "&amp;$A22&amp;" , "&amp;$B23&amp;" plus "&amp;$B24&amp;" plus "&amp;$B25&amp;" plus "&amp;$B26&amp;" For age "&amp;$F$6&amp;" "&amp;$F$7&amp;" should be equal to "&amp;$B22&amp;""&amp;CHAR(10),""),IF((G23+G24+G25+G26)&lt;&gt;G22," * "&amp;$A22&amp;" , "&amp;$B23&amp;" plus "&amp;$B24&amp;" plus "&amp;$B25&amp;" plus "&amp;$B26&amp;" For age "&amp;$F$6&amp;" "&amp;$G$7&amp;" should be equal to "&amp;$B22&amp;""&amp;CHAR(10),""),IF((H23+H24+H25+H26)&lt;&gt;H22," * "&amp;$A22&amp;" , "&amp;$B23&amp;" plus "&amp;$B24&amp;" plus "&amp;$B25&amp;" plus "&amp;$B26&amp;" For age "&amp;$H$6&amp;" "&amp;$H$7&amp;" should be equal to "&amp;$B22&amp;""&amp;CHAR(10),""),IF((I23+I24+I25+I26)&lt;&gt;I22," * "&amp;$A22&amp;" , "&amp;$B23&amp;" plus "&amp;$B24&amp;" plus "&amp;$B25&amp;" plus "&amp;$B26&amp;" For age "&amp;$H$6&amp;" "&amp;$I$7&amp;" should be equal to "&amp;$B22&amp;""&amp;CHAR(10),""),IF((J23+J24+J25+J26)&lt;&gt;J22," * "&amp;$A22&amp;" , "&amp;$B23&amp;" plus "&amp;$B24&amp;" plus "&amp;$B25&amp;" plus "&amp;$B26&amp;" For age "&amp;$J$6&amp;" "&amp;$J$7&amp;" should be equal to "&amp;$B22&amp;""&amp;CHAR(10),""),IF((K23+K24+K25+K26)&lt;&gt;K22," * "&amp;$A22&amp;" , "&amp;$B23&amp;" plus "&amp;$B24&amp;" plus "&amp;$B25&amp;" plus "&amp;$B26&amp;" For age "&amp;$J$6&amp;" "&amp;$K$7&amp;" should be equal to "&amp;$B22&amp;""&amp;CHAR(10),""),IF((L23+L24+L25+L26)&lt;&gt;L22," * "&amp;$A22&amp;" , "&amp;$B23&amp;" plus "&amp;$B24&amp;" plus "&amp;$B25&amp;" plus "&amp;$B26&amp;" For age "&amp;$L$6&amp;" "&amp;$L$7&amp;" should be equal to "&amp;$B22&amp;""&amp;CHAR(10),""),IF((M23+M24+M25+M26)&lt;&gt;M22," * "&amp;$A22&amp;" , "&amp;$B23&amp;" plus "&amp;$B24&amp;" plus "&amp;$B25&amp;" plus "&amp;$B26&amp;" For age "&amp;$L$6&amp;" "&amp;$M$7&amp;" should be equal to "&amp;$B22&amp;""&amp;CHAR(10),""),IF((N23+N24+N25+N26)&lt;&gt;N22," * "&amp;$A22&amp;" , "&amp;$B23&amp;" plus "&amp;$B24&amp;" plus "&amp;$B25&amp;" plus "&amp;$B26&amp;" For age "&amp;$N$6&amp;" "&amp;$N$7&amp;" should be equal to "&amp;$B22&amp;""&amp;CHAR(10),""),IF((O23+O24+O25+O26)&lt;&gt;O22," * "&amp;$A22&amp;" , "&amp;$B23&amp;" plus "&amp;$B24&amp;" plus "&amp;$B25&amp;" plus "&amp;$B26&amp;" For age "&amp;$N$6&amp;" "&amp;$O$7&amp;" should be equal to "&amp;$B22&amp;""&amp;CHAR(10),""),IF((P23+P24+P25+P26)&lt;&gt;P22," * "&amp;$A22&amp;" , "&amp;$B23&amp;" plus "&amp;$B24&amp;" plus "&amp;$B25&amp;" plus "&amp;$B26&amp;" For age "&amp;$P$6&amp;" "&amp;$P$7&amp;" should be equal to "&amp;$B22&amp;""&amp;CHAR(10),""),IF((Q23+Q24+Q25+Q26)&lt;&gt;Q22," * "&amp;$A22&amp;" , "&amp;$B23&amp;" plus "&amp;$B24&amp;" plus "&amp;$B25&amp;" plus "&amp;$B26&amp;" For age "&amp;$P$6&amp;" "&amp;$Q$7&amp;" should be equal to "&amp;$B22&amp;""&amp;CHAR(10),""),IF((R23+R24+R25+R26)&lt;&gt;R22," * "&amp;$A22&amp;" , "&amp;$B23&amp;" plus "&amp;$B24&amp;" plus "&amp;$B25&amp;" plus "&amp;$B26&amp;" For age "&amp;$R$6&amp;" "&amp;$R$7&amp;" should be equal to "&amp;$B22&amp;""&amp;CHAR(10),""),IF((S23+S24+S25+S26)&lt;&gt;S22," * "&amp;$A22&amp;" , "&amp;$B23&amp;" plus "&amp;$B24&amp;" plus "&amp;$B25&amp;" plus "&amp;$B26&amp;" For age "&amp;$R$6&amp;" "&amp;$S$7&amp;" should be equal to "&amp;$B22&amp;""&amp;CHAR(10),""),IF((T23+T24+T25+T26)&lt;&gt;T22," * "&amp;$A22&amp;" , "&amp;$B23&amp;" plus "&amp;$B24&amp;" plus "&amp;$B25&amp;" plus "&amp;$B26&amp;" For age "&amp;$T$6&amp;" "&amp;$T$7&amp;" should be equal to "&amp;$B22&amp;""&amp;CHAR(10),""),IF((U23+U24+U25+U26)&lt;&gt;U22," * "&amp;$A22&amp;" , "&amp;$B23&amp;" plus "&amp;$B24&amp;" plus "&amp;$B25&amp;" plus "&amp;$B26&amp;" For age "&amp;$T$6&amp;" "&amp;$U$7&amp;" should be equal to "&amp;$B22&amp;""&amp;CHAR(10),""),IF((V23+V24+V25+V26)&lt;&gt;V22," * "&amp;$A22&amp;" , "&amp;$B23&amp;" plus "&amp;$B24&amp;" plus "&amp;$B25&amp;" plus "&amp;$B26&amp;" For age "&amp;$V$6&amp;" "&amp;$V$7&amp;" should be equal to "&amp;$B22&amp;""&amp;CHAR(10),""),IF((W23+W24+W25+W26)&lt;&gt;W22," * "&amp;$A22&amp;" , "&amp;$B23&amp;" plus "&amp;$B24&amp;" plus "&amp;$B25&amp;" plus "&amp;$B26&amp;" For age "&amp;$V$6&amp;" "&amp;$W$7&amp;" should be equal to "&amp;$B22&amp;""&amp;CHAR(10),""),IF((X23+X24+X25+X26)&lt;&gt;X22," * "&amp;$A22&amp;" , "&amp;$B23&amp;" plus "&amp;$B24&amp;" plus "&amp;$B25&amp;" plus "&amp;$B26&amp;" For age "&amp;$X$6&amp;" "&amp;$X$7&amp;" should be equal to "&amp;$B22&amp;""&amp;CHAR(10),""),IF((Y23+Y24+Y25+Y26)&lt;&gt;Y22," * "&amp;$A22&amp;" , "&amp;$B23&amp;" plus "&amp;$B24&amp;" plus "&amp;$B25&amp;" plus "&amp;$B26&amp;" For age "&amp;$X$6&amp;" "&amp;$Y$7&amp;" should be equal to "&amp;$B22&amp;""&amp;CHAR(10),""),IF((Z23+Z24+Z25+Z26)&lt;&gt;Z22," * "&amp;$A22&amp;" , "&amp;$B23&amp;" plus "&amp;$B24&amp;" plus "&amp;$B25&amp;" plus "&amp;$B26&amp;" For age "&amp;$Z$6&amp;" "&amp;$Z$7&amp;" should be equal to "&amp;$B22&amp;""&amp;CHAR(10),""),IF((AA23+AA24+AA25+AA26)&lt;&gt;AA22," * "&amp;$A22&amp;" , "&amp;$B23&amp;" plus "&amp;$B24&amp;" plus "&amp;$B25&amp;" plus "&amp;$B26&amp;" For age "&amp;$Z$6&amp;" "&amp;$AA$7&amp;" should be equal to "&amp;$B22&amp;""&amp;CHAR(10),""))</f>
        <v/>
      </c>
      <c r="AL22" s="833"/>
      <c r="AM22" s="136"/>
      <c r="AN22" s="836"/>
      <c r="AO22" s="126">
        <v>31</v>
      </c>
      <c r="AQ22" s="1047"/>
      <c r="AR22" s="1047"/>
      <c r="AS22" s="1047"/>
    </row>
    <row r="23" spans="1:45" s="10" customFormat="1" x14ac:dyDescent="0.55000000000000004">
      <c r="A23" s="862"/>
      <c r="B23" s="722" t="s">
        <v>389</v>
      </c>
      <c r="C23" s="175" t="s">
        <v>378</v>
      </c>
      <c r="D23" s="128"/>
      <c r="E23" s="129"/>
      <c r="F23" s="180"/>
      <c r="G23" s="180"/>
      <c r="H23" s="180"/>
      <c r="I23" s="180"/>
      <c r="J23" s="180"/>
      <c r="K23" s="180"/>
      <c r="L23" s="180"/>
      <c r="M23" s="180"/>
      <c r="N23" s="180"/>
      <c r="O23" s="180"/>
      <c r="P23" s="180"/>
      <c r="Q23" s="180"/>
      <c r="R23" s="180"/>
      <c r="S23" s="180"/>
      <c r="T23" s="180"/>
      <c r="U23" s="180"/>
      <c r="V23" s="180"/>
      <c r="W23" s="180"/>
      <c r="X23" s="180"/>
      <c r="Y23" s="181"/>
      <c r="Z23" s="132">
        <f t="shared" si="3"/>
        <v>0</v>
      </c>
      <c r="AA23" s="133">
        <f t="shared" si="4"/>
        <v>0</v>
      </c>
      <c r="AB23" s="182"/>
      <c r="AC23" s="180"/>
      <c r="AD23" s="180"/>
      <c r="AE23" s="180"/>
      <c r="AF23" s="180"/>
      <c r="AG23" s="180"/>
      <c r="AH23" s="180"/>
      <c r="AI23" s="181"/>
      <c r="AJ23" s="135">
        <f t="shared" si="35"/>
        <v>0</v>
      </c>
      <c r="AK23" s="990"/>
      <c r="AL23" s="833"/>
      <c r="AM23" s="136"/>
      <c r="AN23" s="836"/>
      <c r="AO23" s="126"/>
      <c r="AQ23" s="1047"/>
      <c r="AR23" s="1047"/>
      <c r="AS23" s="1047"/>
    </row>
    <row r="24" spans="1:45" s="10" customFormat="1" x14ac:dyDescent="0.55000000000000004">
      <c r="A24" s="862"/>
      <c r="B24" s="722" t="s">
        <v>373</v>
      </c>
      <c r="C24" s="175" t="s">
        <v>379</v>
      </c>
      <c r="D24" s="128"/>
      <c r="E24" s="129"/>
      <c r="F24" s="180"/>
      <c r="G24" s="180"/>
      <c r="H24" s="180"/>
      <c r="I24" s="180"/>
      <c r="J24" s="180"/>
      <c r="K24" s="180"/>
      <c r="L24" s="180"/>
      <c r="M24" s="180"/>
      <c r="N24" s="180"/>
      <c r="O24" s="180"/>
      <c r="P24" s="180"/>
      <c r="Q24" s="180"/>
      <c r="R24" s="180"/>
      <c r="S24" s="180"/>
      <c r="T24" s="180"/>
      <c r="U24" s="180"/>
      <c r="V24" s="180"/>
      <c r="W24" s="180"/>
      <c r="X24" s="180"/>
      <c r="Y24" s="181"/>
      <c r="Z24" s="132">
        <f t="shared" si="3"/>
        <v>0</v>
      </c>
      <c r="AA24" s="133">
        <f t="shared" si="4"/>
        <v>0</v>
      </c>
      <c r="AB24" s="182"/>
      <c r="AC24" s="180"/>
      <c r="AD24" s="180"/>
      <c r="AE24" s="180"/>
      <c r="AF24" s="180"/>
      <c r="AG24" s="180"/>
      <c r="AH24" s="180"/>
      <c r="AI24" s="181"/>
      <c r="AJ24" s="135">
        <f t="shared" si="35"/>
        <v>0</v>
      </c>
      <c r="AK24" s="990"/>
      <c r="AL24" s="833"/>
      <c r="AM24" s="136"/>
      <c r="AN24" s="836"/>
      <c r="AO24" s="126"/>
      <c r="AQ24" s="1047"/>
      <c r="AR24" s="1047"/>
      <c r="AS24" s="1047"/>
    </row>
    <row r="25" spans="1:45" s="10" customFormat="1" x14ac:dyDescent="0.55000000000000004">
      <c r="A25" s="862"/>
      <c r="B25" s="722" t="s">
        <v>375</v>
      </c>
      <c r="C25" s="175" t="s">
        <v>380</v>
      </c>
      <c r="D25" s="128"/>
      <c r="E25" s="129"/>
      <c r="F25" s="180"/>
      <c r="G25" s="180"/>
      <c r="H25" s="180"/>
      <c r="I25" s="180"/>
      <c r="J25" s="180"/>
      <c r="K25" s="180"/>
      <c r="L25" s="180"/>
      <c r="M25" s="180"/>
      <c r="N25" s="180"/>
      <c r="O25" s="180"/>
      <c r="P25" s="180"/>
      <c r="Q25" s="180"/>
      <c r="R25" s="180"/>
      <c r="S25" s="180"/>
      <c r="T25" s="180"/>
      <c r="U25" s="180"/>
      <c r="V25" s="180"/>
      <c r="W25" s="180"/>
      <c r="X25" s="180"/>
      <c r="Y25" s="181"/>
      <c r="Z25" s="132">
        <f t="shared" si="3"/>
        <v>0</v>
      </c>
      <c r="AA25" s="133">
        <f t="shared" si="4"/>
        <v>0</v>
      </c>
      <c r="AB25" s="182"/>
      <c r="AC25" s="180"/>
      <c r="AD25" s="180"/>
      <c r="AE25" s="180"/>
      <c r="AF25" s="180"/>
      <c r="AG25" s="180"/>
      <c r="AH25" s="180"/>
      <c r="AI25" s="181"/>
      <c r="AJ25" s="135">
        <f t="shared" si="35"/>
        <v>0</v>
      </c>
      <c r="AK25" s="183"/>
      <c r="AL25" s="833"/>
      <c r="AM25" s="136"/>
      <c r="AN25" s="836"/>
      <c r="AO25" s="126"/>
      <c r="AQ25" s="1047"/>
      <c r="AR25" s="1047"/>
      <c r="AS25" s="1047"/>
    </row>
    <row r="26" spans="1:45" s="10" customFormat="1" ht="31.5" thickBot="1" x14ac:dyDescent="0.6">
      <c r="A26" s="863"/>
      <c r="B26" s="723" t="s">
        <v>377</v>
      </c>
      <c r="C26" s="184" t="s">
        <v>381</v>
      </c>
      <c r="D26" s="185"/>
      <c r="E26" s="186"/>
      <c r="F26" s="187"/>
      <c r="G26" s="187"/>
      <c r="H26" s="187"/>
      <c r="I26" s="187"/>
      <c r="J26" s="187"/>
      <c r="K26" s="187"/>
      <c r="L26" s="187"/>
      <c r="M26" s="187"/>
      <c r="N26" s="187"/>
      <c r="O26" s="187"/>
      <c r="P26" s="187"/>
      <c r="Q26" s="187"/>
      <c r="R26" s="187"/>
      <c r="S26" s="187"/>
      <c r="T26" s="187"/>
      <c r="U26" s="187"/>
      <c r="V26" s="187"/>
      <c r="W26" s="187"/>
      <c r="X26" s="187"/>
      <c r="Y26" s="188"/>
      <c r="Z26" s="189">
        <f t="shared" si="3"/>
        <v>0</v>
      </c>
      <c r="AA26" s="190">
        <f t="shared" si="4"/>
        <v>0</v>
      </c>
      <c r="AB26" s="191"/>
      <c r="AC26" s="187"/>
      <c r="AD26" s="187"/>
      <c r="AE26" s="187"/>
      <c r="AF26" s="187"/>
      <c r="AG26" s="187"/>
      <c r="AH26" s="187"/>
      <c r="AI26" s="188"/>
      <c r="AJ26" s="168">
        <f t="shared" si="35"/>
        <v>0</v>
      </c>
      <c r="AK26" s="183"/>
      <c r="AL26" s="833"/>
      <c r="AM26" s="136"/>
      <c r="AN26" s="836"/>
      <c r="AO26" s="126"/>
      <c r="AQ26" s="1047"/>
      <c r="AR26" s="1047"/>
      <c r="AS26" s="1047"/>
    </row>
    <row r="27" spans="1:45" s="10" customFormat="1" x14ac:dyDescent="0.55000000000000004">
      <c r="A27" s="861" t="s">
        <v>751</v>
      </c>
      <c r="B27" s="720" t="s">
        <v>63</v>
      </c>
      <c r="C27" s="169" t="s">
        <v>65</v>
      </c>
      <c r="D27" s="116"/>
      <c r="E27" s="117"/>
      <c r="F27" s="170"/>
      <c r="G27" s="170"/>
      <c r="H27" s="170"/>
      <c r="I27" s="170"/>
      <c r="J27" s="170"/>
      <c r="K27" s="170"/>
      <c r="L27" s="170"/>
      <c r="M27" s="170"/>
      <c r="N27" s="170"/>
      <c r="O27" s="170"/>
      <c r="P27" s="170"/>
      <c r="Q27" s="170"/>
      <c r="R27" s="170"/>
      <c r="S27" s="170"/>
      <c r="T27" s="170"/>
      <c r="U27" s="170"/>
      <c r="V27" s="170"/>
      <c r="W27" s="170"/>
      <c r="X27" s="170"/>
      <c r="Y27" s="170"/>
      <c r="Z27" s="132">
        <f t="shared" si="3"/>
        <v>0</v>
      </c>
      <c r="AA27" s="133">
        <f t="shared" si="4"/>
        <v>0</v>
      </c>
      <c r="AB27" s="170"/>
      <c r="AC27" s="170"/>
      <c r="AD27" s="170"/>
      <c r="AE27" s="170"/>
      <c r="AF27" s="170"/>
      <c r="AG27" s="170"/>
      <c r="AH27" s="170"/>
      <c r="AI27" s="171"/>
      <c r="AJ27" s="173">
        <f t="shared" ref="AJ27:AJ31" si="36">SUM(D27:AA27)</f>
        <v>0</v>
      </c>
      <c r="AK27" s="174" t="str">
        <f>CONCATENATE(IF(D28&gt;D27," * Positive F01-13 for Age "&amp;D6&amp;" "&amp;D7&amp;" is more than Tested F01-12"&amp;CHAR(10),""),IF(E28&gt;E27," * Positive F01-13 for Age "&amp;D6&amp;" "&amp;E7&amp;" is more than Tested F01-12"&amp;CHAR(10),""),IF(F28&gt;F27," * Positive F01-13 for Age "&amp;F6&amp;" "&amp;F7&amp;" is more than Tested F01-12"&amp;CHAR(10),""),IF(G28&gt;G27," * Positive F01-13 for Age "&amp;F6&amp;" "&amp;G7&amp;" is more than Tested F01-12"&amp;CHAR(10),""),IF(H28&gt;H27," * Positive F01-13 for Age "&amp;H6&amp;" "&amp;H7&amp;" is more than Tested F01-12"&amp;CHAR(10),""),IF(I28&gt;I27," * Positive F01-13 for Age "&amp;H6&amp;" "&amp;I7&amp;" is more than Tested F01-12"&amp;CHAR(10),""),IF(J28&gt;J27," * Positive F01-13 for Age "&amp;J6&amp;" "&amp;J7&amp;" is more than Tested F01-12"&amp;CHAR(10),""),IF(K28&gt;K27," * Positive F01-13 for Age "&amp;J6&amp;" "&amp;K7&amp;" is more than Tested F01-12"&amp;CHAR(10),""),IF(L28&gt;L27," * Positive F01-13 for Age "&amp;L6&amp;" "&amp;L7&amp;" is more than Tested F01-12"&amp;CHAR(10),""),IF(M28&gt;M27," * Positive F01-13 for Age "&amp;L6&amp;" "&amp;M7&amp;" is more than Tested F01-12"&amp;CHAR(10),""),IF(N28&gt;N27," * Positive F01-13 for Age "&amp;N6&amp;" "&amp;N7&amp;" is more than Tested F01-12"&amp;CHAR(10),""),IF(O28&gt;O27," * Positive F01-13 for Age "&amp;N6&amp;" "&amp;O7&amp;" is more than Tested F01-12"&amp;CHAR(10),""),IF(P28&gt;P27," * Positive F01-13 for Age "&amp;P6&amp;" "&amp;P7&amp;" is more than Tested F01-12"&amp;CHAR(10),""),IF(Q28&gt;Q27," * Positive F01-13 for Age "&amp;P6&amp;" "&amp;Q7&amp;" is more than Tested F01-12"&amp;CHAR(10),""),IF(R28&gt;R27," * Positive F01-13 for Age "&amp;R6&amp;" "&amp;R7&amp;" is more than Tested F01-12"&amp;CHAR(10),""),IF(S28&gt;S27," * Positive F01-13 for Age "&amp;R6&amp;" "&amp;S7&amp;" is more than Tested F01-12"&amp;CHAR(10),""),IF(T28&gt;T27," * Positive F01-13 for Age "&amp;T6&amp;" "&amp;T7&amp;" is more than Tested F01-12"&amp;CHAR(10),""),IF(U28&gt;U27," * Positive F01-13 for Age "&amp;T6&amp;" "&amp;U7&amp;" is more than Tested F01-12"&amp;CHAR(10),""),IF(V28&gt;V27," * Positive F01-13 for Age "&amp;V6&amp;" "&amp;V7&amp;" is more than Tested F01-12"&amp;CHAR(10),""),IF(W28&gt;W27," * Positive F01-13 for Age "&amp;V6&amp;" "&amp;W7&amp;" is more than Tested F01-12"&amp;CHAR(10),""),IF(X28&gt;X27," * Positive F01-13 for Age "&amp;X6&amp;" "&amp;X7&amp;" is more than Tested F01-12"&amp;CHAR(10),""),IF(Y28&gt;Y27," * Positive F01-13 for Age "&amp;X6&amp;" "&amp;Y7&amp;" is more than Tested F01-12"&amp;CHAR(10),""),IF(Z28&gt;Z27," * Positive F01-13 for Age "&amp;Z6&amp;" "&amp;Z7&amp;" is more than Tested F01-12"&amp;CHAR(10),""),IF(AA28&gt;AA27," * Positive F01-13 for Age "&amp;Z6&amp;" "&amp;AA7&amp;" is more than Tested F01-12"&amp;CHAR(10),""))</f>
        <v/>
      </c>
      <c r="AL27" s="833"/>
      <c r="AM27" s="136" t="str">
        <f>CONCATENATE(IF(AND(IFERROR((AJ28*100)/AJ27,0)&gt;10,AJ28&gt;5)," * This facility has a high positivity rate for Index Testing. Kindly confirm if this is the true reflection"&amp;CHAR(10),""),"")</f>
        <v/>
      </c>
      <c r="AN27" s="836"/>
      <c r="AO27" s="126">
        <v>32</v>
      </c>
      <c r="AQ27" s="1047"/>
      <c r="AR27" s="1047"/>
      <c r="AS27" s="1047"/>
    </row>
    <row r="28" spans="1:45" s="10" customFormat="1" x14ac:dyDescent="0.55000000000000004">
      <c r="A28" s="862"/>
      <c r="B28" s="721" t="s">
        <v>61</v>
      </c>
      <c r="C28" s="175" t="s">
        <v>66</v>
      </c>
      <c r="D28" s="128"/>
      <c r="E28" s="129"/>
      <c r="F28" s="176"/>
      <c r="G28" s="176"/>
      <c r="H28" s="176"/>
      <c r="I28" s="176"/>
      <c r="J28" s="176"/>
      <c r="K28" s="176"/>
      <c r="L28" s="176"/>
      <c r="M28" s="176"/>
      <c r="N28" s="176"/>
      <c r="O28" s="176"/>
      <c r="P28" s="176"/>
      <c r="Q28" s="176"/>
      <c r="R28" s="176"/>
      <c r="S28" s="176"/>
      <c r="T28" s="176"/>
      <c r="U28" s="176"/>
      <c r="V28" s="176"/>
      <c r="W28" s="176"/>
      <c r="X28" s="176"/>
      <c r="Y28" s="176"/>
      <c r="Z28" s="132">
        <f t="shared" si="3"/>
        <v>0</v>
      </c>
      <c r="AA28" s="133">
        <f t="shared" si="4"/>
        <v>0</v>
      </c>
      <c r="AB28" s="176"/>
      <c r="AC28" s="176"/>
      <c r="AD28" s="176"/>
      <c r="AE28" s="176"/>
      <c r="AF28" s="176"/>
      <c r="AG28" s="176"/>
      <c r="AH28" s="176"/>
      <c r="AI28" s="177"/>
      <c r="AJ28" s="135">
        <f t="shared" si="36"/>
        <v>0</v>
      </c>
      <c r="AK28" s="179" t="str">
        <f>CONCATENATE(IF((D29+D30+D31+D32)&lt;&gt;D28," * "&amp;$A28&amp;" , "&amp;$B29&amp;" plus "&amp;$B30&amp;" plus "&amp;$B31&amp;" plus "&amp;$B32&amp;" For age "&amp;$D$6&amp;" "&amp;$D$7&amp;" should be equal to "&amp;$B28&amp;""&amp;CHAR(10),""),IF((E29+E30+E31+E32)&lt;&gt;E28," * "&amp;$A28&amp;" , "&amp;$B29&amp;" plus "&amp;$B30&amp;" plus "&amp;$B31&amp;" plus "&amp;$B32&amp;" For age "&amp;$D$6&amp;" "&amp;$E$7&amp;" should be equal to "&amp;$B28&amp;""&amp;CHAR(10),""),IF((F29+F30+F31+F32)&lt;&gt;F28," * "&amp;$A28&amp;" , "&amp;$B29&amp;" plus "&amp;$B30&amp;" plus "&amp;$B31&amp;" plus "&amp;$B32&amp;" For age "&amp;$F$6&amp;" "&amp;$F$7&amp;" should be equal to "&amp;$B28&amp;""&amp;CHAR(10),""),IF((G29+G30+G31+G32)&lt;&gt;G28," * "&amp;$A28&amp;" , "&amp;$B29&amp;" plus "&amp;$B30&amp;" plus "&amp;$B31&amp;" plus "&amp;$B32&amp;" For age "&amp;$F$6&amp;" "&amp;$G$7&amp;" should be equal to "&amp;$B28&amp;""&amp;CHAR(10),""),IF((H29+H30+H31+H32)&lt;&gt;H28," * "&amp;$A28&amp;" , "&amp;$B29&amp;" plus "&amp;$B30&amp;" plus "&amp;$B31&amp;" plus "&amp;$B32&amp;" For age "&amp;$H$6&amp;" "&amp;$H$7&amp;" should be equal to "&amp;$B28&amp;""&amp;CHAR(10),""),IF((I29+I30+I31+I32)&lt;&gt;I28," * "&amp;$A28&amp;" , "&amp;$B29&amp;" plus "&amp;$B30&amp;" plus "&amp;$B31&amp;" plus "&amp;$B32&amp;" For age "&amp;$H$6&amp;" "&amp;$I$7&amp;" should be equal to "&amp;$B28&amp;""&amp;CHAR(10),""),IF((J29+J30+J31+J32)&lt;&gt;J28," * "&amp;$A28&amp;" , "&amp;$B29&amp;" plus "&amp;$B30&amp;" plus "&amp;$B31&amp;" plus "&amp;$B32&amp;" For age "&amp;$J$6&amp;" "&amp;$J$7&amp;" should be equal to "&amp;$B28&amp;""&amp;CHAR(10),""),IF((K29+K30+K31+K32)&lt;&gt;K28," * "&amp;$A28&amp;" , "&amp;$B29&amp;" plus "&amp;$B30&amp;" plus "&amp;$B31&amp;" plus "&amp;$B32&amp;" For age "&amp;$J$6&amp;" "&amp;$K$7&amp;" should be equal to "&amp;$B28&amp;""&amp;CHAR(10),""),IF((L29+L30+L31+L32)&lt;&gt;L28," * "&amp;$A28&amp;" , "&amp;$B29&amp;" plus "&amp;$B30&amp;" plus "&amp;$B31&amp;" plus "&amp;$B32&amp;" For age "&amp;$L$6&amp;" "&amp;$L$7&amp;" should be equal to "&amp;$B28&amp;""&amp;CHAR(10),""),IF((M29+M30+M31+M32)&lt;&gt;M28," * "&amp;$A28&amp;" , "&amp;$B29&amp;" plus "&amp;$B30&amp;" plus "&amp;$B31&amp;" plus "&amp;$B32&amp;" For age "&amp;$L$6&amp;" "&amp;$M$7&amp;" should be equal to "&amp;$B28&amp;""&amp;CHAR(10),""),IF((N29+N30+N31+N32)&lt;&gt;N28," * "&amp;$A28&amp;" , "&amp;$B29&amp;" plus "&amp;$B30&amp;" plus "&amp;$B31&amp;" plus "&amp;$B32&amp;" For age "&amp;$N$6&amp;" "&amp;$N$7&amp;" should be equal to "&amp;$B28&amp;""&amp;CHAR(10),""),IF((O29+O30+O31+O32)&lt;&gt;O28," * "&amp;$A28&amp;" , "&amp;$B29&amp;" plus "&amp;$B30&amp;" plus "&amp;$B31&amp;" plus "&amp;$B32&amp;" For age "&amp;$N$6&amp;" "&amp;$O$7&amp;" should be equal to "&amp;$B28&amp;""&amp;CHAR(10),""),IF((P29+P30+P31+P32)&lt;&gt;P28," * "&amp;$A28&amp;" , "&amp;$B29&amp;" plus "&amp;$B30&amp;" plus "&amp;$B31&amp;" plus "&amp;$B32&amp;" For age "&amp;$P$6&amp;" "&amp;$P$7&amp;" should be equal to "&amp;$B28&amp;""&amp;CHAR(10),""),IF((Q29+Q30+Q31+Q32)&lt;&gt;Q28," * "&amp;$A28&amp;" , "&amp;$B29&amp;" plus "&amp;$B30&amp;" plus "&amp;$B31&amp;" plus "&amp;$B32&amp;" For age "&amp;$P$6&amp;" "&amp;$Q$7&amp;" should be equal to "&amp;$B28&amp;""&amp;CHAR(10),""),IF((R29+R30+R31+R32)&lt;&gt;R28," * "&amp;$A28&amp;" , "&amp;$B29&amp;" plus "&amp;$B30&amp;" plus "&amp;$B31&amp;" plus "&amp;$B32&amp;" For age "&amp;$R$6&amp;" "&amp;$R$7&amp;" should be equal to "&amp;$B28&amp;""&amp;CHAR(10),""),IF((S29+S30+S31+S32)&lt;&gt;S28," * "&amp;$A28&amp;" , "&amp;$B29&amp;" plus "&amp;$B30&amp;" plus "&amp;$B31&amp;" plus "&amp;$B32&amp;" For age "&amp;$R$6&amp;" "&amp;$S$7&amp;" should be equal to "&amp;$B28&amp;""&amp;CHAR(10),""),IF((T29+T30+T31+T32)&lt;&gt;T28," * "&amp;$A28&amp;" , "&amp;$B29&amp;" plus "&amp;$B30&amp;" plus "&amp;$B31&amp;" plus "&amp;$B32&amp;" For age "&amp;$T$6&amp;" "&amp;$T$7&amp;" should be equal to "&amp;$B28&amp;""&amp;CHAR(10),""),IF((U29+U30+U31+U32)&lt;&gt;U28," * "&amp;$A28&amp;" , "&amp;$B29&amp;" plus "&amp;$B30&amp;" plus "&amp;$B31&amp;" plus "&amp;$B32&amp;" For age "&amp;$T$6&amp;" "&amp;$U$7&amp;" should be equal to "&amp;$B28&amp;""&amp;CHAR(10),""),IF((V29+V30+V31+V32)&lt;&gt;V28," * "&amp;$A28&amp;" , "&amp;$B29&amp;" plus "&amp;$B30&amp;" plus "&amp;$B31&amp;" plus "&amp;$B32&amp;" For age "&amp;$V$6&amp;" "&amp;$V$7&amp;" should be equal to "&amp;$B28&amp;""&amp;CHAR(10),""),IF((W29+W30+W31+W32)&lt;&gt;W28," * "&amp;$A28&amp;" , "&amp;$B29&amp;" plus "&amp;$B30&amp;" plus "&amp;$B31&amp;" plus "&amp;$B32&amp;" For age "&amp;$V$6&amp;" "&amp;$W$7&amp;" should be equal to "&amp;$B28&amp;""&amp;CHAR(10),""),IF((X29+X30+X31+X32)&lt;&gt;X28," * "&amp;$A28&amp;" , "&amp;$B29&amp;" plus "&amp;$B30&amp;" plus "&amp;$B31&amp;" plus "&amp;$B32&amp;" For age "&amp;$X$6&amp;" "&amp;$X$7&amp;" should be equal to "&amp;$B28&amp;""&amp;CHAR(10),""),IF((Y29+Y30+Y31+Y32)&lt;&gt;Y28," * "&amp;$A28&amp;" , "&amp;$B29&amp;" plus "&amp;$B30&amp;" plus "&amp;$B31&amp;" plus "&amp;$B32&amp;" For age "&amp;$X$6&amp;" "&amp;$Y$7&amp;" should be equal to "&amp;$B28&amp;""&amp;CHAR(10),""),IF((Z29+Z30+Z31+Z32)&lt;&gt;Z28," * "&amp;$A28&amp;" , "&amp;$B29&amp;" plus "&amp;$B30&amp;" plus "&amp;$B31&amp;" plus "&amp;$B32&amp;" For age "&amp;$Z$6&amp;" "&amp;$Z$7&amp;" should be equal to "&amp;$B28&amp;""&amp;CHAR(10),""),IF((AA29+AA30+AA31+AA32)&lt;&gt;AA28," * "&amp;$A28&amp;" , "&amp;$B29&amp;" plus "&amp;$B30&amp;" plus "&amp;$B31&amp;" plus "&amp;$B32&amp;" For age "&amp;$Z$6&amp;" "&amp;$AA$7&amp;" should be equal to "&amp;$B28&amp;""&amp;CHAR(10),""))</f>
        <v/>
      </c>
      <c r="AL28" s="833"/>
      <c r="AM28" s="136" t="str">
        <f>CONCATENATE(IF(D27&gt;0," * F01-12 for Age "&amp;D6&amp;" "&amp;D7&amp;" has a value greater than 0"&amp;CHAR(10),""),IF(E27&gt;0," * F01-12 for Age "&amp;D6&amp;" "&amp;E7&amp;" has a value greater than 0"&amp;CHAR(10),""),IF(D28&gt;0," * F01-13 for Age "&amp;D6&amp;" "&amp;D7&amp;" has a value greater than 0"&amp;CHAR(10),""),IF(E28&gt;0," * F01-13 for Age "&amp;D6&amp;" "&amp;E7&amp;" has a value greater than 0"&amp;CHAR(10),""),IF(D33&gt;0," * F01-14 for Age "&amp;D6&amp;" "&amp;D7&amp;" has a value greater than 0"&amp;CHAR(10),""),IF(E33&gt;0," * F01-14 for Age "&amp;D6&amp;" "&amp;E7&amp;" has a value greater than 0"&amp;CHAR(10),""),IF(D34&gt;0," * F01-15 for Age "&amp;D6&amp;" "&amp;D7&amp;" has a value greater than 0"&amp;CHAR(10),""),IF(E34&gt;0," * F01-15 for Age "&amp;D6&amp;" "&amp;E7&amp;" has a value greater than 0"&amp;CHAR(10),""),IF(D51&gt;0," * F01-20 for Age "&amp;D6&amp;" "&amp;D7&amp;" has a value greater than 0"&amp;CHAR(10),""),IF(E51&gt;0," * F01-20 for Age "&amp;D6&amp;" "&amp;E7&amp;" has a value greater than 0"&amp;CHAR(10),""),IF(D52&gt;0," * F01-21 for Age "&amp;D6&amp;" "&amp;D7&amp;" has a value greater than 0"&amp;CHAR(10),""),IF(E52&gt;0," * F01-21 for Age "&amp;D6&amp;" "&amp;E7&amp;" has a value greater than 0"&amp;CHAR(10),""),IF(D87&gt;0," * F01-22 for Age "&amp;D6&amp;" "&amp;D7&amp;" has a value greater than 0"&amp;CHAR(10),""),IF(E87&gt;0," * F01-22 for Age "&amp;D6&amp;" "&amp;E7&amp;" has a value greater than 0"&amp;CHAR(10),""),IF(D88&gt;0," * F01-23 for Age "&amp;D6&amp;" "&amp;D7&amp;" has a value greater than 0"&amp;CHAR(10),""),IF(E88&gt;0," * F01-23 for Age "&amp;D6&amp;" "&amp;E7&amp;" has a value greater than 0"&amp;CHAR(10),""),"")</f>
        <v/>
      </c>
      <c r="AN28" s="836"/>
      <c r="AO28" s="126">
        <v>33</v>
      </c>
      <c r="AQ28" s="1047"/>
      <c r="AR28" s="1047"/>
      <c r="AS28" s="1047"/>
    </row>
    <row r="29" spans="1:45" s="10" customFormat="1" x14ac:dyDescent="0.55000000000000004">
      <c r="A29" s="862"/>
      <c r="B29" s="722" t="s">
        <v>389</v>
      </c>
      <c r="C29" s="175" t="s">
        <v>382</v>
      </c>
      <c r="D29" s="128"/>
      <c r="E29" s="129"/>
      <c r="F29" s="180"/>
      <c r="G29" s="180"/>
      <c r="H29" s="180"/>
      <c r="I29" s="180"/>
      <c r="J29" s="180"/>
      <c r="K29" s="180"/>
      <c r="L29" s="180"/>
      <c r="M29" s="180"/>
      <c r="N29" s="180"/>
      <c r="O29" s="180"/>
      <c r="P29" s="180"/>
      <c r="Q29" s="180"/>
      <c r="R29" s="180"/>
      <c r="S29" s="180"/>
      <c r="T29" s="180"/>
      <c r="U29" s="180"/>
      <c r="V29" s="180"/>
      <c r="W29" s="180"/>
      <c r="X29" s="180"/>
      <c r="Y29" s="180"/>
      <c r="Z29" s="132">
        <f t="shared" si="3"/>
        <v>0</v>
      </c>
      <c r="AA29" s="133">
        <f t="shared" si="4"/>
        <v>0</v>
      </c>
      <c r="AB29" s="180"/>
      <c r="AC29" s="180"/>
      <c r="AD29" s="180"/>
      <c r="AE29" s="180"/>
      <c r="AF29" s="180"/>
      <c r="AG29" s="180"/>
      <c r="AH29" s="180"/>
      <c r="AI29" s="181"/>
      <c r="AJ29" s="135">
        <f t="shared" si="36"/>
        <v>0</v>
      </c>
      <c r="AK29" s="137"/>
      <c r="AL29" s="833"/>
      <c r="AM29" s="136"/>
      <c r="AN29" s="836"/>
      <c r="AO29" s="126"/>
      <c r="AQ29" s="1047"/>
      <c r="AR29" s="1047"/>
      <c r="AS29" s="1047"/>
    </row>
    <row r="30" spans="1:45" s="10" customFormat="1" x14ac:dyDescent="0.55000000000000004">
      <c r="A30" s="862"/>
      <c r="B30" s="722" t="s">
        <v>373</v>
      </c>
      <c r="C30" s="175" t="s">
        <v>383</v>
      </c>
      <c r="D30" s="128"/>
      <c r="E30" s="129"/>
      <c r="F30" s="180"/>
      <c r="G30" s="180"/>
      <c r="H30" s="180"/>
      <c r="I30" s="180"/>
      <c r="J30" s="180"/>
      <c r="K30" s="180"/>
      <c r="L30" s="180"/>
      <c r="M30" s="180"/>
      <c r="N30" s="180"/>
      <c r="O30" s="180"/>
      <c r="P30" s="180"/>
      <c r="Q30" s="180"/>
      <c r="R30" s="180"/>
      <c r="S30" s="180"/>
      <c r="T30" s="180"/>
      <c r="U30" s="180"/>
      <c r="V30" s="180"/>
      <c r="W30" s="180"/>
      <c r="X30" s="180"/>
      <c r="Y30" s="180"/>
      <c r="Z30" s="132">
        <f t="shared" si="3"/>
        <v>0</v>
      </c>
      <c r="AA30" s="133">
        <f t="shared" si="4"/>
        <v>0</v>
      </c>
      <c r="AB30" s="180"/>
      <c r="AC30" s="180"/>
      <c r="AD30" s="180"/>
      <c r="AE30" s="180"/>
      <c r="AF30" s="180"/>
      <c r="AG30" s="180"/>
      <c r="AH30" s="180"/>
      <c r="AI30" s="181"/>
      <c r="AJ30" s="135">
        <f t="shared" si="36"/>
        <v>0</v>
      </c>
      <c r="AK30" s="137"/>
      <c r="AL30" s="833"/>
      <c r="AM30" s="136"/>
      <c r="AN30" s="836"/>
      <c r="AO30" s="126"/>
      <c r="AQ30" s="1047"/>
      <c r="AR30" s="1047"/>
      <c r="AS30" s="1047"/>
    </row>
    <row r="31" spans="1:45" s="10" customFormat="1" x14ac:dyDescent="0.55000000000000004">
      <c r="A31" s="862"/>
      <c r="B31" s="722" t="s">
        <v>375</v>
      </c>
      <c r="C31" s="175" t="s">
        <v>384</v>
      </c>
      <c r="D31" s="128"/>
      <c r="E31" s="129"/>
      <c r="F31" s="180"/>
      <c r="G31" s="180"/>
      <c r="H31" s="180"/>
      <c r="I31" s="180"/>
      <c r="J31" s="180"/>
      <c r="K31" s="180"/>
      <c r="L31" s="180"/>
      <c r="M31" s="180"/>
      <c r="N31" s="180"/>
      <c r="O31" s="180"/>
      <c r="P31" s="180"/>
      <c r="Q31" s="180"/>
      <c r="R31" s="180"/>
      <c r="S31" s="180"/>
      <c r="T31" s="180"/>
      <c r="U31" s="180"/>
      <c r="V31" s="180"/>
      <c r="W31" s="180"/>
      <c r="X31" s="180"/>
      <c r="Y31" s="180"/>
      <c r="Z31" s="132">
        <f t="shared" si="3"/>
        <v>0</v>
      </c>
      <c r="AA31" s="133">
        <f t="shared" si="4"/>
        <v>0</v>
      </c>
      <c r="AB31" s="180"/>
      <c r="AC31" s="180"/>
      <c r="AD31" s="180"/>
      <c r="AE31" s="180"/>
      <c r="AF31" s="180"/>
      <c r="AG31" s="180"/>
      <c r="AH31" s="180"/>
      <c r="AI31" s="181"/>
      <c r="AJ31" s="135">
        <f t="shared" si="36"/>
        <v>0</v>
      </c>
      <c r="AK31" s="137"/>
      <c r="AL31" s="833"/>
      <c r="AM31" s="136"/>
      <c r="AN31" s="836"/>
      <c r="AO31" s="126"/>
      <c r="AQ31" s="1047"/>
      <c r="AR31" s="1047"/>
      <c r="AS31" s="1047"/>
    </row>
    <row r="32" spans="1:45" s="10" customFormat="1" ht="31.5" thickBot="1" x14ac:dyDescent="0.6">
      <c r="A32" s="863"/>
      <c r="B32" s="723" t="s">
        <v>377</v>
      </c>
      <c r="C32" s="184" t="s">
        <v>385</v>
      </c>
      <c r="D32" s="185"/>
      <c r="E32" s="186"/>
      <c r="F32" s="187"/>
      <c r="G32" s="187"/>
      <c r="H32" s="187"/>
      <c r="I32" s="187"/>
      <c r="J32" s="187"/>
      <c r="K32" s="187"/>
      <c r="L32" s="187"/>
      <c r="M32" s="187"/>
      <c r="N32" s="187"/>
      <c r="O32" s="187"/>
      <c r="P32" s="187"/>
      <c r="Q32" s="187"/>
      <c r="R32" s="187"/>
      <c r="S32" s="187"/>
      <c r="T32" s="187"/>
      <c r="U32" s="187"/>
      <c r="V32" s="187"/>
      <c r="W32" s="187"/>
      <c r="X32" s="187"/>
      <c r="Y32" s="187"/>
      <c r="Z32" s="132">
        <f t="shared" si="3"/>
        <v>0</v>
      </c>
      <c r="AA32" s="133">
        <f t="shared" si="4"/>
        <v>0</v>
      </c>
      <c r="AB32" s="187"/>
      <c r="AC32" s="187"/>
      <c r="AD32" s="187"/>
      <c r="AE32" s="187"/>
      <c r="AF32" s="187"/>
      <c r="AG32" s="187"/>
      <c r="AH32" s="187"/>
      <c r="AI32" s="188"/>
      <c r="AJ32" s="168">
        <f t="shared" ref="AJ32:AJ36" si="37">SUM(D32:AA32)</f>
        <v>0</v>
      </c>
      <c r="AK32" s="137"/>
      <c r="AL32" s="833"/>
      <c r="AM32" s="136"/>
      <c r="AN32" s="836"/>
      <c r="AO32" s="126"/>
      <c r="AQ32" s="1047"/>
      <c r="AR32" s="1047"/>
      <c r="AS32" s="1047"/>
    </row>
    <row r="33" spans="1:41" x14ac:dyDescent="0.6">
      <c r="A33" s="861" t="s">
        <v>752</v>
      </c>
      <c r="B33" s="720" t="s">
        <v>63</v>
      </c>
      <c r="C33" s="169" t="s">
        <v>67</v>
      </c>
      <c r="D33" s="116"/>
      <c r="E33" s="117"/>
      <c r="F33" s="170"/>
      <c r="G33" s="170"/>
      <c r="H33" s="192"/>
      <c r="I33" s="192"/>
      <c r="J33" s="192"/>
      <c r="K33" s="192"/>
      <c r="L33" s="192"/>
      <c r="M33" s="192"/>
      <c r="N33" s="192"/>
      <c r="O33" s="192"/>
      <c r="P33" s="192"/>
      <c r="Q33" s="192"/>
      <c r="R33" s="192"/>
      <c r="S33" s="192"/>
      <c r="T33" s="192"/>
      <c r="U33" s="192"/>
      <c r="V33" s="192"/>
      <c r="W33" s="192"/>
      <c r="X33" s="192"/>
      <c r="Y33" s="192"/>
      <c r="Z33" s="132"/>
      <c r="AA33" s="133"/>
      <c r="AB33" s="192"/>
      <c r="AC33" s="192"/>
      <c r="AD33" s="192"/>
      <c r="AE33" s="192"/>
      <c r="AF33" s="192"/>
      <c r="AG33" s="192"/>
      <c r="AH33" s="192"/>
      <c r="AI33" s="193"/>
      <c r="AJ33" s="173">
        <f t="shared" si="37"/>
        <v>0</v>
      </c>
      <c r="AK33" s="174" t="str">
        <f>CONCATENATE(IF(D34&gt;D33," * Positive F01-15 for Age "&amp;D6&amp;" "&amp;D7&amp;" is more than Tested F01-14"&amp;CHAR(10),""),IF(E34&gt;E33," * Positive F01-15 for Age "&amp;D6&amp;" "&amp;E7&amp;" is more than Tested F01-14"&amp;CHAR(10),""),IF(F34&gt;F33," * Positive F01-15 for Age "&amp;F6&amp;" "&amp;F7&amp;" is more than Tested F01-14"&amp;CHAR(10),""),IF(G34&gt;G33," * Positive F01-15 for Age "&amp;F6&amp;" "&amp;G7&amp;" is more than Tested F01-14"&amp;CHAR(10),""),IF(H34&gt;H33," * Positive F01-15 for Age "&amp;H6&amp;" "&amp;H7&amp;" is more than Tested F01-14"&amp;CHAR(10),""),IF(I34&gt;I33," * Positive F01-15 for Age "&amp;H6&amp;" "&amp;I7&amp;" is more than Tested F01-14"&amp;CHAR(10),""),IF(J34&gt;J33," * Positive F01-15 for Age "&amp;J6&amp;" "&amp;J7&amp;" is more than Tested F01-14"&amp;CHAR(10),""),IF(K34&gt;K33," * Positive F01-15 for Age "&amp;J6&amp;" "&amp;K7&amp;" is more than Tested F01-14"&amp;CHAR(10),""),IF(L34&gt;L33," * Positive F01-15 for Age "&amp;L6&amp;" "&amp;L7&amp;" is more than Tested F01-14"&amp;CHAR(10),""),IF(M34&gt;M33," * Positive F01-15 for Age "&amp;L6&amp;" "&amp;M7&amp;" is more than Tested F01-14"&amp;CHAR(10),""),IF(N34&gt;N33," * Positive F01-15 for Age "&amp;N6&amp;" "&amp;N7&amp;" is more than Tested F01-14"&amp;CHAR(10),""),IF(O34&gt;O33," * Positive F01-15 for Age "&amp;N6&amp;" "&amp;O7&amp;" is more than Tested F01-14"&amp;CHAR(10),""),IF(P34&gt;P33," * Positive F01-15 for Age "&amp;P6&amp;" "&amp;P7&amp;" is more than Tested F01-14"&amp;CHAR(10),""),IF(Q34&gt;Q33," * Positive F01-15 for Age "&amp;P6&amp;" "&amp;Q7&amp;" is more than Tested F01-14"&amp;CHAR(10),""),IF(R34&gt;R33," * Positive F01-15 for Age "&amp;R6&amp;" "&amp;R7&amp;" is more than Tested F01-14"&amp;CHAR(10),""),IF(S34&gt;S33," * Positive F01-15 for Age "&amp;R6&amp;" "&amp;S7&amp;" is more than Tested F01-14"&amp;CHAR(10),""),IF(T34&gt;T33," * Positive F01-15 for Age "&amp;T6&amp;" "&amp;T7&amp;" is more than Tested F01-14"&amp;CHAR(10),""),IF(U34&gt;U33," * Positive F01-15 for Age "&amp;T6&amp;" "&amp;U7&amp;" is more than Tested F01-14"&amp;CHAR(10),""),IF(V34&gt;V33," * Positive F01-15 for Age "&amp;V6&amp;" "&amp;V7&amp;" is more than Tested F01-14"&amp;CHAR(10),""),IF(W34&gt;W33," * Positive F01-15 for Age "&amp;V6&amp;" "&amp;W7&amp;" is more than Tested F01-14"&amp;CHAR(10),""),IF(X34&gt;X33," * Positive F01-15 for Age "&amp;X6&amp;" "&amp;X7&amp;" is more than Tested F01-14"&amp;CHAR(10),""),IF(Y34&gt;Y33," * Positive F01-15 for Age "&amp;X6&amp;" "&amp;Y7&amp;" is more than Tested F01-14"&amp;CHAR(10),""),IF(Z34&gt;Z33," * Positive F01-15 for Age "&amp;Z6&amp;" "&amp;Z7&amp;" is more than Tested F01-14"&amp;CHAR(10),""),IF(AA34&gt;AA33," * Positive F01-15 for Age "&amp;Z6&amp;" "&amp;AA7&amp;" is more than Tested F01-14"&amp;CHAR(10),""))</f>
        <v/>
      </c>
      <c r="AL33" s="833"/>
      <c r="AM33" s="136" t="str">
        <f>CONCATENATE(IF(AND(IFERROR((AJ34*100)/AJ33,0)&gt;10,AJ34&gt;5)," * This facility has a high positivity rate for Index Testing. Kindly confirm if this is the true reflection"&amp;CHAR(10),""),"")</f>
        <v/>
      </c>
      <c r="AN33" s="836"/>
      <c r="AO33" s="126">
        <v>34</v>
      </c>
    </row>
    <row r="34" spans="1:41" x14ac:dyDescent="0.6">
      <c r="A34" s="862"/>
      <c r="B34" s="721" t="s">
        <v>61</v>
      </c>
      <c r="C34" s="175" t="s">
        <v>68</v>
      </c>
      <c r="D34" s="128"/>
      <c r="E34" s="129"/>
      <c r="F34" s="176"/>
      <c r="G34" s="176"/>
      <c r="H34" s="194"/>
      <c r="I34" s="194"/>
      <c r="J34" s="194"/>
      <c r="K34" s="194"/>
      <c r="L34" s="194"/>
      <c r="M34" s="194"/>
      <c r="N34" s="194"/>
      <c r="O34" s="194"/>
      <c r="P34" s="194"/>
      <c r="Q34" s="194"/>
      <c r="R34" s="194"/>
      <c r="S34" s="194"/>
      <c r="T34" s="194"/>
      <c r="U34" s="194"/>
      <c r="V34" s="194"/>
      <c r="W34" s="194"/>
      <c r="X34" s="194"/>
      <c r="Y34" s="194"/>
      <c r="Z34" s="132"/>
      <c r="AA34" s="133"/>
      <c r="AB34" s="194"/>
      <c r="AC34" s="194"/>
      <c r="AD34" s="194"/>
      <c r="AE34" s="194"/>
      <c r="AF34" s="194"/>
      <c r="AG34" s="194"/>
      <c r="AH34" s="194"/>
      <c r="AI34" s="195"/>
      <c r="AJ34" s="135">
        <f t="shared" si="37"/>
        <v>0</v>
      </c>
      <c r="AK34" s="179" t="str">
        <f>CONCATENATE(IF((D35+D36+D37+D38)&lt;&gt;D34," * "&amp;$A34&amp;" , "&amp;$B35&amp;" plus "&amp;$B36&amp;" plus "&amp;$B37&amp;" plus "&amp;$B38&amp;" For age "&amp;$D$6&amp;" "&amp;$D$7&amp;" should be equal to "&amp;$B34&amp;""&amp;CHAR(10),""),IF((E35+E36+E37+E38)&lt;&gt;E34," * "&amp;$A34&amp;" , "&amp;$B35&amp;" plus "&amp;$B36&amp;" plus "&amp;$B37&amp;" plus "&amp;$B38&amp;" For age "&amp;$D$6&amp;" "&amp;$E$7&amp;" should be equal to "&amp;$B34&amp;""&amp;CHAR(10),""),IF((F35+F36+F37+F38)&lt;&gt;F34," * "&amp;$A34&amp;" , "&amp;$B35&amp;" plus "&amp;$B36&amp;" plus "&amp;$B37&amp;" plus "&amp;$B38&amp;" For age "&amp;$F$6&amp;" "&amp;$F$7&amp;" should be equal to "&amp;$B34&amp;""&amp;CHAR(10),""),IF((G35+G36+G37+G38)&lt;&gt;G34," * "&amp;$A34&amp;" , "&amp;$B35&amp;" plus "&amp;$B36&amp;" plus "&amp;$B37&amp;" plus "&amp;$B38&amp;" For age "&amp;$F$6&amp;" "&amp;$G$7&amp;" should be equal to "&amp;$B34&amp;""&amp;CHAR(10),""),IF((H35+H36+H37+H38)&lt;&gt;H34," * "&amp;$A34&amp;" , "&amp;$B35&amp;" plus "&amp;$B36&amp;" plus "&amp;$B37&amp;" plus "&amp;$B38&amp;" For age "&amp;$H$6&amp;" "&amp;$H$7&amp;" should be equal to "&amp;$B34&amp;""&amp;CHAR(10),""),IF((I35+I36+I37+I38)&lt;&gt;I34," * "&amp;$A34&amp;" , "&amp;$B35&amp;" plus "&amp;$B36&amp;" plus "&amp;$B37&amp;" plus "&amp;$B38&amp;" For age "&amp;$H$6&amp;" "&amp;$I$7&amp;" should be equal to "&amp;$B34&amp;""&amp;CHAR(10),""),IF((J35+J36+J37+J38)&lt;&gt;J34," * "&amp;$A34&amp;" , "&amp;$B35&amp;" plus "&amp;$B36&amp;" plus "&amp;$B37&amp;" plus "&amp;$B38&amp;" For age "&amp;$J$6&amp;" "&amp;$J$7&amp;" should be equal to "&amp;$B34&amp;""&amp;CHAR(10),""),IF((K35+K36+K37+K38)&lt;&gt;K34," * "&amp;$A34&amp;" , "&amp;$B35&amp;" plus "&amp;$B36&amp;" plus "&amp;$B37&amp;" plus "&amp;$B38&amp;" For age "&amp;$J$6&amp;" "&amp;$K$7&amp;" should be equal to "&amp;$B34&amp;""&amp;CHAR(10),""),IF((L35+L36+L37+L38)&lt;&gt;L34," * "&amp;$A34&amp;" , "&amp;$B35&amp;" plus "&amp;$B36&amp;" plus "&amp;$B37&amp;" plus "&amp;$B38&amp;" For age "&amp;$L$6&amp;" "&amp;$L$7&amp;" should be equal to "&amp;$B34&amp;""&amp;CHAR(10),""),IF((M35+M36+M37+M38)&lt;&gt;M34," * "&amp;$A34&amp;" , "&amp;$B35&amp;" plus "&amp;$B36&amp;" plus "&amp;$B37&amp;" plus "&amp;$B38&amp;" For age "&amp;$L$6&amp;" "&amp;$M$7&amp;" should be equal to "&amp;$B34&amp;""&amp;CHAR(10),""),IF((N35+N36+N37+N38)&lt;&gt;N34," * "&amp;$A34&amp;" , "&amp;$B35&amp;" plus "&amp;$B36&amp;" plus "&amp;$B37&amp;" plus "&amp;$B38&amp;" For age "&amp;$N$6&amp;" "&amp;$N$7&amp;" should be equal to "&amp;$B34&amp;""&amp;CHAR(10),""),IF((O35+O36+O37+O38)&lt;&gt;O34," * "&amp;$A34&amp;" , "&amp;$B35&amp;" plus "&amp;$B36&amp;" plus "&amp;$B37&amp;" plus "&amp;$B38&amp;" For age "&amp;$N$6&amp;" "&amp;$O$7&amp;" should be equal to "&amp;$B34&amp;""&amp;CHAR(10),""),IF((P35+P36+P37+P38)&lt;&gt;P34," * "&amp;$A34&amp;" , "&amp;$B35&amp;" plus "&amp;$B36&amp;" plus "&amp;$B37&amp;" plus "&amp;$B38&amp;" For age "&amp;$P$6&amp;" "&amp;$P$7&amp;" should be equal to "&amp;$B34&amp;""&amp;CHAR(10),""),IF((Q35+Q36+Q37+Q38)&lt;&gt;Q34," * "&amp;$A34&amp;" , "&amp;$B35&amp;" plus "&amp;$B36&amp;" plus "&amp;$B37&amp;" plus "&amp;$B38&amp;" For age "&amp;$P$6&amp;" "&amp;$Q$7&amp;" should be equal to "&amp;$B34&amp;""&amp;CHAR(10),""),IF((R35+R36+R37+R38)&lt;&gt;R34," * "&amp;$A34&amp;" , "&amp;$B35&amp;" plus "&amp;$B36&amp;" plus "&amp;$B37&amp;" plus "&amp;$B38&amp;" For age "&amp;$R$6&amp;" "&amp;$R$7&amp;" should be equal to "&amp;$B34&amp;""&amp;CHAR(10),""),IF((S35+S36+S37+S38)&lt;&gt;S34," * "&amp;$A34&amp;" , "&amp;$B35&amp;" plus "&amp;$B36&amp;" plus "&amp;$B37&amp;" plus "&amp;$B38&amp;" For age "&amp;$R$6&amp;" "&amp;$S$7&amp;" should be equal to "&amp;$B34&amp;""&amp;CHAR(10),""),IF((T35+T36+T37+T38)&lt;&gt;T34," * "&amp;$A34&amp;" , "&amp;$B35&amp;" plus "&amp;$B36&amp;" plus "&amp;$B37&amp;" plus "&amp;$B38&amp;" For age "&amp;$T$6&amp;" "&amp;$T$7&amp;" should be equal to "&amp;$B34&amp;""&amp;CHAR(10),""),IF((U35+U36+U37+U38)&lt;&gt;U34," * "&amp;$A34&amp;" , "&amp;$B35&amp;" plus "&amp;$B36&amp;" plus "&amp;$B37&amp;" plus "&amp;$B38&amp;" For age "&amp;$T$6&amp;" "&amp;$U$7&amp;" should be equal to "&amp;$B34&amp;""&amp;CHAR(10),""),IF((V35+V36+V37+V38)&lt;&gt;V34," * "&amp;$A34&amp;" , "&amp;$B35&amp;" plus "&amp;$B36&amp;" plus "&amp;$B37&amp;" plus "&amp;$B38&amp;" For age "&amp;$V$6&amp;" "&amp;$V$7&amp;" should be equal to "&amp;$B34&amp;""&amp;CHAR(10),""),IF((W35+W36+W37+W38)&lt;&gt;W34," * "&amp;$A34&amp;" , "&amp;$B35&amp;" plus "&amp;$B36&amp;" plus "&amp;$B37&amp;" plus "&amp;$B38&amp;" For age "&amp;$V$6&amp;" "&amp;$W$7&amp;" should be equal to "&amp;$B34&amp;""&amp;CHAR(10),""),IF((X35+X36+X37+X38)&lt;&gt;X34," * "&amp;$A34&amp;" , "&amp;$B35&amp;" plus "&amp;$B36&amp;" plus "&amp;$B37&amp;" plus "&amp;$B38&amp;" For age "&amp;$X$6&amp;" "&amp;$X$7&amp;" should be equal to "&amp;$B34&amp;""&amp;CHAR(10),""),IF((Y35+Y36+Y37+Y38)&lt;&gt;Y34," * "&amp;$A34&amp;" , "&amp;$B35&amp;" plus "&amp;$B36&amp;" plus "&amp;$B37&amp;" plus "&amp;$B38&amp;" For age "&amp;$X$6&amp;" "&amp;$Y$7&amp;" should be equal to "&amp;$B34&amp;""&amp;CHAR(10),""),IF((Z35+Z36+Z37+Z38)&lt;&gt;Z34," * "&amp;$A34&amp;" , "&amp;$B35&amp;" plus "&amp;$B36&amp;" plus "&amp;$B37&amp;" plus "&amp;$B38&amp;" For age "&amp;$Z$6&amp;" "&amp;$Z$7&amp;" should be equal to "&amp;$B34&amp;""&amp;CHAR(10),""),IF((AA35+AA36+AA37+AA38)&lt;&gt;AA34," * "&amp;$A34&amp;" , "&amp;$B35&amp;" plus "&amp;$B36&amp;" plus "&amp;$B37&amp;" plus "&amp;$B38&amp;" For age "&amp;$Z$6&amp;" "&amp;$AA$7&amp;" should be equal to "&amp;$B34&amp;""&amp;CHAR(10),""))</f>
        <v/>
      </c>
      <c r="AL34" s="833"/>
      <c r="AM34" s="136"/>
      <c r="AN34" s="836"/>
      <c r="AO34" s="126">
        <v>35</v>
      </c>
    </row>
    <row r="35" spans="1:41" x14ac:dyDescent="0.6">
      <c r="A35" s="862"/>
      <c r="B35" s="722" t="s">
        <v>389</v>
      </c>
      <c r="C35" s="175" t="s">
        <v>386</v>
      </c>
      <c r="D35" s="128"/>
      <c r="E35" s="129"/>
      <c r="F35" s="180"/>
      <c r="G35" s="180"/>
      <c r="H35" s="180"/>
      <c r="I35" s="180"/>
      <c r="J35" s="180"/>
      <c r="K35" s="180"/>
      <c r="L35" s="180"/>
      <c r="M35" s="180"/>
      <c r="N35" s="180"/>
      <c r="O35" s="180"/>
      <c r="P35" s="180"/>
      <c r="Q35" s="180"/>
      <c r="R35" s="180"/>
      <c r="S35" s="180"/>
      <c r="T35" s="180"/>
      <c r="U35" s="180"/>
      <c r="V35" s="180"/>
      <c r="W35" s="180"/>
      <c r="X35" s="180"/>
      <c r="Y35" s="180"/>
      <c r="Z35" s="132">
        <f t="shared" ref="Z35:Z38" si="38">SUM(AB35,AD35,AF35,AH35)</f>
        <v>0</v>
      </c>
      <c r="AA35" s="133">
        <f t="shared" ref="AA35:AA38" si="39">SUM(AC35,AE35,AG35,AI35)</f>
        <v>0</v>
      </c>
      <c r="AB35" s="180"/>
      <c r="AC35" s="180"/>
      <c r="AD35" s="180"/>
      <c r="AE35" s="180"/>
      <c r="AF35" s="180"/>
      <c r="AG35" s="180"/>
      <c r="AH35" s="180"/>
      <c r="AI35" s="181"/>
      <c r="AJ35" s="135">
        <f t="shared" si="37"/>
        <v>0</v>
      </c>
      <c r="AK35" s="137"/>
      <c r="AL35" s="833"/>
      <c r="AM35" s="136"/>
      <c r="AN35" s="836"/>
      <c r="AO35" s="126"/>
    </row>
    <row r="36" spans="1:41" x14ac:dyDescent="0.6">
      <c r="A36" s="862"/>
      <c r="B36" s="722" t="s">
        <v>373</v>
      </c>
      <c r="C36" s="175" t="s">
        <v>387</v>
      </c>
      <c r="D36" s="128"/>
      <c r="E36" s="129"/>
      <c r="F36" s="180"/>
      <c r="G36" s="180"/>
      <c r="H36" s="180"/>
      <c r="I36" s="180"/>
      <c r="J36" s="180"/>
      <c r="K36" s="180"/>
      <c r="L36" s="180"/>
      <c r="M36" s="180"/>
      <c r="N36" s="180"/>
      <c r="O36" s="180"/>
      <c r="P36" s="180"/>
      <c r="Q36" s="180"/>
      <c r="R36" s="180"/>
      <c r="S36" s="180"/>
      <c r="T36" s="180"/>
      <c r="U36" s="180"/>
      <c r="V36" s="180"/>
      <c r="W36" s="180"/>
      <c r="X36" s="180"/>
      <c r="Y36" s="180"/>
      <c r="Z36" s="132">
        <f t="shared" si="38"/>
        <v>0</v>
      </c>
      <c r="AA36" s="133">
        <f t="shared" si="39"/>
        <v>0</v>
      </c>
      <c r="AB36" s="180"/>
      <c r="AC36" s="180"/>
      <c r="AD36" s="180"/>
      <c r="AE36" s="180"/>
      <c r="AF36" s="180"/>
      <c r="AG36" s="180"/>
      <c r="AH36" s="180"/>
      <c r="AI36" s="181"/>
      <c r="AJ36" s="135">
        <f t="shared" si="37"/>
        <v>0</v>
      </c>
      <c r="AK36" s="137"/>
      <c r="AL36" s="833"/>
      <c r="AM36" s="136"/>
      <c r="AN36" s="836"/>
      <c r="AO36" s="126"/>
    </row>
    <row r="37" spans="1:41" x14ac:dyDescent="0.6">
      <c r="A37" s="862"/>
      <c r="B37" s="722" t="s">
        <v>375</v>
      </c>
      <c r="C37" s="175" t="s">
        <v>388</v>
      </c>
      <c r="D37" s="128"/>
      <c r="E37" s="129"/>
      <c r="F37" s="180"/>
      <c r="G37" s="180"/>
      <c r="H37" s="180"/>
      <c r="I37" s="180"/>
      <c r="J37" s="180"/>
      <c r="K37" s="180"/>
      <c r="L37" s="180"/>
      <c r="M37" s="180"/>
      <c r="N37" s="180"/>
      <c r="O37" s="180"/>
      <c r="P37" s="180"/>
      <c r="Q37" s="180"/>
      <c r="R37" s="180"/>
      <c r="S37" s="180"/>
      <c r="T37" s="180"/>
      <c r="U37" s="180"/>
      <c r="V37" s="180"/>
      <c r="W37" s="180"/>
      <c r="X37" s="180"/>
      <c r="Y37" s="180"/>
      <c r="Z37" s="132">
        <f t="shared" si="38"/>
        <v>0</v>
      </c>
      <c r="AA37" s="133">
        <f t="shared" si="39"/>
        <v>0</v>
      </c>
      <c r="AB37" s="180"/>
      <c r="AC37" s="180"/>
      <c r="AD37" s="180"/>
      <c r="AE37" s="180"/>
      <c r="AF37" s="180"/>
      <c r="AG37" s="180"/>
      <c r="AH37" s="180"/>
      <c r="AI37" s="181"/>
      <c r="AJ37" s="135">
        <f t="shared" ref="AJ37:AJ42" si="40">SUM(D37:AA37)</f>
        <v>0</v>
      </c>
      <c r="AK37" s="137"/>
      <c r="AL37" s="833"/>
      <c r="AM37" s="136"/>
      <c r="AN37" s="836"/>
      <c r="AO37" s="126"/>
    </row>
    <row r="38" spans="1:41" ht="31.5" thickBot="1" x14ac:dyDescent="0.65">
      <c r="A38" s="863"/>
      <c r="B38" s="723" t="s">
        <v>377</v>
      </c>
      <c r="C38" s="184" t="s">
        <v>390</v>
      </c>
      <c r="D38" s="185"/>
      <c r="E38" s="186"/>
      <c r="F38" s="187"/>
      <c r="G38" s="187"/>
      <c r="H38" s="187"/>
      <c r="I38" s="187"/>
      <c r="J38" s="187"/>
      <c r="K38" s="187"/>
      <c r="L38" s="187"/>
      <c r="M38" s="187"/>
      <c r="N38" s="187"/>
      <c r="O38" s="187"/>
      <c r="P38" s="187"/>
      <c r="Q38" s="187"/>
      <c r="R38" s="187"/>
      <c r="S38" s="187"/>
      <c r="T38" s="187"/>
      <c r="U38" s="187"/>
      <c r="V38" s="187"/>
      <c r="W38" s="187"/>
      <c r="X38" s="187"/>
      <c r="Y38" s="187"/>
      <c r="Z38" s="132">
        <f t="shared" si="38"/>
        <v>0</v>
      </c>
      <c r="AA38" s="133">
        <f t="shared" si="39"/>
        <v>0</v>
      </c>
      <c r="AB38" s="187"/>
      <c r="AC38" s="187"/>
      <c r="AD38" s="187"/>
      <c r="AE38" s="187"/>
      <c r="AF38" s="187"/>
      <c r="AG38" s="187"/>
      <c r="AH38" s="187"/>
      <c r="AI38" s="188"/>
      <c r="AJ38" s="168">
        <f t="shared" si="40"/>
        <v>0</v>
      </c>
      <c r="AK38" s="137"/>
      <c r="AL38" s="833"/>
      <c r="AM38" s="136"/>
      <c r="AN38" s="836"/>
      <c r="AO38" s="126"/>
    </row>
    <row r="39" spans="1:41" ht="26.25" customHeight="1" x14ac:dyDescent="0.6">
      <c r="A39" s="861" t="s">
        <v>753</v>
      </c>
      <c r="B39" s="720" t="s">
        <v>63</v>
      </c>
      <c r="C39" s="169" t="s">
        <v>69</v>
      </c>
      <c r="D39" s="116"/>
      <c r="E39" s="117"/>
      <c r="F39" s="170"/>
      <c r="G39" s="170"/>
      <c r="H39" s="192"/>
      <c r="I39" s="192"/>
      <c r="J39" s="192"/>
      <c r="K39" s="192"/>
      <c r="L39" s="192"/>
      <c r="M39" s="192"/>
      <c r="N39" s="192"/>
      <c r="O39" s="192"/>
      <c r="P39" s="192"/>
      <c r="Q39" s="192"/>
      <c r="R39" s="192"/>
      <c r="S39" s="192"/>
      <c r="T39" s="192"/>
      <c r="U39" s="192"/>
      <c r="V39" s="192"/>
      <c r="W39" s="192"/>
      <c r="X39" s="192"/>
      <c r="Y39" s="192"/>
      <c r="Z39" s="132"/>
      <c r="AA39" s="133"/>
      <c r="AB39" s="192"/>
      <c r="AC39" s="192"/>
      <c r="AD39" s="192"/>
      <c r="AE39" s="192"/>
      <c r="AF39" s="192"/>
      <c r="AG39" s="192"/>
      <c r="AH39" s="192"/>
      <c r="AI39" s="196"/>
      <c r="AJ39" s="173">
        <f t="shared" si="40"/>
        <v>0</v>
      </c>
      <c r="AK39" s="174" t="str">
        <f>CONCATENATE(IF(D40&gt;D39," * Positive F01-17 for Age "&amp;D6&amp;" "&amp;D7&amp;" is more than Tested F01-16"&amp;CHAR(10),""),IF(E40&gt;E39," * Positive F01-17 for Age "&amp;D6&amp;" "&amp;E7&amp;" is more than Tested F01-16"&amp;CHAR(10),""),IF(F40&gt;F39," * Positive F01-17 for Age "&amp;F6&amp;" "&amp;F7&amp;" is more than Tested F01-16"&amp;CHAR(10),""),IF(G40&gt;G39," * Positive F01-17 for Age "&amp;F6&amp;" "&amp;G7&amp;" is more than Tested F01-16"&amp;CHAR(10),""),IF(H40&gt;H39," * Positive F01-17 for Age "&amp;H6&amp;" "&amp;H7&amp;" is more than Tested F01-16"&amp;CHAR(10),""),IF(I40&gt;I39," * Positive F01-17 for Age "&amp;H6&amp;" "&amp;I7&amp;" is more than Tested F01-16"&amp;CHAR(10),""),IF(J40&gt;J39," * Positive F01-17 for Age "&amp;J6&amp;" "&amp;J7&amp;" is more than Tested F01-16"&amp;CHAR(10),""),IF(K40&gt;K39," * Positive F01-17 for Age "&amp;J6&amp;" "&amp;K7&amp;" is more than Tested F01-16"&amp;CHAR(10),""),IF(L40&gt;L39," * Positive F01-17 for Age "&amp;L6&amp;" "&amp;L7&amp;" is more than Tested F01-16"&amp;CHAR(10),""),IF(M40&gt;M39," * Positive F01-17 for Age "&amp;L6&amp;" "&amp;M7&amp;" is more than Tested F01-16"&amp;CHAR(10),""),IF(N40&gt;N39," * Positive F01-17 for Age "&amp;N6&amp;" "&amp;N7&amp;" is more than Tested F01-16"&amp;CHAR(10),""),IF(O40&gt;O39," * Positive F01-17 for Age "&amp;N6&amp;" "&amp;O7&amp;" is more than Tested F01-16"&amp;CHAR(10),""),IF(P40&gt;P39," * Positive F01-17 for Age "&amp;P6&amp;" "&amp;P7&amp;" is more than Tested F01-16"&amp;CHAR(10),""),IF(Q40&gt;Q39," * Positive F01-17 for Age "&amp;P6&amp;" "&amp;Q7&amp;" is more than Tested F01-16"&amp;CHAR(10),""),IF(R40&gt;R39," * Positive F01-17 for Age "&amp;R6&amp;" "&amp;R7&amp;" is more than Tested F01-16"&amp;CHAR(10),""),IF(S40&gt;S39," * Positive F01-17 for Age "&amp;R6&amp;" "&amp;S7&amp;" is more than Tested F01-16"&amp;CHAR(10),""),IF(T40&gt;T39," * Positive F01-17 for Age "&amp;T6&amp;" "&amp;T7&amp;" is more than Tested F01-16"&amp;CHAR(10),""),IF(U40&gt;U39," * Positive F01-17 for Age "&amp;T6&amp;" "&amp;U7&amp;" is more than Tested F01-16"&amp;CHAR(10),""),IF(V40&gt;V39," * Positive F01-17 for Age "&amp;V6&amp;" "&amp;V7&amp;" is more than Tested F01-16"&amp;CHAR(10),""),IF(W40&gt;W39," * Positive F01-17 for Age "&amp;V6&amp;" "&amp;W7&amp;" is more than Tested F01-16"&amp;CHAR(10),""),IF(X40&gt;X39," * Positive F01-17 for Age "&amp;X6&amp;" "&amp;X7&amp;" is more than Tested F01-16"&amp;CHAR(10),""),IF(Y40&gt;Y39," * Positive F01-17 for Age "&amp;X6&amp;" "&amp;Y7&amp;" is more than Tested F01-16"&amp;CHAR(10),""),IF(Z40&gt;Z39," * Positive F01-17 for Age "&amp;Z6&amp;" "&amp;Z7&amp;" is more than Tested F01-16"&amp;CHAR(10),""),IF(AA40&gt;AA39," * Positive F01-17 for Age "&amp;Z6&amp;" "&amp;AA7&amp;" is more than Tested F01-16"&amp;CHAR(10),""))</f>
        <v/>
      </c>
      <c r="AL39" s="833"/>
      <c r="AM39" s="136" t="str">
        <f>CONCATENATE(IF(AND(IFERROR((AJ40*100)/AJ39,0)&gt;10,AJ40&gt;5)," * This facility has a high positivity rate for Index Testing. Kindly confirm if this is the true reflection"&amp;CHAR(10),""),"")</f>
        <v/>
      </c>
      <c r="AN39" s="836"/>
      <c r="AO39" s="126">
        <v>36</v>
      </c>
    </row>
    <row r="40" spans="1:41" x14ac:dyDescent="0.6">
      <c r="A40" s="862"/>
      <c r="B40" s="721" t="s">
        <v>61</v>
      </c>
      <c r="C40" s="175" t="s">
        <v>70</v>
      </c>
      <c r="D40" s="128"/>
      <c r="E40" s="129"/>
      <c r="F40" s="176"/>
      <c r="G40" s="176"/>
      <c r="H40" s="194"/>
      <c r="I40" s="194"/>
      <c r="J40" s="194"/>
      <c r="K40" s="194"/>
      <c r="L40" s="194"/>
      <c r="M40" s="194"/>
      <c r="N40" s="194"/>
      <c r="O40" s="194"/>
      <c r="P40" s="194"/>
      <c r="Q40" s="194"/>
      <c r="R40" s="194"/>
      <c r="S40" s="194"/>
      <c r="T40" s="194"/>
      <c r="U40" s="194"/>
      <c r="V40" s="194"/>
      <c r="W40" s="194"/>
      <c r="X40" s="194"/>
      <c r="Y40" s="194"/>
      <c r="Z40" s="132"/>
      <c r="AA40" s="133"/>
      <c r="AB40" s="194"/>
      <c r="AC40" s="194"/>
      <c r="AD40" s="194"/>
      <c r="AE40" s="194"/>
      <c r="AF40" s="194"/>
      <c r="AG40" s="194"/>
      <c r="AH40" s="194"/>
      <c r="AI40" s="197"/>
      <c r="AJ40" s="135">
        <f t="shared" si="40"/>
        <v>0</v>
      </c>
      <c r="AK40" s="179" t="str">
        <f>CONCATENATE(IF((D41+D42+D43+D44)&lt;&gt;D40," * "&amp;$A40&amp;" , "&amp;$B41&amp;" plus "&amp;$B42&amp;" plus "&amp;$B43&amp;" plus "&amp;$B44&amp;" For age "&amp;$D$6&amp;" "&amp;$D$7&amp;" should be equal to "&amp;$B40&amp;""&amp;CHAR(10),""),IF((E41+E42+E43+E44)&lt;&gt;E40," * "&amp;$A40&amp;" , "&amp;$B41&amp;" plus "&amp;$B42&amp;" plus "&amp;$B43&amp;" plus "&amp;$B44&amp;" For age "&amp;$D$6&amp;" "&amp;$E$7&amp;" should be equal to "&amp;$B40&amp;""&amp;CHAR(10),""),IF((F41+F42+F43+F44)&lt;&gt;F40," * "&amp;$A40&amp;" , "&amp;$B41&amp;" plus "&amp;$B42&amp;" plus "&amp;$B43&amp;" plus "&amp;$B44&amp;" For age "&amp;$F$6&amp;" "&amp;$F$7&amp;" should be equal to "&amp;$B40&amp;""&amp;CHAR(10),""),IF((G41+G42+G43+G44)&lt;&gt;G40," * "&amp;$A40&amp;" , "&amp;$B41&amp;" plus "&amp;$B42&amp;" plus "&amp;$B43&amp;" plus "&amp;$B44&amp;" For age "&amp;$F$6&amp;" "&amp;$G$7&amp;" should be equal to "&amp;$B40&amp;""&amp;CHAR(10),""),IF((H41+H42+H43+H44)&lt;&gt;H40," * "&amp;$A40&amp;" , "&amp;$B41&amp;" plus "&amp;$B42&amp;" plus "&amp;$B43&amp;" plus "&amp;$B44&amp;" For age "&amp;$H$6&amp;" "&amp;$H$7&amp;" should be equal to "&amp;$B40&amp;""&amp;CHAR(10),""),IF((I41+I42+I43+I44)&lt;&gt;I40," * "&amp;$A40&amp;" , "&amp;$B41&amp;" plus "&amp;$B42&amp;" plus "&amp;$B43&amp;" plus "&amp;$B44&amp;" For age "&amp;$H$6&amp;" "&amp;$I$7&amp;" should be equal to "&amp;$B40&amp;""&amp;CHAR(10),""),IF((J41+J42+J43+J44)&lt;&gt;J40," * "&amp;$A40&amp;" , "&amp;$B41&amp;" plus "&amp;$B42&amp;" plus "&amp;$B43&amp;" plus "&amp;$B44&amp;" For age "&amp;$J$6&amp;" "&amp;$J$7&amp;" should be equal to "&amp;$B40&amp;""&amp;CHAR(10),""),IF((K41+K42+K43+K44)&lt;&gt;K40," * "&amp;$A40&amp;" , "&amp;$B41&amp;" plus "&amp;$B42&amp;" plus "&amp;$B43&amp;" plus "&amp;$B44&amp;" For age "&amp;$J$6&amp;" "&amp;$K$7&amp;" should be equal to "&amp;$B40&amp;""&amp;CHAR(10),""),IF((L41+L42+L43+L44)&lt;&gt;L40," * "&amp;$A40&amp;" , "&amp;$B41&amp;" plus "&amp;$B42&amp;" plus "&amp;$B43&amp;" plus "&amp;$B44&amp;" For age "&amp;$L$6&amp;" "&amp;$L$7&amp;" should be equal to "&amp;$B40&amp;""&amp;CHAR(10),""),IF((M41+M42+M43+M44)&lt;&gt;M40," * "&amp;$A40&amp;" , "&amp;$B41&amp;" plus "&amp;$B42&amp;" plus "&amp;$B43&amp;" plus "&amp;$B44&amp;" For age "&amp;$L$6&amp;" "&amp;$M$7&amp;" should be equal to "&amp;$B40&amp;""&amp;CHAR(10),""),IF((N41+N42+N43+N44)&lt;&gt;N40," * "&amp;$A40&amp;" , "&amp;$B41&amp;" plus "&amp;$B42&amp;" plus "&amp;$B43&amp;" plus "&amp;$B44&amp;" For age "&amp;$N$6&amp;" "&amp;$N$7&amp;" should be equal to "&amp;$B40&amp;""&amp;CHAR(10),""),IF((O41+O42+O43+O44)&lt;&gt;O40," * "&amp;$A40&amp;" , "&amp;$B41&amp;" plus "&amp;$B42&amp;" plus "&amp;$B43&amp;" plus "&amp;$B44&amp;" For age "&amp;$N$6&amp;" "&amp;$O$7&amp;" should be equal to "&amp;$B40&amp;""&amp;CHAR(10),""),IF((P41+P42+P43+P44)&lt;&gt;P40," * "&amp;$A40&amp;" , "&amp;$B41&amp;" plus "&amp;$B42&amp;" plus "&amp;$B43&amp;" plus "&amp;$B44&amp;" For age "&amp;$P$6&amp;" "&amp;$P$7&amp;" should be equal to "&amp;$B40&amp;""&amp;CHAR(10),""),IF((Q41+Q42+Q43+Q44)&lt;&gt;Q40," * "&amp;$A40&amp;" , "&amp;$B41&amp;" plus "&amp;$B42&amp;" plus "&amp;$B43&amp;" plus "&amp;$B44&amp;" For age "&amp;$P$6&amp;" "&amp;$Q$7&amp;" should be equal to "&amp;$B40&amp;""&amp;CHAR(10),""),IF((R41+R42+R43+R44)&lt;&gt;R40," * "&amp;$A40&amp;" , "&amp;$B41&amp;" plus "&amp;$B42&amp;" plus "&amp;$B43&amp;" plus "&amp;$B44&amp;" For age "&amp;$R$6&amp;" "&amp;$R$7&amp;" should be equal to "&amp;$B40&amp;""&amp;CHAR(10),""),IF((S41+S42+S43+S44)&lt;&gt;S40," * "&amp;$A40&amp;" , "&amp;$B41&amp;" plus "&amp;$B42&amp;" plus "&amp;$B43&amp;" plus "&amp;$B44&amp;" For age "&amp;$R$6&amp;" "&amp;$S$7&amp;" should be equal to "&amp;$B40&amp;""&amp;CHAR(10),""),IF((T41+T42+T43+T44)&lt;&gt;T40," * "&amp;$A40&amp;" , "&amp;$B41&amp;" plus "&amp;$B42&amp;" plus "&amp;$B43&amp;" plus "&amp;$B44&amp;" For age "&amp;$T$6&amp;" "&amp;$T$7&amp;" should be equal to "&amp;$B40&amp;""&amp;CHAR(10),""),IF((U41+U42+U43+U44)&lt;&gt;U40," * "&amp;$A40&amp;" , "&amp;$B41&amp;" plus "&amp;$B42&amp;" plus "&amp;$B43&amp;" plus "&amp;$B44&amp;" For age "&amp;$T$6&amp;" "&amp;$U$7&amp;" should be equal to "&amp;$B40&amp;""&amp;CHAR(10),""),IF((V41+V42+V43+V44)&lt;&gt;V40," * "&amp;$A40&amp;" , "&amp;$B41&amp;" plus "&amp;$B42&amp;" plus "&amp;$B43&amp;" plus "&amp;$B44&amp;" For age "&amp;$V$6&amp;" "&amp;$V$7&amp;" should be equal to "&amp;$B40&amp;""&amp;CHAR(10),""),IF((W41+W42+W43+W44)&lt;&gt;W40," * "&amp;$A40&amp;" , "&amp;$B41&amp;" plus "&amp;$B42&amp;" plus "&amp;$B43&amp;" plus "&amp;$B44&amp;" For age "&amp;$V$6&amp;" "&amp;$W$7&amp;" should be equal to "&amp;$B40&amp;""&amp;CHAR(10),""),IF((X41+X42+X43+X44)&lt;&gt;X40," * "&amp;$A40&amp;" , "&amp;$B41&amp;" plus "&amp;$B42&amp;" plus "&amp;$B43&amp;" plus "&amp;$B44&amp;" For age "&amp;$X$6&amp;" "&amp;$X$7&amp;" should be equal to "&amp;$B40&amp;""&amp;CHAR(10),""),IF((Y41+Y42+Y43+Y44)&lt;&gt;Y40," * "&amp;$A40&amp;" , "&amp;$B41&amp;" plus "&amp;$B42&amp;" plus "&amp;$B43&amp;" plus "&amp;$B44&amp;" For age "&amp;$X$6&amp;" "&amp;$Y$7&amp;" should be equal to "&amp;$B40&amp;""&amp;CHAR(10),""),IF((Z41+Z42+Z43+Z44)&lt;&gt;Z40," * "&amp;$A40&amp;" , "&amp;$B41&amp;" plus "&amp;$B42&amp;" plus "&amp;$B43&amp;" plus "&amp;$B44&amp;" For age "&amp;$Z$6&amp;" "&amp;$Z$7&amp;" should be equal to "&amp;$B40&amp;""&amp;CHAR(10),""),IF((AA41+AA42+AA43+AA44)&lt;&gt;AA40," * "&amp;$A40&amp;" , "&amp;$B41&amp;" plus "&amp;$B42&amp;" plus "&amp;$B43&amp;" plus "&amp;$B44&amp;" For age "&amp;$Z$6&amp;" "&amp;$AA$7&amp;" should be equal to "&amp;$B40&amp;""&amp;CHAR(10),""))</f>
        <v/>
      </c>
      <c r="AL40" s="833"/>
      <c r="AM40" s="136"/>
      <c r="AN40" s="836"/>
      <c r="AO40" s="126">
        <v>37</v>
      </c>
    </row>
    <row r="41" spans="1:41" x14ac:dyDescent="0.6">
      <c r="A41" s="862"/>
      <c r="B41" s="722" t="s">
        <v>389</v>
      </c>
      <c r="C41" s="175" t="s">
        <v>391</v>
      </c>
      <c r="D41" s="128"/>
      <c r="E41" s="129"/>
      <c r="F41" s="180"/>
      <c r="G41" s="180"/>
      <c r="H41" s="194"/>
      <c r="I41" s="194"/>
      <c r="J41" s="194"/>
      <c r="K41" s="194"/>
      <c r="L41" s="194"/>
      <c r="M41" s="194"/>
      <c r="N41" s="194"/>
      <c r="O41" s="194"/>
      <c r="P41" s="194"/>
      <c r="Q41" s="194"/>
      <c r="R41" s="194"/>
      <c r="S41" s="194"/>
      <c r="T41" s="194"/>
      <c r="U41" s="194"/>
      <c r="V41" s="194"/>
      <c r="W41" s="194"/>
      <c r="X41" s="194"/>
      <c r="Y41" s="194"/>
      <c r="Z41" s="132"/>
      <c r="AA41" s="133"/>
      <c r="AB41" s="194"/>
      <c r="AC41" s="194"/>
      <c r="AD41" s="194"/>
      <c r="AE41" s="194"/>
      <c r="AF41" s="194"/>
      <c r="AG41" s="194"/>
      <c r="AH41" s="194"/>
      <c r="AI41" s="197"/>
      <c r="AJ41" s="135">
        <f t="shared" si="40"/>
        <v>0</v>
      </c>
      <c r="AK41" s="137"/>
      <c r="AL41" s="833"/>
      <c r="AM41" s="136"/>
      <c r="AN41" s="836"/>
      <c r="AO41" s="126"/>
    </row>
    <row r="42" spans="1:41" x14ac:dyDescent="0.6">
      <c r="A42" s="862"/>
      <c r="B42" s="722" t="s">
        <v>373</v>
      </c>
      <c r="C42" s="175" t="s">
        <v>392</v>
      </c>
      <c r="D42" s="128"/>
      <c r="E42" s="129"/>
      <c r="F42" s="180"/>
      <c r="G42" s="180"/>
      <c r="H42" s="194"/>
      <c r="I42" s="194"/>
      <c r="J42" s="194"/>
      <c r="K42" s="194"/>
      <c r="L42" s="194"/>
      <c r="M42" s="194"/>
      <c r="N42" s="194"/>
      <c r="O42" s="194"/>
      <c r="P42" s="194"/>
      <c r="Q42" s="194"/>
      <c r="R42" s="194"/>
      <c r="S42" s="194"/>
      <c r="T42" s="194"/>
      <c r="U42" s="194"/>
      <c r="V42" s="194"/>
      <c r="W42" s="194"/>
      <c r="X42" s="194"/>
      <c r="Y42" s="194"/>
      <c r="Z42" s="132"/>
      <c r="AA42" s="133"/>
      <c r="AB42" s="194"/>
      <c r="AC42" s="194"/>
      <c r="AD42" s="194"/>
      <c r="AE42" s="194"/>
      <c r="AF42" s="194"/>
      <c r="AG42" s="194"/>
      <c r="AH42" s="194"/>
      <c r="AI42" s="197"/>
      <c r="AJ42" s="135">
        <f t="shared" si="40"/>
        <v>0</v>
      </c>
      <c r="AK42" s="137"/>
      <c r="AL42" s="833"/>
      <c r="AM42" s="136"/>
      <c r="AN42" s="836"/>
      <c r="AO42" s="126"/>
    </row>
    <row r="43" spans="1:41" x14ac:dyDescent="0.6">
      <c r="A43" s="862"/>
      <c r="B43" s="722" t="s">
        <v>375</v>
      </c>
      <c r="C43" s="175" t="s">
        <v>393</v>
      </c>
      <c r="D43" s="128"/>
      <c r="E43" s="129"/>
      <c r="F43" s="180"/>
      <c r="G43" s="180"/>
      <c r="H43" s="194"/>
      <c r="I43" s="194"/>
      <c r="J43" s="194"/>
      <c r="K43" s="194"/>
      <c r="L43" s="194"/>
      <c r="M43" s="194"/>
      <c r="N43" s="194"/>
      <c r="O43" s="194"/>
      <c r="P43" s="194"/>
      <c r="Q43" s="194"/>
      <c r="R43" s="194"/>
      <c r="S43" s="194"/>
      <c r="T43" s="194"/>
      <c r="U43" s="194"/>
      <c r="V43" s="194"/>
      <c r="W43" s="194"/>
      <c r="X43" s="194"/>
      <c r="Y43" s="194"/>
      <c r="Z43" s="132"/>
      <c r="AA43" s="133"/>
      <c r="AB43" s="194"/>
      <c r="AC43" s="194"/>
      <c r="AD43" s="194"/>
      <c r="AE43" s="194"/>
      <c r="AF43" s="194"/>
      <c r="AG43" s="194"/>
      <c r="AH43" s="194"/>
      <c r="AI43" s="197"/>
      <c r="AJ43" s="135">
        <f t="shared" ref="AJ43:AJ48" si="41">SUM(D43:AA43)</f>
        <v>0</v>
      </c>
      <c r="AK43" s="137"/>
      <c r="AL43" s="833"/>
      <c r="AM43" s="136"/>
      <c r="AN43" s="836"/>
      <c r="AO43" s="126"/>
    </row>
    <row r="44" spans="1:41" ht="31.5" thickBot="1" x14ac:dyDescent="0.65">
      <c r="A44" s="863"/>
      <c r="B44" s="723" t="s">
        <v>377</v>
      </c>
      <c r="C44" s="184" t="s">
        <v>394</v>
      </c>
      <c r="D44" s="185"/>
      <c r="E44" s="186"/>
      <c r="F44" s="187"/>
      <c r="G44" s="187"/>
      <c r="H44" s="194"/>
      <c r="I44" s="194"/>
      <c r="J44" s="194"/>
      <c r="K44" s="194"/>
      <c r="L44" s="194"/>
      <c r="M44" s="194"/>
      <c r="N44" s="194"/>
      <c r="O44" s="194"/>
      <c r="P44" s="194"/>
      <c r="Q44" s="194"/>
      <c r="R44" s="194"/>
      <c r="S44" s="194"/>
      <c r="T44" s="194"/>
      <c r="U44" s="194"/>
      <c r="V44" s="194"/>
      <c r="W44" s="194"/>
      <c r="X44" s="194"/>
      <c r="Y44" s="194"/>
      <c r="Z44" s="132"/>
      <c r="AA44" s="133"/>
      <c r="AB44" s="194"/>
      <c r="AC44" s="194"/>
      <c r="AD44" s="194"/>
      <c r="AE44" s="194"/>
      <c r="AF44" s="194"/>
      <c r="AG44" s="194"/>
      <c r="AH44" s="194"/>
      <c r="AI44" s="197"/>
      <c r="AJ44" s="168">
        <f t="shared" si="41"/>
        <v>0</v>
      </c>
      <c r="AK44" s="137"/>
      <c r="AL44" s="833"/>
      <c r="AM44" s="136"/>
      <c r="AN44" s="836"/>
      <c r="AO44" s="126"/>
    </row>
    <row r="45" spans="1:41" x14ac:dyDescent="0.6">
      <c r="A45" s="861" t="s">
        <v>754</v>
      </c>
      <c r="B45" s="720" t="s">
        <v>63</v>
      </c>
      <c r="C45" s="169" t="s">
        <v>71</v>
      </c>
      <c r="D45" s="116"/>
      <c r="E45" s="117"/>
      <c r="F45" s="170"/>
      <c r="G45" s="170"/>
      <c r="H45" s="170"/>
      <c r="I45" s="170"/>
      <c r="J45" s="170"/>
      <c r="K45" s="170"/>
      <c r="L45" s="170"/>
      <c r="M45" s="170"/>
      <c r="N45" s="170"/>
      <c r="O45" s="170"/>
      <c r="P45" s="170"/>
      <c r="Q45" s="170"/>
      <c r="R45" s="170"/>
      <c r="S45" s="170"/>
      <c r="T45" s="170"/>
      <c r="U45" s="170"/>
      <c r="V45" s="170"/>
      <c r="W45" s="170"/>
      <c r="X45" s="170"/>
      <c r="Y45" s="170"/>
      <c r="Z45" s="132">
        <f t="shared" ref="Z45:AA73" si="42">SUM(AB45,AD45,AF45,AH45)</f>
        <v>0</v>
      </c>
      <c r="AA45" s="133">
        <f t="shared" si="42"/>
        <v>0</v>
      </c>
      <c r="AB45" s="170"/>
      <c r="AC45" s="170"/>
      <c r="AD45" s="170"/>
      <c r="AE45" s="170"/>
      <c r="AF45" s="170"/>
      <c r="AG45" s="170"/>
      <c r="AH45" s="170"/>
      <c r="AI45" s="198"/>
      <c r="AJ45" s="173">
        <f t="shared" si="41"/>
        <v>0</v>
      </c>
      <c r="AK45" s="174" t="str">
        <f>CONCATENATE(IF(D46&gt;D45," * Positive F01-19 for Age "&amp;D6&amp;" "&amp;D7&amp;" is more than Tested F01-18"&amp;CHAR(10),""),IF(E46&gt;E45," * Positive F01-19 for Age "&amp;D6&amp;" "&amp;E7&amp;" is more than Tested F01-18"&amp;CHAR(10),""),IF(F46&gt;F45," * Positive F01-19 for Age "&amp;F6&amp;" "&amp;F7&amp;" is more than Tested F01-18"&amp;CHAR(10),""),IF(G46&gt;G45," * Positive F01-19 for Age "&amp;F6&amp;" "&amp;G7&amp;" is more than Tested F01-18"&amp;CHAR(10),""),IF(H46&gt;H45," * Positive F01-19 for Age "&amp;H6&amp;" "&amp;H7&amp;" is more than Tested F01-18"&amp;CHAR(10),""),IF(I46&gt;I45," * Positive F01-19 for Age "&amp;H6&amp;" "&amp;I7&amp;" is more than Tested F01-18"&amp;CHAR(10),""),IF(J46&gt;J45," * Positive F01-19 for Age "&amp;J6&amp;" "&amp;J7&amp;" is more than Tested F01-18"&amp;CHAR(10),""),IF(K46&gt;K45," * Positive F01-19 for Age "&amp;J6&amp;" "&amp;K7&amp;" is more than Tested F01-18"&amp;CHAR(10),""),IF(L46&gt;L45," * Positive F01-19 for Age "&amp;L6&amp;" "&amp;L7&amp;" is more than Tested F01-18"&amp;CHAR(10),""),IF(M46&gt;M45," * Positive F01-19 for Age "&amp;L6&amp;" "&amp;M7&amp;" is more than Tested F01-18"&amp;CHAR(10),""),IF(N46&gt;N45," * Positive F01-19 for Age "&amp;N6&amp;" "&amp;N7&amp;" is more than Tested F01-18"&amp;CHAR(10),""),IF(O46&gt;O45," * Positive F01-19 for Age "&amp;N6&amp;" "&amp;O7&amp;" is more than Tested F01-18"&amp;CHAR(10),""),IF(P46&gt;P45," * Positive F01-19 for Age "&amp;P6&amp;" "&amp;P7&amp;" is more than Tested F01-18"&amp;CHAR(10),""),IF(Q46&gt;Q45," * Positive F01-19 for Age "&amp;P6&amp;" "&amp;Q7&amp;" is more than Tested F01-18"&amp;CHAR(10),""),IF(R46&gt;R45," * Positive F01-19 for Age "&amp;R6&amp;" "&amp;R7&amp;" is more than Tested F01-18"&amp;CHAR(10),""),IF(S46&gt;S45," * Positive F01-19 for Age "&amp;R6&amp;" "&amp;S7&amp;" is more than Tested F01-18"&amp;CHAR(10),""),IF(T46&gt;T45," * Positive F01-19 for Age "&amp;T6&amp;" "&amp;T7&amp;" is more than Tested F01-18"&amp;CHAR(10),""),IF(U46&gt;U45," * Positive F01-19 for Age "&amp;T6&amp;" "&amp;U7&amp;" is more than Tested F01-18"&amp;CHAR(10),""),IF(V46&gt;V45," * Positive F01-19 for Age "&amp;V6&amp;" "&amp;V7&amp;" is more than Tested F01-18"&amp;CHAR(10),""),IF(W46&gt;W45," * Positive F01-19 for Age "&amp;V6&amp;" "&amp;W7&amp;" is more than Tested F01-18"&amp;CHAR(10),""),IF(X46&gt;X45," * Positive F01-19 for Age "&amp;X6&amp;" "&amp;X7&amp;" is more than Tested F01-18"&amp;CHAR(10),""),IF(Y46&gt;Y45," * Positive F01-19 for Age "&amp;X6&amp;" "&amp;Y7&amp;" is more than Tested F01-18"&amp;CHAR(10),""),IF(Z46&gt;Z45," * Positive F01-19 for Age "&amp;Z6&amp;" "&amp;Z7&amp;" is more than Tested F01-18"&amp;CHAR(10),""),IF(AA46&gt;AA45," * Positive F01-19 for Age "&amp;Z6&amp;" "&amp;AA7&amp;" is more than Tested F01-18"&amp;CHAR(10),""))</f>
        <v/>
      </c>
      <c r="AL45" s="833"/>
      <c r="AM45" s="136" t="str">
        <f>CONCATENATE(IF(AND(IFERROR((AJ46*100)/AJ45,0)&gt;10,AJ46&gt;5)," * This facility has a high positivity rate for Index Testing. Kindly confirm if this is the true reflection"&amp;CHAR(10),""),"")</f>
        <v/>
      </c>
      <c r="AN45" s="836"/>
      <c r="AO45" s="126">
        <v>38</v>
      </c>
    </row>
    <row r="46" spans="1:41" x14ac:dyDescent="0.6">
      <c r="A46" s="862"/>
      <c r="B46" s="721" t="s">
        <v>61</v>
      </c>
      <c r="C46" s="175" t="s">
        <v>72</v>
      </c>
      <c r="D46" s="128"/>
      <c r="E46" s="129"/>
      <c r="F46" s="176"/>
      <c r="G46" s="176"/>
      <c r="H46" s="176"/>
      <c r="I46" s="176"/>
      <c r="J46" s="176"/>
      <c r="K46" s="176"/>
      <c r="L46" s="176"/>
      <c r="M46" s="176"/>
      <c r="N46" s="176"/>
      <c r="O46" s="176"/>
      <c r="P46" s="176"/>
      <c r="Q46" s="176"/>
      <c r="R46" s="176"/>
      <c r="S46" s="176"/>
      <c r="T46" s="176"/>
      <c r="U46" s="176"/>
      <c r="V46" s="176"/>
      <c r="W46" s="176"/>
      <c r="X46" s="176"/>
      <c r="Y46" s="176"/>
      <c r="Z46" s="132">
        <f t="shared" si="42"/>
        <v>0</v>
      </c>
      <c r="AA46" s="133">
        <f t="shared" si="42"/>
        <v>0</v>
      </c>
      <c r="AB46" s="176"/>
      <c r="AC46" s="176"/>
      <c r="AD46" s="176"/>
      <c r="AE46" s="176"/>
      <c r="AF46" s="176"/>
      <c r="AG46" s="176"/>
      <c r="AH46" s="176"/>
      <c r="AI46" s="199"/>
      <c r="AJ46" s="135">
        <f t="shared" si="41"/>
        <v>0</v>
      </c>
      <c r="AK46" s="179" t="str">
        <f>CONCATENATE(IF((D47+D48+D49+D50)&lt;&gt;D46," * "&amp;$A46&amp;" , "&amp;$B47&amp;" plus "&amp;$B48&amp;" plus "&amp;$B49&amp;" plus "&amp;$B50&amp;" For age "&amp;$D$6&amp;" "&amp;$D$7&amp;" should be equal to "&amp;$B46&amp;""&amp;CHAR(10),""),IF((E47+E48+E49+E50)&lt;&gt;E46," * "&amp;$A46&amp;" , "&amp;$B47&amp;" plus "&amp;$B48&amp;" plus "&amp;$B49&amp;" plus "&amp;$B50&amp;" For age "&amp;$D$6&amp;" "&amp;$E$7&amp;" should be equal to "&amp;$B46&amp;""&amp;CHAR(10),""),IF((F47+F48+F49+F50)&lt;&gt;F46," * "&amp;$A46&amp;" , "&amp;$B47&amp;" plus "&amp;$B48&amp;" plus "&amp;$B49&amp;" plus "&amp;$B50&amp;" For age "&amp;$F$6&amp;" "&amp;$F$7&amp;" should be equal to "&amp;$B46&amp;""&amp;CHAR(10),""),IF((G47+G48+G49+G50)&lt;&gt;G46," * "&amp;$A46&amp;" , "&amp;$B47&amp;" plus "&amp;$B48&amp;" plus "&amp;$B49&amp;" plus "&amp;$B50&amp;" For age "&amp;$F$6&amp;" "&amp;$G$7&amp;" should be equal to "&amp;$B46&amp;""&amp;CHAR(10),""),IF((H47+H48+H49+H50)&lt;&gt;H46," * "&amp;$A46&amp;" , "&amp;$B47&amp;" plus "&amp;$B48&amp;" plus "&amp;$B49&amp;" plus "&amp;$B50&amp;" For age "&amp;$H$6&amp;" "&amp;$H$7&amp;" should be equal to "&amp;$B46&amp;""&amp;CHAR(10),""),IF((I47+I48+I49+I50)&lt;&gt;I46," * "&amp;$A46&amp;" , "&amp;$B47&amp;" plus "&amp;$B48&amp;" plus "&amp;$B49&amp;" plus "&amp;$B50&amp;" For age "&amp;$H$6&amp;" "&amp;$I$7&amp;" should be equal to "&amp;$B46&amp;""&amp;CHAR(10),""),IF((J47+J48+J49+J50)&lt;&gt;J46," * "&amp;$A46&amp;" , "&amp;$B47&amp;" plus "&amp;$B48&amp;" plus "&amp;$B49&amp;" plus "&amp;$B50&amp;" For age "&amp;$J$6&amp;" "&amp;$J$7&amp;" should be equal to "&amp;$B46&amp;""&amp;CHAR(10),""),IF((K47+K48+K49+K50)&lt;&gt;K46," * "&amp;$A46&amp;" , "&amp;$B47&amp;" plus "&amp;$B48&amp;" plus "&amp;$B49&amp;" plus "&amp;$B50&amp;" For age "&amp;$J$6&amp;" "&amp;$K$7&amp;" should be equal to "&amp;$B46&amp;""&amp;CHAR(10),""),IF((L47+L48+L49+L50)&lt;&gt;L46," * "&amp;$A46&amp;" , "&amp;$B47&amp;" plus "&amp;$B48&amp;" plus "&amp;$B49&amp;" plus "&amp;$B50&amp;" For age "&amp;$L$6&amp;" "&amp;$L$7&amp;" should be equal to "&amp;$B46&amp;""&amp;CHAR(10),""),IF((M47+M48+M49+M50)&lt;&gt;M46," * "&amp;$A46&amp;" , "&amp;$B47&amp;" plus "&amp;$B48&amp;" plus "&amp;$B49&amp;" plus "&amp;$B50&amp;" For age "&amp;$L$6&amp;" "&amp;$M$7&amp;" should be equal to "&amp;$B46&amp;""&amp;CHAR(10),""),IF((N47+N48+N49+N50)&lt;&gt;N46," * "&amp;$A46&amp;" , "&amp;$B47&amp;" plus "&amp;$B48&amp;" plus "&amp;$B49&amp;" plus "&amp;$B50&amp;" For age "&amp;$N$6&amp;" "&amp;$N$7&amp;" should be equal to "&amp;$B46&amp;""&amp;CHAR(10),""),IF((O47+O48+O49+O50)&lt;&gt;O46," * "&amp;$A46&amp;" , "&amp;$B47&amp;" plus "&amp;$B48&amp;" plus "&amp;$B49&amp;" plus "&amp;$B50&amp;" For age "&amp;$N$6&amp;" "&amp;$O$7&amp;" should be equal to "&amp;$B46&amp;""&amp;CHAR(10),""),IF((P47+P48+P49+P50)&lt;&gt;P46," * "&amp;$A46&amp;" , "&amp;$B47&amp;" plus "&amp;$B48&amp;" plus "&amp;$B49&amp;" plus "&amp;$B50&amp;" For age "&amp;$P$6&amp;" "&amp;$P$7&amp;" should be equal to "&amp;$B46&amp;""&amp;CHAR(10),""),IF((Q47+Q48+Q49+Q50)&lt;&gt;Q46," * "&amp;$A46&amp;" , "&amp;$B47&amp;" plus "&amp;$B48&amp;" plus "&amp;$B49&amp;" plus "&amp;$B50&amp;" For age "&amp;$P$6&amp;" "&amp;$Q$7&amp;" should be equal to "&amp;$B46&amp;""&amp;CHAR(10),""),IF((R47+R48+R49+R50)&lt;&gt;R46," * "&amp;$A46&amp;" , "&amp;$B47&amp;" plus "&amp;$B48&amp;" plus "&amp;$B49&amp;" plus "&amp;$B50&amp;" For age "&amp;$R$6&amp;" "&amp;$R$7&amp;" should be equal to "&amp;$B46&amp;""&amp;CHAR(10),""),IF((S47+S48+S49+S50)&lt;&gt;S46," * "&amp;$A46&amp;" , "&amp;$B47&amp;" plus "&amp;$B48&amp;" plus "&amp;$B49&amp;" plus "&amp;$B50&amp;" For age "&amp;$R$6&amp;" "&amp;$S$7&amp;" should be equal to "&amp;$B46&amp;""&amp;CHAR(10),""),IF((T47+T48+T49+T50)&lt;&gt;T46," * "&amp;$A46&amp;" , "&amp;$B47&amp;" plus "&amp;$B48&amp;" plus "&amp;$B49&amp;" plus "&amp;$B50&amp;" For age "&amp;$T$6&amp;" "&amp;$T$7&amp;" should be equal to "&amp;$B46&amp;""&amp;CHAR(10),""),IF((U47+U48+U49+U50)&lt;&gt;U46," * "&amp;$A46&amp;" , "&amp;$B47&amp;" plus "&amp;$B48&amp;" plus "&amp;$B49&amp;" plus "&amp;$B50&amp;" For age "&amp;$T$6&amp;" "&amp;$U$7&amp;" should be equal to "&amp;$B46&amp;""&amp;CHAR(10),""),IF((V47+V48+V49+V50)&lt;&gt;V46," * "&amp;$A46&amp;" , "&amp;$B47&amp;" plus "&amp;$B48&amp;" plus "&amp;$B49&amp;" plus "&amp;$B50&amp;" For age "&amp;$V$6&amp;" "&amp;$V$7&amp;" should be equal to "&amp;$B46&amp;""&amp;CHAR(10),""),IF((W47+W48+W49+W50)&lt;&gt;W46," * "&amp;$A46&amp;" , "&amp;$B47&amp;" plus "&amp;$B48&amp;" plus "&amp;$B49&amp;" plus "&amp;$B50&amp;" For age "&amp;$V$6&amp;" "&amp;$W$7&amp;" should be equal to "&amp;$B46&amp;""&amp;CHAR(10),""),IF((X47+X48+X49+X50)&lt;&gt;X46," * "&amp;$A46&amp;" , "&amp;$B47&amp;" plus "&amp;$B48&amp;" plus "&amp;$B49&amp;" plus "&amp;$B50&amp;" For age "&amp;$X$6&amp;" "&amp;$X$7&amp;" should be equal to "&amp;$B46&amp;""&amp;CHAR(10),""),IF((Y47+Y48+Y49+Y50)&lt;&gt;Y46," * "&amp;$A46&amp;" , "&amp;$B47&amp;" plus "&amp;$B48&amp;" plus "&amp;$B49&amp;" plus "&amp;$B50&amp;" For age "&amp;$X$6&amp;" "&amp;$Y$7&amp;" should be equal to "&amp;$B46&amp;""&amp;CHAR(10),""),IF((Z47+Z48+Z49+Z50)&lt;&gt;Z46," * "&amp;$A46&amp;" , "&amp;$B47&amp;" plus "&amp;$B48&amp;" plus "&amp;$B49&amp;" plus "&amp;$B50&amp;" For age "&amp;$Z$6&amp;" "&amp;$Z$7&amp;" should be equal to "&amp;$B46&amp;""&amp;CHAR(10),""),IF((AA47+AA48+AA49+AA50)&lt;&gt;AA46," * "&amp;$A46&amp;" , "&amp;$B47&amp;" plus "&amp;$B48&amp;" plus "&amp;$B49&amp;" plus "&amp;$B50&amp;" For age "&amp;$Z$6&amp;" "&amp;$AA$7&amp;" should be equal to "&amp;$B46&amp;""&amp;CHAR(10),""))</f>
        <v/>
      </c>
      <c r="AL46" s="833"/>
      <c r="AM46" s="136"/>
      <c r="AN46" s="836"/>
      <c r="AO46" s="126">
        <v>39</v>
      </c>
    </row>
    <row r="47" spans="1:41" x14ac:dyDescent="0.6">
      <c r="A47" s="862"/>
      <c r="B47" s="722" t="s">
        <v>389</v>
      </c>
      <c r="C47" s="175" t="s">
        <v>395</v>
      </c>
      <c r="D47" s="128"/>
      <c r="E47" s="129"/>
      <c r="F47" s="180"/>
      <c r="G47" s="180"/>
      <c r="H47" s="180"/>
      <c r="I47" s="180"/>
      <c r="J47" s="180"/>
      <c r="K47" s="180"/>
      <c r="L47" s="180"/>
      <c r="M47" s="180"/>
      <c r="N47" s="180"/>
      <c r="O47" s="180"/>
      <c r="P47" s="180"/>
      <c r="Q47" s="180"/>
      <c r="R47" s="180"/>
      <c r="S47" s="180"/>
      <c r="T47" s="180"/>
      <c r="U47" s="180"/>
      <c r="V47" s="180"/>
      <c r="W47" s="180"/>
      <c r="X47" s="180"/>
      <c r="Y47" s="180"/>
      <c r="Z47" s="132">
        <f t="shared" si="42"/>
        <v>0</v>
      </c>
      <c r="AA47" s="133">
        <f t="shared" si="42"/>
        <v>0</v>
      </c>
      <c r="AB47" s="180"/>
      <c r="AC47" s="180"/>
      <c r="AD47" s="180"/>
      <c r="AE47" s="180"/>
      <c r="AF47" s="180"/>
      <c r="AG47" s="180"/>
      <c r="AH47" s="180"/>
      <c r="AI47" s="200"/>
      <c r="AJ47" s="135">
        <f t="shared" si="41"/>
        <v>0</v>
      </c>
      <c r="AK47" s="137"/>
      <c r="AL47" s="833"/>
      <c r="AM47" s="136"/>
      <c r="AN47" s="836"/>
      <c r="AO47" s="126"/>
    </row>
    <row r="48" spans="1:41" x14ac:dyDescent="0.6">
      <c r="A48" s="862"/>
      <c r="B48" s="722" t="s">
        <v>373</v>
      </c>
      <c r="C48" s="175" t="s">
        <v>396</v>
      </c>
      <c r="D48" s="128"/>
      <c r="E48" s="129"/>
      <c r="F48" s="180"/>
      <c r="G48" s="180"/>
      <c r="H48" s="180"/>
      <c r="I48" s="180"/>
      <c r="J48" s="180"/>
      <c r="K48" s="180"/>
      <c r="L48" s="180"/>
      <c r="M48" s="180"/>
      <c r="N48" s="180"/>
      <c r="O48" s="180"/>
      <c r="P48" s="180"/>
      <c r="Q48" s="180"/>
      <c r="R48" s="180"/>
      <c r="S48" s="180"/>
      <c r="T48" s="180"/>
      <c r="U48" s="180"/>
      <c r="V48" s="180"/>
      <c r="W48" s="180"/>
      <c r="X48" s="180"/>
      <c r="Y48" s="180"/>
      <c r="Z48" s="132">
        <f t="shared" si="42"/>
        <v>0</v>
      </c>
      <c r="AA48" s="133">
        <f t="shared" si="42"/>
        <v>0</v>
      </c>
      <c r="AB48" s="180"/>
      <c r="AC48" s="180"/>
      <c r="AD48" s="180"/>
      <c r="AE48" s="180"/>
      <c r="AF48" s="180"/>
      <c r="AG48" s="180"/>
      <c r="AH48" s="180"/>
      <c r="AI48" s="200"/>
      <c r="AJ48" s="135">
        <f t="shared" si="41"/>
        <v>0</v>
      </c>
      <c r="AK48" s="137"/>
      <c r="AL48" s="833"/>
      <c r="AM48" s="136"/>
      <c r="AN48" s="836"/>
      <c r="AO48" s="126"/>
    </row>
    <row r="49" spans="1:41" x14ac:dyDescent="0.6">
      <c r="A49" s="862"/>
      <c r="B49" s="722" t="s">
        <v>375</v>
      </c>
      <c r="C49" s="175" t="s">
        <v>397</v>
      </c>
      <c r="D49" s="128"/>
      <c r="E49" s="129"/>
      <c r="F49" s="180"/>
      <c r="G49" s="180"/>
      <c r="H49" s="180"/>
      <c r="I49" s="180"/>
      <c r="J49" s="180"/>
      <c r="K49" s="180"/>
      <c r="L49" s="180"/>
      <c r="M49" s="180"/>
      <c r="N49" s="180"/>
      <c r="O49" s="180"/>
      <c r="P49" s="180"/>
      <c r="Q49" s="180"/>
      <c r="R49" s="180"/>
      <c r="S49" s="180"/>
      <c r="T49" s="180"/>
      <c r="U49" s="180"/>
      <c r="V49" s="180"/>
      <c r="W49" s="180"/>
      <c r="X49" s="180"/>
      <c r="Y49" s="180"/>
      <c r="Z49" s="132">
        <f t="shared" si="42"/>
        <v>0</v>
      </c>
      <c r="AA49" s="133">
        <f t="shared" si="42"/>
        <v>0</v>
      </c>
      <c r="AB49" s="180"/>
      <c r="AC49" s="180"/>
      <c r="AD49" s="180"/>
      <c r="AE49" s="180"/>
      <c r="AF49" s="180"/>
      <c r="AG49" s="180"/>
      <c r="AH49" s="180"/>
      <c r="AI49" s="200"/>
      <c r="AJ49" s="135">
        <f t="shared" ref="AJ49:AJ61" si="43">SUM(D49:AA49)</f>
        <v>0</v>
      </c>
      <c r="AK49" s="137"/>
      <c r="AL49" s="833"/>
      <c r="AM49" s="136"/>
      <c r="AN49" s="836"/>
      <c r="AO49" s="126"/>
    </row>
    <row r="50" spans="1:41" ht="31.5" thickBot="1" x14ac:dyDescent="0.65">
      <c r="A50" s="863"/>
      <c r="B50" s="723" t="s">
        <v>377</v>
      </c>
      <c r="C50" s="184" t="s">
        <v>398</v>
      </c>
      <c r="D50" s="185"/>
      <c r="E50" s="186"/>
      <c r="F50" s="187"/>
      <c r="G50" s="187"/>
      <c r="H50" s="187"/>
      <c r="I50" s="187"/>
      <c r="J50" s="187"/>
      <c r="K50" s="187"/>
      <c r="L50" s="187"/>
      <c r="M50" s="187"/>
      <c r="N50" s="187"/>
      <c r="O50" s="187"/>
      <c r="P50" s="187"/>
      <c r="Q50" s="187"/>
      <c r="R50" s="187"/>
      <c r="S50" s="187"/>
      <c r="T50" s="187"/>
      <c r="U50" s="187"/>
      <c r="V50" s="187"/>
      <c r="W50" s="187"/>
      <c r="X50" s="187"/>
      <c r="Y50" s="187"/>
      <c r="Z50" s="132">
        <f t="shared" si="42"/>
        <v>0</v>
      </c>
      <c r="AA50" s="133">
        <f t="shared" si="42"/>
        <v>0</v>
      </c>
      <c r="AB50" s="187"/>
      <c r="AC50" s="187"/>
      <c r="AD50" s="187"/>
      <c r="AE50" s="187"/>
      <c r="AF50" s="187"/>
      <c r="AG50" s="187"/>
      <c r="AH50" s="187"/>
      <c r="AI50" s="201"/>
      <c r="AJ50" s="168">
        <f t="shared" si="43"/>
        <v>0</v>
      </c>
      <c r="AK50" s="137"/>
      <c r="AL50" s="833"/>
      <c r="AM50" s="136"/>
      <c r="AN50" s="836"/>
      <c r="AO50" s="126"/>
    </row>
    <row r="51" spans="1:41" x14ac:dyDescent="0.6">
      <c r="A51" s="861" t="s">
        <v>755</v>
      </c>
      <c r="B51" s="720" t="s">
        <v>63</v>
      </c>
      <c r="C51" s="169" t="s">
        <v>125</v>
      </c>
      <c r="D51" s="116"/>
      <c r="E51" s="117"/>
      <c r="F51" s="202">
        <f t="shared" ref="F51:Y51" si="44">F208</f>
        <v>0</v>
      </c>
      <c r="G51" s="202">
        <f t="shared" si="44"/>
        <v>0</v>
      </c>
      <c r="H51" s="202">
        <f t="shared" si="44"/>
        <v>0</v>
      </c>
      <c r="I51" s="202">
        <f t="shared" si="44"/>
        <v>0</v>
      </c>
      <c r="J51" s="202">
        <f t="shared" si="44"/>
        <v>0</v>
      </c>
      <c r="K51" s="202">
        <f t="shared" si="44"/>
        <v>0</v>
      </c>
      <c r="L51" s="202">
        <f t="shared" si="44"/>
        <v>0</v>
      </c>
      <c r="M51" s="202">
        <f t="shared" si="44"/>
        <v>0</v>
      </c>
      <c r="N51" s="202">
        <f t="shared" si="44"/>
        <v>0</v>
      </c>
      <c r="O51" s="202">
        <f t="shared" si="44"/>
        <v>0</v>
      </c>
      <c r="P51" s="202">
        <f t="shared" si="44"/>
        <v>0</v>
      </c>
      <c r="Q51" s="202">
        <f t="shared" si="44"/>
        <v>0</v>
      </c>
      <c r="R51" s="202">
        <f t="shared" si="44"/>
        <v>0</v>
      </c>
      <c r="S51" s="202">
        <f t="shared" si="44"/>
        <v>0</v>
      </c>
      <c r="T51" s="202">
        <f t="shared" si="44"/>
        <v>0</v>
      </c>
      <c r="U51" s="202">
        <f t="shared" si="44"/>
        <v>0</v>
      </c>
      <c r="V51" s="202">
        <f t="shared" si="44"/>
        <v>0</v>
      </c>
      <c r="W51" s="202">
        <f t="shared" si="44"/>
        <v>0</v>
      </c>
      <c r="X51" s="202">
        <f t="shared" si="44"/>
        <v>0</v>
      </c>
      <c r="Y51" s="202">
        <f t="shared" si="44"/>
        <v>0</v>
      </c>
      <c r="Z51" s="132">
        <f t="shared" si="42"/>
        <v>0</v>
      </c>
      <c r="AA51" s="133">
        <f t="shared" si="42"/>
        <v>0</v>
      </c>
      <c r="AB51" s="202">
        <f t="shared" ref="AB51:AI51" si="45">AB208</f>
        <v>0</v>
      </c>
      <c r="AC51" s="202">
        <f t="shared" si="45"/>
        <v>0</v>
      </c>
      <c r="AD51" s="202">
        <f t="shared" si="45"/>
        <v>0</v>
      </c>
      <c r="AE51" s="202">
        <f t="shared" si="45"/>
        <v>0</v>
      </c>
      <c r="AF51" s="202">
        <f t="shared" si="45"/>
        <v>0</v>
      </c>
      <c r="AG51" s="202">
        <f t="shared" si="45"/>
        <v>0</v>
      </c>
      <c r="AH51" s="202">
        <f t="shared" si="45"/>
        <v>0</v>
      </c>
      <c r="AI51" s="203">
        <f t="shared" si="45"/>
        <v>0</v>
      </c>
      <c r="AJ51" s="173">
        <f t="shared" si="43"/>
        <v>0</v>
      </c>
      <c r="AK51" s="990" t="str">
        <f>CONCATENATE(IF(D52&gt;D51," * Positive F01-21 for Age "&amp;D6&amp;" "&amp;D7&amp;" is more than Tested F01-20"&amp;CHAR(10),""),IF(E52&gt;E51," * Positive F01-21 for Age "&amp;D6&amp;" "&amp;E7&amp;" is more than Tested F01-20"&amp;CHAR(10),""),IF(F52&gt;F51," * Positive F01-21 for Age "&amp;F6&amp;" "&amp;F7&amp;" is more than Tested F01-20"&amp;CHAR(10),""),IF(G52&gt;G51," * Positive F01-21 for Age "&amp;F6&amp;" "&amp;G7&amp;" is more than Tested F01-20"&amp;CHAR(10),""),IF(H52&gt;H51," * Positive F01-21 for Age "&amp;H6&amp;" "&amp;H7&amp;" is more than Tested F01-20"&amp;CHAR(10),""),IF(I52&gt;I51," * Positive F01-21 for Age "&amp;H6&amp;" "&amp;I7&amp;" is more than Tested F01-20"&amp;CHAR(10),""),IF(J52&gt;J51," * Positive F01-21 for Age "&amp;J6&amp;" "&amp;J7&amp;" is more than Tested F01-20"&amp;CHAR(10),""),IF(K52&gt;K51," * Positive F01-21 for Age "&amp;J6&amp;" "&amp;K7&amp;" is more than Tested F01-20"&amp;CHAR(10),""),IF(L52&gt;L51," * Positive F01-21 for Age "&amp;L6&amp;" "&amp;L7&amp;" is more than Tested F01-20"&amp;CHAR(10),""),IF(M52&gt;M51," * Positive F01-21 for Age "&amp;L6&amp;" "&amp;M7&amp;" is more than Tested F01-20"&amp;CHAR(10),""),IF(N52&gt;N51," * Positive F01-21 for Age "&amp;N6&amp;" "&amp;N7&amp;" is more than Tested F01-20"&amp;CHAR(10),""),IF(O52&gt;O51," * Positive F01-21 for Age "&amp;N6&amp;" "&amp;O7&amp;" is more than Tested F01-20"&amp;CHAR(10),""),IF(P52&gt;P51," * Positive F01-21 for Age "&amp;P6&amp;" "&amp;P7&amp;" is more than Tested F01-20"&amp;CHAR(10),""),IF(Q52&gt;Q51," * Positive F01-21 for Age "&amp;P6&amp;" "&amp;Q7&amp;" is more than Tested F01-20"&amp;CHAR(10),""),IF(R52&gt;R51," * Positive F01-21 for Age "&amp;R6&amp;" "&amp;R7&amp;" is more than Tested F01-20"&amp;CHAR(10),""),IF(S52&gt;S51," * Positive F01-21 for Age "&amp;R6&amp;" "&amp;S7&amp;" is more than Tested F01-20"&amp;CHAR(10),""),IF(T52&gt;T51," * Positive F01-21 for Age "&amp;T6&amp;" "&amp;T7&amp;" is more than Tested F01-20"&amp;CHAR(10),""),IF(U52&gt;U51," * Positive F01-21 for Age "&amp;T6&amp;" "&amp;U7&amp;" is more than Tested F01-20"&amp;CHAR(10),""),IF(V52&gt;V51," * Positive F01-21 for Age "&amp;V6&amp;" "&amp;V7&amp;" is more than Tested F01-20"&amp;CHAR(10),""),IF(W52&gt;W51," * Positive F01-21 for Age "&amp;V6&amp;" "&amp;W7&amp;" is more than Tested F01-20"&amp;CHAR(10),""),IF(X52&gt;X51," * Positive F01-21 for Age "&amp;X6&amp;" "&amp;X7&amp;" is more than Tested F01-20"&amp;CHAR(10),""),IF(Y52&gt;Y51," * Positive F01-21 for Age "&amp;X6&amp;" "&amp;Y7&amp;" is more than Tested F01-20"&amp;CHAR(10),""),IF(Z52&gt;Z51," * Positive F01-21 for Age "&amp;Z6&amp;" "&amp;Z7&amp;" is more than Tested F01-20"&amp;CHAR(10),""),IF(AA52&gt;AA51," * Positive F01-21 for Age "&amp;Z6&amp;" "&amp;AA7&amp;" is more than Tested F01-20"&amp;CHAR(10),""))</f>
        <v/>
      </c>
      <c r="AL51" s="833"/>
      <c r="AM51" s="136" t="str">
        <f>CONCATENATE(IF(AND(IFERROR((AJ52*100)/AJ51,0)&gt;10,AJ52&gt;5)," * This facility has a high positivity rate for Index Testing. Kindly confirm if this is the true reflection"&amp;CHAR(10),""),"")</f>
        <v/>
      </c>
      <c r="AN51" s="836"/>
      <c r="AO51" s="126">
        <v>40</v>
      </c>
    </row>
    <row r="52" spans="1:41" x14ac:dyDescent="0.6">
      <c r="A52" s="862"/>
      <c r="B52" s="721" t="s">
        <v>61</v>
      </c>
      <c r="C52" s="175" t="s">
        <v>73</v>
      </c>
      <c r="D52" s="128"/>
      <c r="E52" s="129"/>
      <c r="F52" s="204">
        <f t="shared" ref="F52:Y52" si="46">F210</f>
        <v>0</v>
      </c>
      <c r="G52" s="204">
        <f t="shared" si="46"/>
        <v>0</v>
      </c>
      <c r="H52" s="204">
        <f t="shared" si="46"/>
        <v>0</v>
      </c>
      <c r="I52" s="204">
        <f t="shared" si="46"/>
        <v>0</v>
      </c>
      <c r="J52" s="204">
        <f t="shared" si="46"/>
        <v>0</v>
      </c>
      <c r="K52" s="204">
        <f t="shared" si="46"/>
        <v>0</v>
      </c>
      <c r="L52" s="204">
        <f t="shared" si="46"/>
        <v>0</v>
      </c>
      <c r="M52" s="204">
        <f t="shared" si="46"/>
        <v>0</v>
      </c>
      <c r="N52" s="204">
        <f t="shared" si="46"/>
        <v>0</v>
      </c>
      <c r="O52" s="204">
        <f t="shared" si="46"/>
        <v>0</v>
      </c>
      <c r="P52" s="204">
        <f t="shared" si="46"/>
        <v>0</v>
      </c>
      <c r="Q52" s="204">
        <f t="shared" si="46"/>
        <v>0</v>
      </c>
      <c r="R52" s="204">
        <f t="shared" si="46"/>
        <v>0</v>
      </c>
      <c r="S52" s="204">
        <f t="shared" si="46"/>
        <v>0</v>
      </c>
      <c r="T52" s="204">
        <f t="shared" si="46"/>
        <v>0</v>
      </c>
      <c r="U52" s="204">
        <f t="shared" si="46"/>
        <v>0</v>
      </c>
      <c r="V52" s="204">
        <f t="shared" si="46"/>
        <v>0</v>
      </c>
      <c r="W52" s="204">
        <f t="shared" si="46"/>
        <v>0</v>
      </c>
      <c r="X52" s="204">
        <f t="shared" si="46"/>
        <v>0</v>
      </c>
      <c r="Y52" s="204">
        <f t="shared" si="46"/>
        <v>0</v>
      </c>
      <c r="Z52" s="132">
        <f t="shared" si="42"/>
        <v>0</v>
      </c>
      <c r="AA52" s="133">
        <f t="shared" si="42"/>
        <v>0</v>
      </c>
      <c r="AB52" s="204">
        <f t="shared" ref="AB52:AI52" si="47">AB210</f>
        <v>0</v>
      </c>
      <c r="AC52" s="204">
        <f t="shared" si="47"/>
        <v>0</v>
      </c>
      <c r="AD52" s="204">
        <f t="shared" si="47"/>
        <v>0</v>
      </c>
      <c r="AE52" s="204">
        <f t="shared" si="47"/>
        <v>0</v>
      </c>
      <c r="AF52" s="204">
        <f t="shared" si="47"/>
        <v>0</v>
      </c>
      <c r="AG52" s="204">
        <f t="shared" si="47"/>
        <v>0</v>
      </c>
      <c r="AH52" s="204">
        <f t="shared" si="47"/>
        <v>0</v>
      </c>
      <c r="AI52" s="205">
        <f t="shared" si="47"/>
        <v>0</v>
      </c>
      <c r="AJ52" s="135">
        <f t="shared" si="43"/>
        <v>0</v>
      </c>
      <c r="AK52" s="990"/>
      <c r="AL52" s="833"/>
      <c r="AM52" s="136"/>
      <c r="AN52" s="836"/>
      <c r="AO52" s="126">
        <v>41</v>
      </c>
    </row>
    <row r="53" spans="1:41" x14ac:dyDescent="0.6">
      <c r="A53" s="862"/>
      <c r="B53" s="724" t="s">
        <v>389</v>
      </c>
      <c r="C53" s="206" t="s">
        <v>707</v>
      </c>
      <c r="D53" s="128"/>
      <c r="E53" s="129"/>
      <c r="F53" s="180"/>
      <c r="G53" s="180"/>
      <c r="H53" s="180"/>
      <c r="I53" s="180"/>
      <c r="J53" s="180"/>
      <c r="K53" s="180"/>
      <c r="L53" s="180"/>
      <c r="M53" s="180"/>
      <c r="N53" s="180"/>
      <c r="O53" s="180"/>
      <c r="P53" s="180"/>
      <c r="Q53" s="180"/>
      <c r="R53" s="180"/>
      <c r="S53" s="180"/>
      <c r="T53" s="180"/>
      <c r="U53" s="180"/>
      <c r="V53" s="180"/>
      <c r="W53" s="180"/>
      <c r="X53" s="180"/>
      <c r="Y53" s="180"/>
      <c r="Z53" s="132">
        <f t="shared" si="42"/>
        <v>0</v>
      </c>
      <c r="AA53" s="133">
        <f t="shared" si="42"/>
        <v>0</v>
      </c>
      <c r="AB53" s="180"/>
      <c r="AC53" s="180"/>
      <c r="AD53" s="180"/>
      <c r="AE53" s="180"/>
      <c r="AF53" s="180"/>
      <c r="AG53" s="180"/>
      <c r="AH53" s="180"/>
      <c r="AI53" s="200"/>
      <c r="AJ53" s="135">
        <f t="shared" si="43"/>
        <v>0</v>
      </c>
      <c r="AK53" s="137"/>
      <c r="AL53" s="833"/>
      <c r="AM53" s="136"/>
      <c r="AN53" s="836"/>
      <c r="AO53" s="126"/>
    </row>
    <row r="54" spans="1:41" x14ac:dyDescent="0.6">
      <c r="A54" s="862"/>
      <c r="B54" s="724" t="s">
        <v>373</v>
      </c>
      <c r="C54" s="206" t="s">
        <v>708</v>
      </c>
      <c r="D54" s="128"/>
      <c r="E54" s="129"/>
      <c r="F54" s="180"/>
      <c r="G54" s="180"/>
      <c r="H54" s="180"/>
      <c r="I54" s="180"/>
      <c r="J54" s="180"/>
      <c r="K54" s="180"/>
      <c r="L54" s="180"/>
      <c r="M54" s="180"/>
      <c r="N54" s="180"/>
      <c r="O54" s="180"/>
      <c r="P54" s="180"/>
      <c r="Q54" s="180"/>
      <c r="R54" s="180"/>
      <c r="S54" s="180"/>
      <c r="T54" s="180"/>
      <c r="U54" s="180"/>
      <c r="V54" s="180"/>
      <c r="W54" s="180"/>
      <c r="X54" s="180"/>
      <c r="Y54" s="180"/>
      <c r="Z54" s="132">
        <f t="shared" si="42"/>
        <v>0</v>
      </c>
      <c r="AA54" s="133">
        <f t="shared" si="42"/>
        <v>0</v>
      </c>
      <c r="AB54" s="180"/>
      <c r="AC54" s="180"/>
      <c r="AD54" s="180"/>
      <c r="AE54" s="180"/>
      <c r="AF54" s="180"/>
      <c r="AG54" s="180"/>
      <c r="AH54" s="180"/>
      <c r="AI54" s="200"/>
      <c r="AJ54" s="135">
        <f t="shared" si="43"/>
        <v>0</v>
      </c>
      <c r="AK54" s="137"/>
      <c r="AL54" s="833"/>
      <c r="AM54" s="136"/>
      <c r="AN54" s="836"/>
      <c r="AO54" s="126"/>
    </row>
    <row r="55" spans="1:41" x14ac:dyDescent="0.6">
      <c r="A55" s="862"/>
      <c r="B55" s="724" t="s">
        <v>375</v>
      </c>
      <c r="C55" s="206" t="s">
        <v>709</v>
      </c>
      <c r="D55" s="128"/>
      <c r="E55" s="129"/>
      <c r="F55" s="180"/>
      <c r="G55" s="180"/>
      <c r="H55" s="180"/>
      <c r="I55" s="180"/>
      <c r="J55" s="180"/>
      <c r="K55" s="180"/>
      <c r="L55" s="180"/>
      <c r="M55" s="180"/>
      <c r="N55" s="180"/>
      <c r="O55" s="180"/>
      <c r="P55" s="180"/>
      <c r="Q55" s="180"/>
      <c r="R55" s="180"/>
      <c r="S55" s="180"/>
      <c r="T55" s="180"/>
      <c r="U55" s="180"/>
      <c r="V55" s="180"/>
      <c r="W55" s="180"/>
      <c r="X55" s="180"/>
      <c r="Y55" s="180"/>
      <c r="Z55" s="132">
        <f t="shared" si="42"/>
        <v>0</v>
      </c>
      <c r="AA55" s="133">
        <f t="shared" si="42"/>
        <v>0</v>
      </c>
      <c r="AB55" s="180"/>
      <c r="AC55" s="180"/>
      <c r="AD55" s="180"/>
      <c r="AE55" s="180"/>
      <c r="AF55" s="180"/>
      <c r="AG55" s="180"/>
      <c r="AH55" s="180"/>
      <c r="AI55" s="200"/>
      <c r="AJ55" s="135">
        <f t="shared" si="43"/>
        <v>0</v>
      </c>
      <c r="AK55" s="137"/>
      <c r="AL55" s="833"/>
      <c r="AM55" s="136"/>
      <c r="AN55" s="836"/>
      <c r="AO55" s="126"/>
    </row>
    <row r="56" spans="1:41" ht="31.5" thickBot="1" x14ac:dyDescent="0.65">
      <c r="A56" s="863"/>
      <c r="B56" s="725" t="s">
        <v>377</v>
      </c>
      <c r="C56" s="207" t="s">
        <v>710</v>
      </c>
      <c r="D56" s="208"/>
      <c r="E56" s="209"/>
      <c r="F56" s="210"/>
      <c r="G56" s="210"/>
      <c r="H56" s="210"/>
      <c r="I56" s="210"/>
      <c r="J56" s="210"/>
      <c r="K56" s="210"/>
      <c r="L56" s="210"/>
      <c r="M56" s="210"/>
      <c r="N56" s="210"/>
      <c r="O56" s="210"/>
      <c r="P56" s="210"/>
      <c r="Q56" s="210"/>
      <c r="R56" s="210"/>
      <c r="S56" s="210"/>
      <c r="T56" s="210"/>
      <c r="U56" s="210"/>
      <c r="V56" s="210"/>
      <c r="W56" s="210"/>
      <c r="X56" s="210"/>
      <c r="Y56" s="210"/>
      <c r="Z56" s="132">
        <f t="shared" si="42"/>
        <v>0</v>
      </c>
      <c r="AA56" s="133">
        <f t="shared" si="42"/>
        <v>0</v>
      </c>
      <c r="AB56" s="187"/>
      <c r="AC56" s="187"/>
      <c r="AD56" s="187"/>
      <c r="AE56" s="187"/>
      <c r="AF56" s="187"/>
      <c r="AG56" s="187"/>
      <c r="AH56" s="187"/>
      <c r="AI56" s="201"/>
      <c r="AJ56" s="168">
        <f t="shared" si="43"/>
        <v>0</v>
      </c>
      <c r="AK56" s="137"/>
      <c r="AL56" s="833"/>
      <c r="AM56" s="136"/>
      <c r="AN56" s="836"/>
      <c r="AO56" s="126"/>
    </row>
    <row r="57" spans="1:41" x14ac:dyDescent="0.6">
      <c r="A57" s="861" t="s">
        <v>756</v>
      </c>
      <c r="B57" s="726" t="s">
        <v>63</v>
      </c>
      <c r="C57" s="211" t="s">
        <v>677</v>
      </c>
      <c r="D57" s="116"/>
      <c r="E57" s="212"/>
      <c r="F57" s="213">
        <f t="shared" ref="F57:AI57" si="48">F152</f>
        <v>0</v>
      </c>
      <c r="G57" s="213">
        <f t="shared" si="48"/>
        <v>0</v>
      </c>
      <c r="H57" s="213">
        <f t="shared" si="48"/>
        <v>0</v>
      </c>
      <c r="I57" s="213">
        <f t="shared" si="48"/>
        <v>0</v>
      </c>
      <c r="J57" s="213">
        <f t="shared" si="48"/>
        <v>0</v>
      </c>
      <c r="K57" s="213">
        <f t="shared" si="48"/>
        <v>0</v>
      </c>
      <c r="L57" s="213">
        <f t="shared" si="48"/>
        <v>0</v>
      </c>
      <c r="M57" s="213">
        <f t="shared" si="48"/>
        <v>0</v>
      </c>
      <c r="N57" s="213">
        <f t="shared" si="48"/>
        <v>0</v>
      </c>
      <c r="O57" s="213">
        <f t="shared" si="48"/>
        <v>0</v>
      </c>
      <c r="P57" s="213">
        <f t="shared" si="48"/>
        <v>0</v>
      </c>
      <c r="Q57" s="213">
        <f t="shared" si="48"/>
        <v>0</v>
      </c>
      <c r="R57" s="213">
        <f t="shared" si="48"/>
        <v>0</v>
      </c>
      <c r="S57" s="213">
        <f t="shared" si="48"/>
        <v>0</v>
      </c>
      <c r="T57" s="213">
        <f t="shared" si="48"/>
        <v>0</v>
      </c>
      <c r="U57" s="213">
        <f t="shared" si="48"/>
        <v>0</v>
      </c>
      <c r="V57" s="213">
        <f t="shared" si="48"/>
        <v>0</v>
      </c>
      <c r="W57" s="213">
        <f t="shared" si="48"/>
        <v>0</v>
      </c>
      <c r="X57" s="213">
        <f t="shared" si="48"/>
        <v>0</v>
      </c>
      <c r="Y57" s="214">
        <f t="shared" si="48"/>
        <v>0</v>
      </c>
      <c r="Z57" s="215">
        <f t="shared" si="48"/>
        <v>0</v>
      </c>
      <c r="AA57" s="133">
        <f t="shared" si="48"/>
        <v>0</v>
      </c>
      <c r="AB57" s="202">
        <f t="shared" si="48"/>
        <v>0</v>
      </c>
      <c r="AC57" s="202">
        <f t="shared" si="48"/>
        <v>0</v>
      </c>
      <c r="AD57" s="202">
        <f t="shared" si="48"/>
        <v>0</v>
      </c>
      <c r="AE57" s="202">
        <f t="shared" si="48"/>
        <v>0</v>
      </c>
      <c r="AF57" s="202">
        <f t="shared" si="48"/>
        <v>0</v>
      </c>
      <c r="AG57" s="202">
        <f t="shared" si="48"/>
        <v>0</v>
      </c>
      <c r="AH57" s="202">
        <f t="shared" si="48"/>
        <v>0</v>
      </c>
      <c r="AI57" s="203">
        <f t="shared" si="48"/>
        <v>0</v>
      </c>
      <c r="AJ57" s="173">
        <f t="shared" si="43"/>
        <v>0</v>
      </c>
      <c r="AK57" s="137"/>
      <c r="AL57" s="833"/>
      <c r="AM57" s="136"/>
      <c r="AN57" s="836"/>
      <c r="AO57" s="126"/>
    </row>
    <row r="58" spans="1:41" x14ac:dyDescent="0.6">
      <c r="A58" s="862"/>
      <c r="B58" s="727" t="s">
        <v>61</v>
      </c>
      <c r="C58" s="206" t="s">
        <v>678</v>
      </c>
      <c r="D58" s="128"/>
      <c r="E58" s="139"/>
      <c r="F58" s="216">
        <f t="shared" ref="F58:Y58" si="49">F153</f>
        <v>0</v>
      </c>
      <c r="G58" s="216">
        <f t="shared" si="49"/>
        <v>0</v>
      </c>
      <c r="H58" s="216">
        <f t="shared" si="49"/>
        <v>0</v>
      </c>
      <c r="I58" s="216">
        <f t="shared" si="49"/>
        <v>0</v>
      </c>
      <c r="J58" s="216">
        <f t="shared" si="49"/>
        <v>0</v>
      </c>
      <c r="K58" s="216">
        <f t="shared" si="49"/>
        <v>0</v>
      </c>
      <c r="L58" s="216">
        <f t="shared" si="49"/>
        <v>0</v>
      </c>
      <c r="M58" s="216">
        <f t="shared" si="49"/>
        <v>0</v>
      </c>
      <c r="N58" s="216">
        <f t="shared" si="49"/>
        <v>0</v>
      </c>
      <c r="O58" s="216">
        <f t="shared" si="49"/>
        <v>0</v>
      </c>
      <c r="P58" s="216">
        <f t="shared" si="49"/>
        <v>0</v>
      </c>
      <c r="Q58" s="216">
        <f t="shared" si="49"/>
        <v>0</v>
      </c>
      <c r="R58" s="216">
        <f t="shared" si="49"/>
        <v>0</v>
      </c>
      <c r="S58" s="216">
        <f t="shared" si="49"/>
        <v>0</v>
      </c>
      <c r="T58" s="216">
        <f t="shared" si="49"/>
        <v>0</v>
      </c>
      <c r="U58" s="216">
        <f t="shared" si="49"/>
        <v>0</v>
      </c>
      <c r="V58" s="216">
        <f t="shared" si="49"/>
        <v>0</v>
      </c>
      <c r="W58" s="216">
        <f t="shared" si="49"/>
        <v>0</v>
      </c>
      <c r="X58" s="216">
        <f t="shared" si="49"/>
        <v>0</v>
      </c>
      <c r="Y58" s="217">
        <f t="shared" si="49"/>
        <v>0</v>
      </c>
      <c r="Z58" s="215">
        <f t="shared" ref="Z58:Z62" si="50">SUM(AB58,AD58,AF58,AH58)</f>
        <v>0</v>
      </c>
      <c r="AA58" s="133">
        <f t="shared" ref="AA58:AA62" si="51">SUM(AC58,AE58,AG58,AI58)</f>
        <v>0</v>
      </c>
      <c r="AB58" s="204">
        <f t="shared" ref="AB58:AI58" si="52">AB153</f>
        <v>0</v>
      </c>
      <c r="AC58" s="204">
        <f t="shared" si="52"/>
        <v>0</v>
      </c>
      <c r="AD58" s="204">
        <f t="shared" si="52"/>
        <v>0</v>
      </c>
      <c r="AE58" s="204">
        <f t="shared" si="52"/>
        <v>0</v>
      </c>
      <c r="AF58" s="204">
        <f t="shared" si="52"/>
        <v>0</v>
      </c>
      <c r="AG58" s="204">
        <f t="shared" si="52"/>
        <v>0</v>
      </c>
      <c r="AH58" s="204">
        <f t="shared" si="52"/>
        <v>0</v>
      </c>
      <c r="AI58" s="205">
        <f t="shared" si="52"/>
        <v>0</v>
      </c>
      <c r="AJ58" s="135">
        <f t="shared" si="43"/>
        <v>0</v>
      </c>
      <c r="AK58" s="179" t="str">
        <f>CONCATENATE(IF((D59+D60+D61+D62)&lt;&gt;D58," * "&amp;$A58&amp;" , "&amp;$B59&amp;" plus "&amp;$B60&amp;" plus "&amp;$B61&amp;" plus "&amp;$B62&amp;" For age "&amp;$D$6&amp;" "&amp;$D$7&amp;" should be equal to "&amp;$B58&amp;""&amp;CHAR(10),""),IF((E59+E60+E61+E62)&lt;&gt;E58," * "&amp;$A58&amp;" , "&amp;$B59&amp;" plus "&amp;$B60&amp;" plus "&amp;$B61&amp;" plus "&amp;$B62&amp;" For age "&amp;$D$6&amp;" "&amp;$E$7&amp;" should be equal to "&amp;$B58&amp;""&amp;CHAR(10),""),IF((F59+F60+F61+F62)&lt;&gt;F58," * "&amp;$A58&amp;" , "&amp;$B59&amp;" plus "&amp;$B60&amp;" plus "&amp;$B61&amp;" plus "&amp;$B62&amp;" For age "&amp;$F$6&amp;" "&amp;$F$7&amp;" should be equal to "&amp;$B58&amp;""&amp;CHAR(10),""),IF((G59+G60+G61+G62)&lt;&gt;G58," * "&amp;$A58&amp;" , "&amp;$B59&amp;" plus "&amp;$B60&amp;" plus "&amp;$B61&amp;" plus "&amp;$B62&amp;" For age "&amp;$F$6&amp;" "&amp;$G$7&amp;" should be equal to "&amp;$B58&amp;""&amp;CHAR(10),""),IF((H59+H60+H61+H62)&lt;&gt;H58," * "&amp;$A58&amp;" , "&amp;$B59&amp;" plus "&amp;$B60&amp;" plus "&amp;$B61&amp;" plus "&amp;$B62&amp;" For age "&amp;$H$6&amp;" "&amp;$H$7&amp;" should be equal to "&amp;$B58&amp;""&amp;CHAR(10),""),IF((I59+I60+I61+I62)&lt;&gt;I58," * "&amp;$A58&amp;" , "&amp;$B59&amp;" plus "&amp;$B60&amp;" plus "&amp;$B61&amp;" plus "&amp;$B62&amp;" For age "&amp;$H$6&amp;" "&amp;$I$7&amp;" should be equal to "&amp;$B58&amp;""&amp;CHAR(10),""),IF((J59+J60+J61+J62)&lt;&gt;J58," * "&amp;$A58&amp;" , "&amp;$B59&amp;" plus "&amp;$B60&amp;" plus "&amp;$B61&amp;" plus "&amp;$B62&amp;" For age "&amp;$J$6&amp;" "&amp;$J$7&amp;" should be equal to "&amp;$B58&amp;""&amp;CHAR(10),""),IF((K59+K60+K61+K62)&lt;&gt;K58," * "&amp;$A58&amp;" , "&amp;$B59&amp;" plus "&amp;$B60&amp;" plus "&amp;$B61&amp;" plus "&amp;$B62&amp;" For age "&amp;$J$6&amp;" "&amp;$K$7&amp;" should be equal to "&amp;$B58&amp;""&amp;CHAR(10),""),IF((L59+L60+L61+L62)&lt;&gt;L58," * "&amp;$A58&amp;" , "&amp;$B59&amp;" plus "&amp;$B60&amp;" plus "&amp;$B61&amp;" plus "&amp;$B62&amp;" For age "&amp;$L$6&amp;" "&amp;$L$7&amp;" should be equal to "&amp;$B58&amp;""&amp;CHAR(10),""),IF((M59+M60+M61+M62)&lt;&gt;M58," * "&amp;$A58&amp;" , "&amp;$B59&amp;" plus "&amp;$B60&amp;" plus "&amp;$B61&amp;" plus "&amp;$B62&amp;" For age "&amp;$L$6&amp;" "&amp;$M$7&amp;" should be equal to "&amp;$B58&amp;""&amp;CHAR(10),""),IF((N59+N60+N61+N62)&lt;&gt;N58," * "&amp;$A58&amp;" , "&amp;$B59&amp;" plus "&amp;$B60&amp;" plus "&amp;$B61&amp;" plus "&amp;$B62&amp;" For age "&amp;$N$6&amp;" "&amp;$N$7&amp;" should be equal to "&amp;$B58&amp;""&amp;CHAR(10),""),IF((O59+O60+O61+O62)&lt;&gt;O58," * "&amp;$A58&amp;" , "&amp;$B59&amp;" plus "&amp;$B60&amp;" plus "&amp;$B61&amp;" plus "&amp;$B62&amp;" For age "&amp;$N$6&amp;" "&amp;$O$7&amp;" should be equal to "&amp;$B58&amp;""&amp;CHAR(10),""),IF((P59+P60+P61+P62)&lt;&gt;P58," * "&amp;$A58&amp;" , "&amp;$B59&amp;" plus "&amp;$B60&amp;" plus "&amp;$B61&amp;" plus "&amp;$B62&amp;" For age "&amp;$P$6&amp;" "&amp;$P$7&amp;" should be equal to "&amp;$B58&amp;""&amp;CHAR(10),""),IF((Q59+Q60+Q61+Q62)&lt;&gt;Q58," * "&amp;$A58&amp;" , "&amp;$B59&amp;" plus "&amp;$B60&amp;" plus "&amp;$B61&amp;" plus "&amp;$B62&amp;" For age "&amp;$P$6&amp;" "&amp;$Q$7&amp;" should be equal to "&amp;$B58&amp;""&amp;CHAR(10),""),IF((R59+R60+R61+R62)&lt;&gt;R58," * "&amp;$A58&amp;" , "&amp;$B59&amp;" plus "&amp;$B60&amp;" plus "&amp;$B61&amp;" plus "&amp;$B62&amp;" For age "&amp;$R$6&amp;" "&amp;$R$7&amp;" should be equal to "&amp;$B58&amp;""&amp;CHAR(10),""),IF((S59+S60+S61+S62)&lt;&gt;S58," * "&amp;$A58&amp;" , "&amp;$B59&amp;" plus "&amp;$B60&amp;" plus "&amp;$B61&amp;" plus "&amp;$B62&amp;" For age "&amp;$R$6&amp;" "&amp;$S$7&amp;" should be equal to "&amp;$B58&amp;""&amp;CHAR(10),""),IF((T59+T60+T61+T62)&lt;&gt;T58," * "&amp;$A58&amp;" , "&amp;$B59&amp;" plus "&amp;$B60&amp;" plus "&amp;$B61&amp;" plus "&amp;$B62&amp;" For age "&amp;$T$6&amp;" "&amp;$T$7&amp;" should be equal to "&amp;$B58&amp;""&amp;CHAR(10),""),IF((U59+U60+U61+U62)&lt;&gt;U58," * "&amp;$A58&amp;" , "&amp;$B59&amp;" plus "&amp;$B60&amp;" plus "&amp;$B61&amp;" plus "&amp;$B62&amp;" For age "&amp;$T$6&amp;" "&amp;$U$7&amp;" should be equal to "&amp;$B58&amp;""&amp;CHAR(10),""),IF((V59+V60+V61+V62)&lt;&gt;V58," * "&amp;$A58&amp;" , "&amp;$B59&amp;" plus "&amp;$B60&amp;" plus "&amp;$B61&amp;" plus "&amp;$B62&amp;" For age "&amp;$V$6&amp;" "&amp;$V$7&amp;" should be equal to "&amp;$B58&amp;""&amp;CHAR(10),""),IF((W59+W60+W61+W62)&lt;&gt;W58," * "&amp;$A58&amp;" , "&amp;$B59&amp;" plus "&amp;$B60&amp;" plus "&amp;$B61&amp;" plus "&amp;$B62&amp;" For age "&amp;$V$6&amp;" "&amp;$W$7&amp;" should be equal to "&amp;$B58&amp;""&amp;CHAR(10),""),IF((X59+X60+X61+X62)&lt;&gt;X58," * "&amp;$A58&amp;" , "&amp;$B59&amp;" plus "&amp;$B60&amp;" plus "&amp;$B61&amp;" plus "&amp;$B62&amp;" For age "&amp;$X$6&amp;" "&amp;$X$7&amp;" should be equal to "&amp;$B58&amp;""&amp;CHAR(10),""),IF((Y59+Y60+Y61+Y62)&lt;&gt;Y58," * "&amp;$A58&amp;" , "&amp;$B59&amp;" plus "&amp;$B60&amp;" plus "&amp;$B61&amp;" plus "&amp;$B62&amp;" For age "&amp;$X$6&amp;" "&amp;$Y$7&amp;" should be equal to "&amp;$B58&amp;""&amp;CHAR(10),""),IF((Z59+Z60+Z61+Z62)&lt;&gt;Z58," * "&amp;$A58&amp;" , "&amp;$B59&amp;" plus "&amp;$B60&amp;" plus "&amp;$B61&amp;" plus "&amp;$B62&amp;" For age "&amp;$Z$6&amp;" "&amp;$Z$7&amp;" should be equal to "&amp;$B58&amp;""&amp;CHAR(10),""),IF((AA59+AA60+AA61+AA62)&lt;&gt;AA58," * "&amp;$A58&amp;" , "&amp;$B59&amp;" plus "&amp;$B60&amp;" plus "&amp;$B61&amp;" plus "&amp;$B62&amp;" For age "&amp;$Z$6&amp;" "&amp;$AA$7&amp;" should be equal to "&amp;$B58&amp;""&amp;CHAR(10),""))</f>
        <v/>
      </c>
      <c r="AL58" s="833"/>
      <c r="AM58" s="136"/>
      <c r="AN58" s="836"/>
      <c r="AO58" s="126"/>
    </row>
    <row r="59" spans="1:41" x14ac:dyDescent="0.6">
      <c r="A59" s="862"/>
      <c r="B59" s="724" t="s">
        <v>389</v>
      </c>
      <c r="C59" s="206" t="s">
        <v>679</v>
      </c>
      <c r="D59" s="128"/>
      <c r="E59" s="139"/>
      <c r="F59" s="218">
        <f t="shared" ref="F59:Y59" si="53">F154</f>
        <v>0</v>
      </c>
      <c r="G59" s="218">
        <f t="shared" si="53"/>
        <v>0</v>
      </c>
      <c r="H59" s="218">
        <f t="shared" si="53"/>
        <v>0</v>
      </c>
      <c r="I59" s="218">
        <f t="shared" si="53"/>
        <v>0</v>
      </c>
      <c r="J59" s="218">
        <f t="shared" si="53"/>
        <v>0</v>
      </c>
      <c r="K59" s="218">
        <f t="shared" si="53"/>
        <v>0</v>
      </c>
      <c r="L59" s="218">
        <f t="shared" si="53"/>
        <v>0</v>
      </c>
      <c r="M59" s="218">
        <f t="shared" si="53"/>
        <v>0</v>
      </c>
      <c r="N59" s="218">
        <f t="shared" si="53"/>
        <v>0</v>
      </c>
      <c r="O59" s="218">
        <f t="shared" si="53"/>
        <v>0</v>
      </c>
      <c r="P59" s="218">
        <f t="shared" si="53"/>
        <v>0</v>
      </c>
      <c r="Q59" s="218">
        <f t="shared" si="53"/>
        <v>0</v>
      </c>
      <c r="R59" s="218">
        <f t="shared" si="53"/>
        <v>0</v>
      </c>
      <c r="S59" s="218">
        <f t="shared" si="53"/>
        <v>0</v>
      </c>
      <c r="T59" s="218">
        <f t="shared" si="53"/>
        <v>0</v>
      </c>
      <c r="U59" s="218">
        <f t="shared" si="53"/>
        <v>0</v>
      </c>
      <c r="V59" s="218">
        <f t="shared" si="53"/>
        <v>0</v>
      </c>
      <c r="W59" s="218">
        <f t="shared" si="53"/>
        <v>0</v>
      </c>
      <c r="X59" s="218">
        <f t="shared" si="53"/>
        <v>0</v>
      </c>
      <c r="Y59" s="219">
        <f t="shared" si="53"/>
        <v>0</v>
      </c>
      <c r="Z59" s="215">
        <f t="shared" si="50"/>
        <v>0</v>
      </c>
      <c r="AA59" s="133">
        <f t="shared" si="51"/>
        <v>0</v>
      </c>
      <c r="AB59" s="180"/>
      <c r="AC59" s="180"/>
      <c r="AD59" s="180"/>
      <c r="AE59" s="180"/>
      <c r="AF59" s="180"/>
      <c r="AG59" s="180"/>
      <c r="AH59" s="180"/>
      <c r="AI59" s="200"/>
      <c r="AJ59" s="135">
        <f t="shared" si="43"/>
        <v>0</v>
      </c>
      <c r="AK59" s="137"/>
      <c r="AL59" s="833"/>
      <c r="AM59" s="136"/>
      <c r="AN59" s="836"/>
      <c r="AO59" s="126"/>
    </row>
    <row r="60" spans="1:41" x14ac:dyDescent="0.6">
      <c r="A60" s="862"/>
      <c r="B60" s="724" t="s">
        <v>373</v>
      </c>
      <c r="C60" s="206" t="s">
        <v>680</v>
      </c>
      <c r="D60" s="128"/>
      <c r="E60" s="139"/>
      <c r="F60" s="218">
        <f t="shared" ref="F60:Y60" si="54">F155</f>
        <v>0</v>
      </c>
      <c r="G60" s="218">
        <f t="shared" si="54"/>
        <v>0</v>
      </c>
      <c r="H60" s="218">
        <f t="shared" si="54"/>
        <v>0</v>
      </c>
      <c r="I60" s="218">
        <f t="shared" si="54"/>
        <v>0</v>
      </c>
      <c r="J60" s="218">
        <f t="shared" si="54"/>
        <v>0</v>
      </c>
      <c r="K60" s="218">
        <f t="shared" si="54"/>
        <v>0</v>
      </c>
      <c r="L60" s="218">
        <f t="shared" si="54"/>
        <v>0</v>
      </c>
      <c r="M60" s="218">
        <f t="shared" si="54"/>
        <v>0</v>
      </c>
      <c r="N60" s="218">
        <f t="shared" si="54"/>
        <v>0</v>
      </c>
      <c r="O60" s="218">
        <f t="shared" si="54"/>
        <v>0</v>
      </c>
      <c r="P60" s="218">
        <f t="shared" si="54"/>
        <v>0</v>
      </c>
      <c r="Q60" s="218">
        <f t="shared" si="54"/>
        <v>0</v>
      </c>
      <c r="R60" s="218">
        <f t="shared" si="54"/>
        <v>0</v>
      </c>
      <c r="S60" s="218">
        <f t="shared" si="54"/>
        <v>0</v>
      </c>
      <c r="T60" s="218">
        <f t="shared" si="54"/>
        <v>0</v>
      </c>
      <c r="U60" s="218">
        <f t="shared" si="54"/>
        <v>0</v>
      </c>
      <c r="V60" s="218">
        <f t="shared" si="54"/>
        <v>0</v>
      </c>
      <c r="W60" s="218">
        <f t="shared" si="54"/>
        <v>0</v>
      </c>
      <c r="X60" s="218">
        <f t="shared" si="54"/>
        <v>0</v>
      </c>
      <c r="Y60" s="219">
        <f t="shared" si="54"/>
        <v>0</v>
      </c>
      <c r="Z60" s="215">
        <f t="shared" si="50"/>
        <v>0</v>
      </c>
      <c r="AA60" s="133">
        <f t="shared" si="51"/>
        <v>0</v>
      </c>
      <c r="AB60" s="180"/>
      <c r="AC60" s="180"/>
      <c r="AD60" s="180"/>
      <c r="AE60" s="180"/>
      <c r="AF60" s="180"/>
      <c r="AG60" s="180"/>
      <c r="AH60" s="180"/>
      <c r="AI60" s="200"/>
      <c r="AJ60" s="135">
        <f t="shared" si="43"/>
        <v>0</v>
      </c>
      <c r="AK60" s="137"/>
      <c r="AL60" s="833"/>
      <c r="AM60" s="136"/>
      <c r="AN60" s="836"/>
      <c r="AO60" s="126"/>
    </row>
    <row r="61" spans="1:41" x14ac:dyDescent="0.6">
      <c r="A61" s="862"/>
      <c r="B61" s="724" t="s">
        <v>375</v>
      </c>
      <c r="C61" s="206" t="s">
        <v>681</v>
      </c>
      <c r="D61" s="128"/>
      <c r="E61" s="139"/>
      <c r="F61" s="218">
        <f t="shared" ref="F61:Y61" si="55">F156</f>
        <v>0</v>
      </c>
      <c r="G61" s="218">
        <f t="shared" si="55"/>
        <v>0</v>
      </c>
      <c r="H61" s="218">
        <f t="shared" si="55"/>
        <v>0</v>
      </c>
      <c r="I61" s="218">
        <f t="shared" si="55"/>
        <v>0</v>
      </c>
      <c r="J61" s="218">
        <f t="shared" si="55"/>
        <v>0</v>
      </c>
      <c r="K61" s="218">
        <f t="shared" si="55"/>
        <v>0</v>
      </c>
      <c r="L61" s="218">
        <f t="shared" si="55"/>
        <v>0</v>
      </c>
      <c r="M61" s="218">
        <f t="shared" si="55"/>
        <v>0</v>
      </c>
      <c r="N61" s="218">
        <f t="shared" si="55"/>
        <v>0</v>
      </c>
      <c r="O61" s="218">
        <f t="shared" si="55"/>
        <v>0</v>
      </c>
      <c r="P61" s="218">
        <f t="shared" si="55"/>
        <v>0</v>
      </c>
      <c r="Q61" s="218">
        <f t="shared" si="55"/>
        <v>0</v>
      </c>
      <c r="R61" s="218">
        <f t="shared" si="55"/>
        <v>0</v>
      </c>
      <c r="S61" s="218">
        <f t="shared" si="55"/>
        <v>0</v>
      </c>
      <c r="T61" s="218">
        <f t="shared" si="55"/>
        <v>0</v>
      </c>
      <c r="U61" s="218">
        <f t="shared" si="55"/>
        <v>0</v>
      </c>
      <c r="V61" s="218">
        <f t="shared" si="55"/>
        <v>0</v>
      </c>
      <c r="W61" s="218">
        <f t="shared" si="55"/>
        <v>0</v>
      </c>
      <c r="X61" s="218">
        <f t="shared" si="55"/>
        <v>0</v>
      </c>
      <c r="Y61" s="219">
        <f t="shared" si="55"/>
        <v>0</v>
      </c>
      <c r="Z61" s="215">
        <f t="shared" si="50"/>
        <v>0</v>
      </c>
      <c r="AA61" s="133">
        <f t="shared" si="51"/>
        <v>0</v>
      </c>
      <c r="AB61" s="180"/>
      <c r="AC61" s="180"/>
      <c r="AD61" s="180"/>
      <c r="AE61" s="180"/>
      <c r="AF61" s="180"/>
      <c r="AG61" s="180"/>
      <c r="AH61" s="180"/>
      <c r="AI61" s="200"/>
      <c r="AJ61" s="135">
        <f t="shared" si="43"/>
        <v>0</v>
      </c>
      <c r="AK61" s="137"/>
      <c r="AL61" s="833"/>
      <c r="AM61" s="136"/>
      <c r="AN61" s="836"/>
      <c r="AO61" s="126"/>
    </row>
    <row r="62" spans="1:41" ht="31.5" thickBot="1" x14ac:dyDescent="0.65">
      <c r="A62" s="863"/>
      <c r="B62" s="725" t="s">
        <v>377</v>
      </c>
      <c r="C62" s="207" t="s">
        <v>682</v>
      </c>
      <c r="D62" s="185"/>
      <c r="E62" s="220"/>
      <c r="F62" s="221">
        <f t="shared" ref="F62:Y62" si="56">F157</f>
        <v>0</v>
      </c>
      <c r="G62" s="221">
        <f t="shared" si="56"/>
        <v>0</v>
      </c>
      <c r="H62" s="221">
        <f t="shared" si="56"/>
        <v>0</v>
      </c>
      <c r="I62" s="221">
        <f t="shared" si="56"/>
        <v>0</v>
      </c>
      <c r="J62" s="221">
        <f t="shared" si="56"/>
        <v>0</v>
      </c>
      <c r="K62" s="221">
        <f t="shared" si="56"/>
        <v>0</v>
      </c>
      <c r="L62" s="221">
        <f t="shared" si="56"/>
        <v>0</v>
      </c>
      <c r="M62" s="221">
        <f t="shared" si="56"/>
        <v>0</v>
      </c>
      <c r="N62" s="221">
        <f t="shared" si="56"/>
        <v>0</v>
      </c>
      <c r="O62" s="221">
        <f t="shared" si="56"/>
        <v>0</v>
      </c>
      <c r="P62" s="221">
        <f t="shared" si="56"/>
        <v>0</v>
      </c>
      <c r="Q62" s="221">
        <f t="shared" si="56"/>
        <v>0</v>
      </c>
      <c r="R62" s="221">
        <f t="shared" si="56"/>
        <v>0</v>
      </c>
      <c r="S62" s="221">
        <f t="shared" si="56"/>
        <v>0</v>
      </c>
      <c r="T62" s="221">
        <f t="shared" si="56"/>
        <v>0</v>
      </c>
      <c r="U62" s="221">
        <f t="shared" si="56"/>
        <v>0</v>
      </c>
      <c r="V62" s="221">
        <f t="shared" si="56"/>
        <v>0</v>
      </c>
      <c r="W62" s="221">
        <f t="shared" si="56"/>
        <v>0</v>
      </c>
      <c r="X62" s="221">
        <f t="shared" si="56"/>
        <v>0</v>
      </c>
      <c r="Y62" s="222">
        <f t="shared" si="56"/>
        <v>0</v>
      </c>
      <c r="Z62" s="215">
        <f t="shared" si="50"/>
        <v>0</v>
      </c>
      <c r="AA62" s="133">
        <f t="shared" si="51"/>
        <v>0</v>
      </c>
      <c r="AB62" s="187"/>
      <c r="AC62" s="187"/>
      <c r="AD62" s="187"/>
      <c r="AE62" s="187"/>
      <c r="AF62" s="187"/>
      <c r="AG62" s="187"/>
      <c r="AH62" s="187"/>
      <c r="AI62" s="201"/>
      <c r="AJ62" s="168">
        <f t="shared" ref="AJ62:AJ67" si="57">SUM(D62:AA62)</f>
        <v>0</v>
      </c>
      <c r="AK62" s="137"/>
      <c r="AL62" s="833"/>
      <c r="AM62" s="136"/>
      <c r="AN62" s="836"/>
      <c r="AO62" s="126"/>
    </row>
    <row r="63" spans="1:41" ht="39.75" customHeight="1" x14ac:dyDescent="0.6">
      <c r="A63" s="861" t="s">
        <v>757</v>
      </c>
      <c r="B63" s="726" t="s">
        <v>63</v>
      </c>
      <c r="C63" s="223" t="s">
        <v>683</v>
      </c>
      <c r="D63" s="224"/>
      <c r="E63" s="225"/>
      <c r="F63" s="226">
        <f t="shared" ref="F63:Y63" si="58">F160+F162+F164+F166</f>
        <v>0</v>
      </c>
      <c r="G63" s="226">
        <f t="shared" si="58"/>
        <v>0</v>
      </c>
      <c r="H63" s="226">
        <f t="shared" si="58"/>
        <v>0</v>
      </c>
      <c r="I63" s="226">
        <f t="shared" si="58"/>
        <v>0</v>
      </c>
      <c r="J63" s="226">
        <f t="shared" si="58"/>
        <v>0</v>
      </c>
      <c r="K63" s="226">
        <f t="shared" si="58"/>
        <v>0</v>
      </c>
      <c r="L63" s="226">
        <f t="shared" si="58"/>
        <v>0</v>
      </c>
      <c r="M63" s="226">
        <f t="shared" si="58"/>
        <v>0</v>
      </c>
      <c r="N63" s="226">
        <f t="shared" si="58"/>
        <v>0</v>
      </c>
      <c r="O63" s="226">
        <f t="shared" si="58"/>
        <v>0</v>
      </c>
      <c r="P63" s="226">
        <f t="shared" si="58"/>
        <v>0</v>
      </c>
      <c r="Q63" s="226">
        <f t="shared" si="58"/>
        <v>0</v>
      </c>
      <c r="R63" s="226">
        <f t="shared" si="58"/>
        <v>0</v>
      </c>
      <c r="S63" s="226">
        <f t="shared" si="58"/>
        <v>0</v>
      </c>
      <c r="T63" s="226">
        <f t="shared" si="58"/>
        <v>0</v>
      </c>
      <c r="U63" s="226">
        <f t="shared" si="58"/>
        <v>0</v>
      </c>
      <c r="V63" s="226">
        <f t="shared" si="58"/>
        <v>0</v>
      </c>
      <c r="W63" s="226">
        <f t="shared" si="58"/>
        <v>0</v>
      </c>
      <c r="X63" s="226">
        <f t="shared" si="58"/>
        <v>0</v>
      </c>
      <c r="Y63" s="226">
        <f t="shared" si="58"/>
        <v>0</v>
      </c>
      <c r="Z63" s="132">
        <f t="shared" ref="Z63:Z71" si="59">SUM(AB63,AD63,AF63,AH63)</f>
        <v>0</v>
      </c>
      <c r="AA63" s="133">
        <f t="shared" ref="AA63:AA71" si="60">SUM(AC63,AE63,AG63,AI63)</f>
        <v>0</v>
      </c>
      <c r="AB63" s="226">
        <f t="shared" ref="AB63:AI64" si="61">AB160+AB162+AB164+AB166</f>
        <v>0</v>
      </c>
      <c r="AC63" s="226">
        <f t="shared" si="61"/>
        <v>0</v>
      </c>
      <c r="AD63" s="226">
        <f t="shared" si="61"/>
        <v>0</v>
      </c>
      <c r="AE63" s="226">
        <f t="shared" si="61"/>
        <v>0</v>
      </c>
      <c r="AF63" s="226">
        <f t="shared" si="61"/>
        <v>0</v>
      </c>
      <c r="AG63" s="226">
        <f t="shared" si="61"/>
        <v>0</v>
      </c>
      <c r="AH63" s="226">
        <f t="shared" si="61"/>
        <v>0</v>
      </c>
      <c r="AI63" s="226">
        <f t="shared" si="61"/>
        <v>0</v>
      </c>
      <c r="AJ63" s="173">
        <f t="shared" si="57"/>
        <v>0</v>
      </c>
      <c r="AK63" s="137"/>
      <c r="AL63" s="833"/>
      <c r="AM63" s="136"/>
      <c r="AN63" s="836"/>
      <c r="AO63" s="126"/>
    </row>
    <row r="64" spans="1:41" ht="39.75" customHeight="1" thickBot="1" x14ac:dyDescent="0.65">
      <c r="A64" s="863"/>
      <c r="B64" s="727" t="s">
        <v>61</v>
      </c>
      <c r="C64" s="227" t="s">
        <v>684</v>
      </c>
      <c r="D64" s="228"/>
      <c r="E64" s="229"/>
      <c r="F64" s="230">
        <f t="shared" ref="F64:Y64" si="62">F161+F163+F165+F167</f>
        <v>0</v>
      </c>
      <c r="G64" s="230">
        <f t="shared" si="62"/>
        <v>0</v>
      </c>
      <c r="H64" s="230">
        <f t="shared" si="62"/>
        <v>0</v>
      </c>
      <c r="I64" s="230">
        <f t="shared" si="62"/>
        <v>0</v>
      </c>
      <c r="J64" s="230">
        <f t="shared" si="62"/>
        <v>0</v>
      </c>
      <c r="K64" s="230">
        <f t="shared" si="62"/>
        <v>0</v>
      </c>
      <c r="L64" s="230">
        <f t="shared" si="62"/>
        <v>0</v>
      </c>
      <c r="M64" s="230">
        <f t="shared" si="62"/>
        <v>0</v>
      </c>
      <c r="N64" s="230">
        <f t="shared" si="62"/>
        <v>0</v>
      </c>
      <c r="O64" s="230">
        <f t="shared" si="62"/>
        <v>0</v>
      </c>
      <c r="P64" s="230">
        <f t="shared" si="62"/>
        <v>0</v>
      </c>
      <c r="Q64" s="230">
        <f t="shared" si="62"/>
        <v>0</v>
      </c>
      <c r="R64" s="230">
        <f t="shared" si="62"/>
        <v>0</v>
      </c>
      <c r="S64" s="230">
        <f t="shared" si="62"/>
        <v>0</v>
      </c>
      <c r="T64" s="230">
        <f t="shared" si="62"/>
        <v>0</v>
      </c>
      <c r="U64" s="230">
        <f t="shared" si="62"/>
        <v>0</v>
      </c>
      <c r="V64" s="230">
        <f t="shared" si="62"/>
        <v>0</v>
      </c>
      <c r="W64" s="230">
        <f t="shared" si="62"/>
        <v>0</v>
      </c>
      <c r="X64" s="230">
        <f t="shared" si="62"/>
        <v>0</v>
      </c>
      <c r="Y64" s="230">
        <f t="shared" si="62"/>
        <v>0</v>
      </c>
      <c r="Z64" s="132">
        <f t="shared" si="59"/>
        <v>0</v>
      </c>
      <c r="AA64" s="133">
        <f t="shared" si="60"/>
        <v>0</v>
      </c>
      <c r="AB64" s="226">
        <f t="shared" si="61"/>
        <v>0</v>
      </c>
      <c r="AC64" s="226">
        <f t="shared" si="61"/>
        <v>0</v>
      </c>
      <c r="AD64" s="226">
        <f t="shared" si="61"/>
        <v>0</v>
      </c>
      <c r="AE64" s="226">
        <f t="shared" si="61"/>
        <v>0</v>
      </c>
      <c r="AF64" s="226">
        <f t="shared" si="61"/>
        <v>0</v>
      </c>
      <c r="AG64" s="226">
        <f t="shared" si="61"/>
        <v>0</v>
      </c>
      <c r="AH64" s="226">
        <f t="shared" si="61"/>
        <v>0</v>
      </c>
      <c r="AI64" s="226">
        <f t="shared" si="61"/>
        <v>0</v>
      </c>
      <c r="AJ64" s="168">
        <f t="shared" si="57"/>
        <v>0</v>
      </c>
      <c r="AK64" s="137"/>
      <c r="AL64" s="833"/>
      <c r="AM64" s="136"/>
      <c r="AN64" s="836"/>
      <c r="AO64" s="126"/>
    </row>
    <row r="65" spans="1:41" ht="39.75" customHeight="1" x14ac:dyDescent="0.6">
      <c r="A65" s="861" t="s">
        <v>758</v>
      </c>
      <c r="B65" s="728" t="s">
        <v>63</v>
      </c>
      <c r="C65" s="211" t="s">
        <v>685</v>
      </c>
      <c r="D65" s="231"/>
      <c r="E65" s="232"/>
      <c r="F65" s="213">
        <f t="shared" ref="F65:Y65" si="63">F168+F170+F172+F174</f>
        <v>0</v>
      </c>
      <c r="G65" s="213">
        <f t="shared" si="63"/>
        <v>0</v>
      </c>
      <c r="H65" s="213">
        <f t="shared" si="63"/>
        <v>0</v>
      </c>
      <c r="I65" s="213">
        <f t="shared" si="63"/>
        <v>0</v>
      </c>
      <c r="J65" s="213">
        <f t="shared" si="63"/>
        <v>0</v>
      </c>
      <c r="K65" s="213">
        <f t="shared" si="63"/>
        <v>0</v>
      </c>
      <c r="L65" s="213">
        <f t="shared" si="63"/>
        <v>0</v>
      </c>
      <c r="M65" s="213">
        <f t="shared" si="63"/>
        <v>0</v>
      </c>
      <c r="N65" s="213">
        <f t="shared" si="63"/>
        <v>0</v>
      </c>
      <c r="O65" s="213">
        <f t="shared" si="63"/>
        <v>0</v>
      </c>
      <c r="P65" s="213">
        <f t="shared" si="63"/>
        <v>0</v>
      </c>
      <c r="Q65" s="213">
        <f t="shared" si="63"/>
        <v>0</v>
      </c>
      <c r="R65" s="213">
        <f t="shared" si="63"/>
        <v>0</v>
      </c>
      <c r="S65" s="213">
        <f t="shared" si="63"/>
        <v>0</v>
      </c>
      <c r="T65" s="213">
        <f t="shared" si="63"/>
        <v>0</v>
      </c>
      <c r="U65" s="213">
        <f t="shared" si="63"/>
        <v>0</v>
      </c>
      <c r="V65" s="213">
        <f t="shared" si="63"/>
        <v>0</v>
      </c>
      <c r="W65" s="213">
        <f t="shared" si="63"/>
        <v>0</v>
      </c>
      <c r="X65" s="213">
        <f t="shared" si="63"/>
        <v>0</v>
      </c>
      <c r="Y65" s="214">
        <f t="shared" si="63"/>
        <v>0</v>
      </c>
      <c r="Z65" s="215">
        <f t="shared" si="59"/>
        <v>0</v>
      </c>
      <c r="AA65" s="133">
        <f t="shared" si="60"/>
        <v>0</v>
      </c>
      <c r="AB65" s="213">
        <f t="shared" ref="AB65:AI66" si="64">AB168+AB170+AB172+AB174</f>
        <v>0</v>
      </c>
      <c r="AC65" s="213">
        <f t="shared" si="64"/>
        <v>0</v>
      </c>
      <c r="AD65" s="213">
        <f t="shared" si="64"/>
        <v>0</v>
      </c>
      <c r="AE65" s="213">
        <f t="shared" si="64"/>
        <v>0</v>
      </c>
      <c r="AF65" s="213">
        <f t="shared" si="64"/>
        <v>0</v>
      </c>
      <c r="AG65" s="213">
        <f t="shared" si="64"/>
        <v>0</v>
      </c>
      <c r="AH65" s="213">
        <f t="shared" si="64"/>
        <v>0</v>
      </c>
      <c r="AI65" s="213">
        <f t="shared" si="64"/>
        <v>0</v>
      </c>
      <c r="AJ65" s="173">
        <f t="shared" si="57"/>
        <v>0</v>
      </c>
      <c r="AK65" s="137"/>
      <c r="AL65" s="833"/>
      <c r="AM65" s="136"/>
      <c r="AN65" s="836"/>
      <c r="AO65" s="126"/>
    </row>
    <row r="66" spans="1:41" ht="39.75" customHeight="1" thickBot="1" x14ac:dyDescent="0.65">
      <c r="A66" s="863"/>
      <c r="B66" s="729" t="s">
        <v>61</v>
      </c>
      <c r="C66" s="233" t="s">
        <v>686</v>
      </c>
      <c r="D66" s="234"/>
      <c r="E66" s="235"/>
      <c r="F66" s="221">
        <f t="shared" ref="F66:Y66" si="65">F169+F171+F173+F175</f>
        <v>0</v>
      </c>
      <c r="G66" s="221">
        <f t="shared" si="65"/>
        <v>0</v>
      </c>
      <c r="H66" s="221">
        <f t="shared" si="65"/>
        <v>0</v>
      </c>
      <c r="I66" s="221">
        <f t="shared" si="65"/>
        <v>0</v>
      </c>
      <c r="J66" s="221">
        <f t="shared" si="65"/>
        <v>0</v>
      </c>
      <c r="K66" s="221">
        <f t="shared" si="65"/>
        <v>0</v>
      </c>
      <c r="L66" s="221">
        <f t="shared" si="65"/>
        <v>0</v>
      </c>
      <c r="M66" s="221">
        <f t="shared" si="65"/>
        <v>0</v>
      </c>
      <c r="N66" s="221">
        <f t="shared" si="65"/>
        <v>0</v>
      </c>
      <c r="O66" s="221">
        <f t="shared" si="65"/>
        <v>0</v>
      </c>
      <c r="P66" s="221">
        <f t="shared" si="65"/>
        <v>0</v>
      </c>
      <c r="Q66" s="221">
        <f t="shared" si="65"/>
        <v>0</v>
      </c>
      <c r="R66" s="221">
        <f t="shared" si="65"/>
        <v>0</v>
      </c>
      <c r="S66" s="221">
        <f t="shared" si="65"/>
        <v>0</v>
      </c>
      <c r="T66" s="221">
        <f t="shared" si="65"/>
        <v>0</v>
      </c>
      <c r="U66" s="221">
        <f t="shared" si="65"/>
        <v>0</v>
      </c>
      <c r="V66" s="221">
        <f t="shared" si="65"/>
        <v>0</v>
      </c>
      <c r="W66" s="221">
        <f t="shared" si="65"/>
        <v>0</v>
      </c>
      <c r="X66" s="221">
        <f t="shared" si="65"/>
        <v>0</v>
      </c>
      <c r="Y66" s="221">
        <f t="shared" si="65"/>
        <v>0</v>
      </c>
      <c r="Z66" s="215">
        <f t="shared" si="59"/>
        <v>0</v>
      </c>
      <c r="AA66" s="133">
        <f t="shared" si="60"/>
        <v>0</v>
      </c>
      <c r="AB66" s="221">
        <f t="shared" si="64"/>
        <v>0</v>
      </c>
      <c r="AC66" s="221">
        <f t="shared" si="64"/>
        <v>0</v>
      </c>
      <c r="AD66" s="221">
        <f t="shared" si="64"/>
        <v>0</v>
      </c>
      <c r="AE66" s="221">
        <f t="shared" si="64"/>
        <v>0</v>
      </c>
      <c r="AF66" s="221">
        <f t="shared" si="64"/>
        <v>0</v>
      </c>
      <c r="AG66" s="221">
        <f t="shared" si="64"/>
        <v>0</v>
      </c>
      <c r="AH66" s="221">
        <f t="shared" si="64"/>
        <v>0</v>
      </c>
      <c r="AI66" s="221">
        <f t="shared" si="64"/>
        <v>0</v>
      </c>
      <c r="AJ66" s="168">
        <f t="shared" si="57"/>
        <v>0</v>
      </c>
      <c r="AK66" s="137" t="str">
        <f>CONCATENATE(IF(D230&lt;&gt;D66," * PMTCT POST ANC 1 Breastfeeding for Age "&amp;D6&amp;" "&amp;D7&amp;" should be Equal to Starting ART Breastfeeding"&amp;CHAR(10),""),IF(E230&lt;&gt;E66," * PMTCT POST ANC 1 Breastfeeding for Age "&amp;D6&amp;" "&amp;E7&amp;" should be Equal to Starting ART Breastfeeding"&amp;CHAR(10),""),IF(F230&lt;&gt;F66," * PMTCT POST ANC 1 Breastfeeding for Age "&amp;F6&amp;" "&amp;F7&amp;" should be Equal to Starting ART Breastfeeding"&amp;CHAR(10),""),IF(G230&lt;&gt;G66," * PMTCT POST ANC 1 Breastfeeding for Age "&amp;F6&amp;" "&amp;G7&amp;" should be Equal to Starting ART Breastfeeding"&amp;CHAR(10),""),IF(H230&lt;&gt;H66," * PMTCT POST ANC 1 Breastfeeding for Age "&amp;H6&amp;" "&amp;H7&amp;" should be Equal to Starting ART Breastfeeding"&amp;CHAR(10),""),IF(I230&lt;&gt;I66," * PMTCT POST ANC 1 Breastfeeding for Age "&amp;H6&amp;" "&amp;I7&amp;" should be Equal to Starting ART Breastfeeding"&amp;CHAR(10),""),IF(J230&lt;&gt;J66," * PMTCT POST ANC 1 Breastfeeding for Age "&amp;J6&amp;" "&amp;J7&amp;" should be Equal to Starting ART Breastfeeding"&amp;CHAR(10),""),IF(K230&lt;&gt;K66," * PMTCT POST ANC 1 Breastfeeding for Age "&amp;J6&amp;" "&amp;K7&amp;" should be Equal to Starting ART Breastfeeding"&amp;CHAR(10),""),IF(L230&lt;&gt;L66," * PMTCT POST ANC 1 Breastfeeding for Age "&amp;L6&amp;" "&amp;L7&amp;" should be Equal to Starting ART Breastfeeding"&amp;CHAR(10),""),IF(M230&lt;&gt;M66," * PMTCT POST ANC 1 Breastfeeding for Age "&amp;L6&amp;" "&amp;M7&amp;" should be Equal to Starting ART Breastfeeding"&amp;CHAR(10),""),IF(N230&lt;&gt;N66," * PMTCT POST ANC 1 Breastfeeding for Age "&amp;N6&amp;" "&amp;N7&amp;" should be Equal to Starting ART Breastfeeding"&amp;CHAR(10),""),IF(O230&lt;&gt;O66," * PMTCT POST ANC 1 Breastfeeding for Age "&amp;N6&amp;" "&amp;O7&amp;" should be Equal to Starting ART Breastfeeding"&amp;CHAR(10),""),IF(P230&lt;&gt;P66," * PMTCT POST ANC 1 Breastfeeding for Age "&amp;P6&amp;" "&amp;P7&amp;" should be Equal to Starting ART Breastfeeding"&amp;CHAR(10),""),IF(Q230&lt;&gt;Q66," * PMTCT POST ANC 1 Breastfeeding for Age "&amp;P6&amp;" "&amp;Q7&amp;" should be Equal to Starting ART Breastfeeding"&amp;CHAR(10),""),IF(R230&lt;&gt;R66," * PMTCT POST ANC 1 Breastfeeding for Age "&amp;R6&amp;" "&amp;R7&amp;" should be Equal to Starting ART Breastfeeding"&amp;CHAR(10),""),IF(S230&lt;&gt;S66," * PMTCT POST ANC 1 Breastfeeding for Age "&amp;R6&amp;" "&amp;S7&amp;" should be Equal to Starting ART Breastfeeding"&amp;CHAR(10),""),IF(T230&lt;&gt;T66," * PMTCT POST ANC 1 Breastfeeding for Age "&amp;T6&amp;" "&amp;T7&amp;" should be Equal to Starting ART Breastfeeding"&amp;CHAR(10),""),IF(U230&lt;&gt;U66," * PMTCT POST ANC 1 Breastfeeding for Age "&amp;T6&amp;" "&amp;U7&amp;" should be Equal to Starting ART Breastfeeding"&amp;CHAR(10),""),IF(V230&lt;&gt;V66," * PMTCT POST ANC 1 Breastfeeding for Age "&amp;V6&amp;" "&amp;V7&amp;" should be Equal to Starting ART Breastfeeding"&amp;CHAR(10),""),IF(W230&lt;&gt;W66," * PMTCT POST ANC 1 Breastfeeding for Age "&amp;V6&amp;" "&amp;W7&amp;" should be Equal to Starting ART Breastfeeding"&amp;CHAR(10),""),IF(X230&lt;&gt;X66," * PMTCT POST ANC 1 Breastfeeding for Age "&amp;X6&amp;" "&amp;X7&amp;" should be Equal to Starting ART Breastfeeding"&amp;CHAR(10),""),IF(Y230&lt;&gt;Y66," * PMTCT POST ANC 1 Breastfeeding for Age "&amp;X6&amp;" "&amp;Y7&amp;" should be Equal to Starting ART Breastfeeding"&amp;CHAR(10),""),IF(Z230&lt;&gt;Z66," * PMTCT POST ANC 1 Breastfeeding for Age "&amp;Z6&amp;" "&amp;Z7&amp;" should be Equal to Starting ART Breastfeeding"&amp;CHAR(10),""),IF(AA230&lt;&gt;AA66," * PMTCT POST ANC 1 Breastfeeding for Age "&amp;Z6&amp;" "&amp;AA7&amp;" should be Equal to Starting ART Breastfeeding"&amp;CHAR(10),""),IF(AJ230&lt;&gt;AJ66," * Total PMTCT POST ANC 1 Breastfeeding should be Equal to Total Starting ART Breastfeeding"&amp;CHAR(10),""))</f>
        <v/>
      </c>
      <c r="AL66" s="833"/>
      <c r="AM66" s="136"/>
      <c r="AN66" s="836"/>
      <c r="AO66" s="126"/>
    </row>
    <row r="67" spans="1:41" ht="40.5" customHeight="1" x14ac:dyDescent="0.6">
      <c r="A67" s="861" t="s">
        <v>759</v>
      </c>
      <c r="B67" s="730" t="s">
        <v>590</v>
      </c>
      <c r="C67" s="236" t="s">
        <v>687</v>
      </c>
      <c r="D67" s="128"/>
      <c r="E67" s="129"/>
      <c r="F67" s="226">
        <f t="shared" ref="F67" si="66">F66+F64</f>
        <v>0</v>
      </c>
      <c r="G67" s="226">
        <f t="shared" ref="G67:Y67" si="67">G66+G64</f>
        <v>0</v>
      </c>
      <c r="H67" s="226">
        <f t="shared" si="67"/>
        <v>0</v>
      </c>
      <c r="I67" s="226">
        <f t="shared" si="67"/>
        <v>0</v>
      </c>
      <c r="J67" s="226">
        <f t="shared" si="67"/>
        <v>0</v>
      </c>
      <c r="K67" s="226">
        <f t="shared" si="67"/>
        <v>0</v>
      </c>
      <c r="L67" s="226">
        <f t="shared" si="67"/>
        <v>0</v>
      </c>
      <c r="M67" s="226">
        <f t="shared" si="67"/>
        <v>0</v>
      </c>
      <c r="N67" s="226">
        <f t="shared" si="67"/>
        <v>0</v>
      </c>
      <c r="O67" s="226">
        <f t="shared" si="67"/>
        <v>0</v>
      </c>
      <c r="P67" s="226">
        <f t="shared" si="67"/>
        <v>0</v>
      </c>
      <c r="Q67" s="226">
        <f t="shared" si="67"/>
        <v>0</v>
      </c>
      <c r="R67" s="226">
        <f t="shared" si="67"/>
        <v>0</v>
      </c>
      <c r="S67" s="226">
        <f t="shared" si="67"/>
        <v>0</v>
      </c>
      <c r="T67" s="226">
        <f t="shared" si="67"/>
        <v>0</v>
      </c>
      <c r="U67" s="226">
        <f t="shared" si="67"/>
        <v>0</v>
      </c>
      <c r="V67" s="226">
        <f t="shared" si="67"/>
        <v>0</v>
      </c>
      <c r="W67" s="226">
        <f t="shared" si="67"/>
        <v>0</v>
      </c>
      <c r="X67" s="226">
        <f t="shared" si="67"/>
        <v>0</v>
      </c>
      <c r="Y67" s="226">
        <f t="shared" si="67"/>
        <v>0</v>
      </c>
      <c r="Z67" s="132">
        <f t="shared" si="59"/>
        <v>0</v>
      </c>
      <c r="AA67" s="133">
        <f t="shared" si="60"/>
        <v>0</v>
      </c>
      <c r="AB67" s="237">
        <f t="shared" ref="AB67" si="68">AB66+AB64</f>
        <v>0</v>
      </c>
      <c r="AC67" s="237">
        <f t="shared" ref="AC67" si="69">AC66+AC64</f>
        <v>0</v>
      </c>
      <c r="AD67" s="237">
        <f t="shared" ref="AD67" si="70">AD66+AD64</f>
        <v>0</v>
      </c>
      <c r="AE67" s="237">
        <f t="shared" ref="AE67" si="71">AE66+AE64</f>
        <v>0</v>
      </c>
      <c r="AF67" s="237">
        <f t="shared" ref="AF67" si="72">AF66+AF64</f>
        <v>0</v>
      </c>
      <c r="AG67" s="237">
        <f t="shared" ref="AG67" si="73">AG66+AG64</f>
        <v>0</v>
      </c>
      <c r="AH67" s="237">
        <f t="shared" ref="AH67" si="74">AH66+AH64</f>
        <v>0</v>
      </c>
      <c r="AI67" s="238">
        <f t="shared" ref="AI67" si="75">AI66+AI64</f>
        <v>0</v>
      </c>
      <c r="AJ67" s="173">
        <f t="shared" si="57"/>
        <v>0</v>
      </c>
      <c r="AK67" s="179" t="str">
        <f>CONCATENATE(IF((D68+D69+D70+D71)&lt;&gt;D67," * "&amp;$A67&amp;" , "&amp;$B68&amp;" plus "&amp;$B69&amp;" plus "&amp;$B70&amp;" plus "&amp;$B71&amp;" For age "&amp;$D$6&amp;" "&amp;$D$7&amp;" should be equal to "&amp;$B67&amp;""&amp;CHAR(10),""),IF((E68+E69+E70+E71)&lt;&gt;E67," * "&amp;$A67&amp;" , "&amp;$B68&amp;" plus "&amp;$B69&amp;" plus "&amp;$B70&amp;" plus "&amp;$B71&amp;" For age "&amp;$D$6&amp;" "&amp;$E$7&amp;" should be equal to "&amp;$B67&amp;""&amp;CHAR(10),""),IF((F68+F69+F70+F71)&lt;&gt;F67," * "&amp;$A67&amp;" , "&amp;$B68&amp;" plus "&amp;$B69&amp;" plus "&amp;$B70&amp;" plus "&amp;$B71&amp;" For age "&amp;$F$6&amp;" "&amp;$F$7&amp;" should be equal to "&amp;$B67&amp;""&amp;CHAR(10),""),IF((G68+G69+G70+G71)&lt;&gt;G67," * "&amp;$A67&amp;" , "&amp;$B68&amp;" plus "&amp;$B69&amp;" plus "&amp;$B70&amp;" plus "&amp;$B71&amp;" For age "&amp;$F$6&amp;" "&amp;$G$7&amp;" should be equal to "&amp;$B67&amp;""&amp;CHAR(10),""),IF((H68+H69+H70+H71)&lt;&gt;H67," * "&amp;$A67&amp;" , "&amp;$B68&amp;" plus "&amp;$B69&amp;" plus "&amp;$B70&amp;" plus "&amp;$B71&amp;" For age "&amp;$H$6&amp;" "&amp;$H$7&amp;" should be equal to "&amp;$B67&amp;""&amp;CHAR(10),""),IF((I68+I69+I70+I71)&lt;&gt;I67," * "&amp;$A67&amp;" , "&amp;$B68&amp;" plus "&amp;$B69&amp;" plus "&amp;$B70&amp;" plus "&amp;$B71&amp;" For age "&amp;$H$6&amp;" "&amp;$I$7&amp;" should be equal to "&amp;$B67&amp;""&amp;CHAR(10),""),IF((J68+J69+J70+J71)&lt;&gt;J67," * "&amp;$A67&amp;" , "&amp;$B68&amp;" plus "&amp;$B69&amp;" plus "&amp;$B70&amp;" plus "&amp;$B71&amp;" For age "&amp;$J$6&amp;" "&amp;$J$7&amp;" should be equal to "&amp;$B67&amp;""&amp;CHAR(10),""),IF((K68+K69+K70+K71)&lt;&gt;K67," * "&amp;$A67&amp;" , "&amp;$B68&amp;" plus "&amp;$B69&amp;" plus "&amp;$B70&amp;" plus "&amp;$B71&amp;" For age "&amp;$J$6&amp;" "&amp;$K$7&amp;" should be equal to "&amp;$B67&amp;""&amp;CHAR(10),""),IF((L68+L69+L70+L71)&lt;&gt;L67," * "&amp;$A67&amp;" , "&amp;$B68&amp;" plus "&amp;$B69&amp;" plus "&amp;$B70&amp;" plus "&amp;$B71&amp;" For age "&amp;$L$6&amp;" "&amp;$L$7&amp;" should be equal to "&amp;$B67&amp;""&amp;CHAR(10),""),IF((M68+M69+M70+M71)&lt;&gt;M67," * "&amp;$A67&amp;" , "&amp;$B68&amp;" plus "&amp;$B69&amp;" plus "&amp;$B70&amp;" plus "&amp;$B71&amp;" For age "&amp;$L$6&amp;" "&amp;$M$7&amp;" should be equal to "&amp;$B67&amp;""&amp;CHAR(10),""),IF((N68+N69+N70+N71)&lt;&gt;N67," * "&amp;$A67&amp;" , "&amp;$B68&amp;" plus "&amp;$B69&amp;" plus "&amp;$B70&amp;" plus "&amp;$B71&amp;" For age "&amp;$N$6&amp;" "&amp;$N$7&amp;" should be equal to "&amp;$B67&amp;""&amp;CHAR(10),""),IF((O68+O69+O70+O71)&lt;&gt;O67," * "&amp;$A67&amp;" , "&amp;$B68&amp;" plus "&amp;$B69&amp;" plus "&amp;$B70&amp;" plus "&amp;$B71&amp;" For age "&amp;$N$6&amp;" "&amp;$O$7&amp;" should be equal to "&amp;$B67&amp;""&amp;CHAR(10),""),IF((P68+P69+P70+P71)&lt;&gt;P67," * "&amp;$A67&amp;" , "&amp;$B68&amp;" plus "&amp;$B69&amp;" plus "&amp;$B70&amp;" plus "&amp;$B71&amp;" For age "&amp;$P$6&amp;" "&amp;$P$7&amp;" should be equal to "&amp;$B67&amp;""&amp;CHAR(10),""),IF((Q68+Q69+Q70+Q71)&lt;&gt;Q67," * "&amp;$A67&amp;" , "&amp;$B68&amp;" plus "&amp;$B69&amp;" plus "&amp;$B70&amp;" plus "&amp;$B71&amp;" For age "&amp;$P$6&amp;" "&amp;$Q$7&amp;" should be equal to "&amp;$B67&amp;""&amp;CHAR(10),""),IF((R68+R69+R70+R71)&lt;&gt;R67," * "&amp;$A67&amp;" , "&amp;$B68&amp;" plus "&amp;$B69&amp;" plus "&amp;$B70&amp;" plus "&amp;$B71&amp;" For age "&amp;$R$6&amp;" "&amp;$R$7&amp;" should be equal to "&amp;$B67&amp;""&amp;CHAR(10),""),IF((S68+S69+S70+S71)&lt;&gt;S67," * "&amp;$A67&amp;" , "&amp;$B68&amp;" plus "&amp;$B69&amp;" plus "&amp;$B70&amp;" plus "&amp;$B71&amp;" For age "&amp;$R$6&amp;" "&amp;$S$7&amp;" should be equal to "&amp;$B67&amp;""&amp;CHAR(10),""),IF((T68+T69+T70+T71)&lt;&gt;T67," * "&amp;$A67&amp;" , "&amp;$B68&amp;" plus "&amp;$B69&amp;" plus "&amp;$B70&amp;" plus "&amp;$B71&amp;" For age "&amp;$T$6&amp;" "&amp;$T$7&amp;" should be equal to "&amp;$B67&amp;""&amp;CHAR(10),""),IF((U68+U69+U70+U71)&lt;&gt;U67," * "&amp;$A67&amp;" , "&amp;$B68&amp;" plus "&amp;$B69&amp;" plus "&amp;$B70&amp;" plus "&amp;$B71&amp;" For age "&amp;$T$6&amp;" "&amp;$U$7&amp;" should be equal to "&amp;$B67&amp;""&amp;CHAR(10),""),IF((V68+V69+V70+V71)&lt;&gt;V67," * "&amp;$A67&amp;" , "&amp;$B68&amp;" plus "&amp;$B69&amp;" plus "&amp;$B70&amp;" plus "&amp;$B71&amp;" For age "&amp;$V$6&amp;" "&amp;$V$7&amp;" should be equal to "&amp;$B67&amp;""&amp;CHAR(10),""),IF((W68+W69+W70+W71)&lt;&gt;W67," * "&amp;$A67&amp;" , "&amp;$B68&amp;" plus "&amp;$B69&amp;" plus "&amp;$B70&amp;" plus "&amp;$B71&amp;" For age "&amp;$V$6&amp;" "&amp;$W$7&amp;" should be equal to "&amp;$B67&amp;""&amp;CHAR(10),""),IF((X68+X69+X70+X71)&lt;&gt;X67," * "&amp;$A67&amp;" , "&amp;$B68&amp;" plus "&amp;$B69&amp;" plus "&amp;$B70&amp;" plus "&amp;$B71&amp;" For age "&amp;$X$6&amp;" "&amp;$X$7&amp;" should be equal to "&amp;$B67&amp;""&amp;CHAR(10),""),IF((Y68+Y69+Y70+Y71)&lt;&gt;Y67," * "&amp;$A67&amp;" , "&amp;$B68&amp;" plus "&amp;$B69&amp;" plus "&amp;$B70&amp;" plus "&amp;$B71&amp;" For age "&amp;$X$6&amp;" "&amp;$Y$7&amp;" should be equal to "&amp;$B67&amp;""&amp;CHAR(10),""),IF((Z68+Z69+Z70+Z71)&lt;&gt;Z67," * "&amp;$A67&amp;" , "&amp;$B68&amp;" plus "&amp;$B69&amp;" plus "&amp;$B70&amp;" plus "&amp;$B71&amp;" For age "&amp;$Z$6&amp;" "&amp;$Z$7&amp;" should be equal to "&amp;$B67&amp;""&amp;CHAR(10),""),IF((AA68+AA69+AA70+AA71)&lt;&gt;AA67," * "&amp;$A67&amp;" , "&amp;$B68&amp;" plus "&amp;$B69&amp;" plus "&amp;$B70&amp;" plus "&amp;$B71&amp;" For age "&amp;$Z$6&amp;" "&amp;$AA$7&amp;" should be equal to "&amp;$B67&amp;""&amp;CHAR(10),""))</f>
        <v/>
      </c>
      <c r="AL67" s="833"/>
      <c r="AM67" s="136"/>
      <c r="AN67" s="836"/>
      <c r="AO67" s="126"/>
    </row>
    <row r="68" spans="1:41" x14ac:dyDescent="0.6">
      <c r="A68" s="862"/>
      <c r="B68" s="724" t="s">
        <v>389</v>
      </c>
      <c r="C68" s="227" t="s">
        <v>688</v>
      </c>
      <c r="D68" s="128"/>
      <c r="E68" s="129"/>
      <c r="F68" s="239"/>
      <c r="G68" s="239"/>
      <c r="H68" s="239"/>
      <c r="I68" s="239"/>
      <c r="J68" s="239"/>
      <c r="K68" s="239"/>
      <c r="L68" s="239"/>
      <c r="M68" s="239"/>
      <c r="N68" s="239"/>
      <c r="O68" s="239"/>
      <c r="P68" s="239"/>
      <c r="Q68" s="239"/>
      <c r="R68" s="239"/>
      <c r="S68" s="239"/>
      <c r="T68" s="239"/>
      <c r="U68" s="239"/>
      <c r="V68" s="239"/>
      <c r="W68" s="239"/>
      <c r="X68" s="239"/>
      <c r="Y68" s="239"/>
      <c r="Z68" s="132">
        <f t="shared" si="59"/>
        <v>0</v>
      </c>
      <c r="AA68" s="133">
        <f t="shared" si="60"/>
        <v>0</v>
      </c>
      <c r="AB68" s="239"/>
      <c r="AC68" s="239"/>
      <c r="AD68" s="239"/>
      <c r="AE68" s="239"/>
      <c r="AF68" s="239"/>
      <c r="AG68" s="239"/>
      <c r="AH68" s="239"/>
      <c r="AI68" s="240"/>
      <c r="AJ68" s="135">
        <f t="shared" ref="AJ68:AJ70" si="76">SUM(D68:AA68)</f>
        <v>0</v>
      </c>
      <c r="AK68" s="137"/>
      <c r="AL68" s="833"/>
      <c r="AM68" s="136"/>
      <c r="AN68" s="836"/>
      <c r="AO68" s="126"/>
    </row>
    <row r="69" spans="1:41" x14ac:dyDescent="0.6">
      <c r="A69" s="862"/>
      <c r="B69" s="724" t="s">
        <v>373</v>
      </c>
      <c r="C69" s="227" t="s">
        <v>689</v>
      </c>
      <c r="D69" s="128"/>
      <c r="E69" s="129"/>
      <c r="F69" s="239"/>
      <c r="G69" s="239"/>
      <c r="H69" s="239"/>
      <c r="I69" s="239"/>
      <c r="J69" s="239"/>
      <c r="K69" s="239"/>
      <c r="L69" s="239"/>
      <c r="M69" s="239"/>
      <c r="N69" s="239"/>
      <c r="O69" s="239"/>
      <c r="P69" s="239"/>
      <c r="Q69" s="239"/>
      <c r="R69" s="239"/>
      <c r="S69" s="239"/>
      <c r="T69" s="239"/>
      <c r="U69" s="239"/>
      <c r="V69" s="239"/>
      <c r="W69" s="239"/>
      <c r="X69" s="239"/>
      <c r="Y69" s="239"/>
      <c r="Z69" s="132">
        <f t="shared" si="59"/>
        <v>0</v>
      </c>
      <c r="AA69" s="133">
        <f t="shared" si="60"/>
        <v>0</v>
      </c>
      <c r="AB69" s="239"/>
      <c r="AC69" s="239"/>
      <c r="AD69" s="239"/>
      <c r="AE69" s="239"/>
      <c r="AF69" s="239"/>
      <c r="AG69" s="239"/>
      <c r="AH69" s="239"/>
      <c r="AI69" s="240"/>
      <c r="AJ69" s="135">
        <f t="shared" si="76"/>
        <v>0</v>
      </c>
      <c r="AK69" s="137"/>
      <c r="AL69" s="833"/>
      <c r="AM69" s="136"/>
      <c r="AN69" s="836"/>
      <c r="AO69" s="126"/>
    </row>
    <row r="70" spans="1:41" x14ac:dyDescent="0.6">
      <c r="A70" s="862"/>
      <c r="B70" s="730" t="s">
        <v>375</v>
      </c>
      <c r="C70" s="227" t="s">
        <v>690</v>
      </c>
      <c r="D70" s="128"/>
      <c r="E70" s="129"/>
      <c r="F70" s="241"/>
      <c r="G70" s="241"/>
      <c r="H70" s="241"/>
      <c r="I70" s="241"/>
      <c r="J70" s="241"/>
      <c r="K70" s="241"/>
      <c r="L70" s="241"/>
      <c r="M70" s="241"/>
      <c r="N70" s="241"/>
      <c r="O70" s="241"/>
      <c r="P70" s="241"/>
      <c r="Q70" s="241"/>
      <c r="R70" s="241"/>
      <c r="S70" s="241"/>
      <c r="T70" s="241"/>
      <c r="U70" s="241"/>
      <c r="V70" s="241"/>
      <c r="W70" s="241"/>
      <c r="X70" s="241"/>
      <c r="Y70" s="241"/>
      <c r="Z70" s="132">
        <f t="shared" si="59"/>
        <v>0</v>
      </c>
      <c r="AA70" s="133">
        <f t="shared" si="60"/>
        <v>0</v>
      </c>
      <c r="AB70" s="241"/>
      <c r="AC70" s="241"/>
      <c r="AD70" s="241"/>
      <c r="AE70" s="241"/>
      <c r="AF70" s="241"/>
      <c r="AG70" s="241"/>
      <c r="AH70" s="241"/>
      <c r="AI70" s="242"/>
      <c r="AJ70" s="135">
        <f t="shared" si="76"/>
        <v>0</v>
      </c>
      <c r="AK70" s="137"/>
      <c r="AL70" s="833"/>
      <c r="AM70" s="136"/>
      <c r="AN70" s="836"/>
      <c r="AO70" s="126"/>
    </row>
    <row r="71" spans="1:41" ht="31.5" thickBot="1" x14ac:dyDescent="0.65">
      <c r="A71" s="863"/>
      <c r="B71" s="725" t="s">
        <v>377</v>
      </c>
      <c r="C71" s="243" t="s">
        <v>691</v>
      </c>
      <c r="D71" s="208"/>
      <c r="E71" s="209"/>
      <c r="F71" s="210"/>
      <c r="G71" s="210"/>
      <c r="H71" s="210"/>
      <c r="I71" s="210"/>
      <c r="J71" s="210"/>
      <c r="K71" s="210"/>
      <c r="L71" s="210"/>
      <c r="M71" s="210"/>
      <c r="N71" s="210"/>
      <c r="O71" s="210"/>
      <c r="P71" s="210"/>
      <c r="Q71" s="210"/>
      <c r="R71" s="210"/>
      <c r="S71" s="210"/>
      <c r="T71" s="210"/>
      <c r="U71" s="210"/>
      <c r="V71" s="210"/>
      <c r="W71" s="210"/>
      <c r="X71" s="210"/>
      <c r="Y71" s="244"/>
      <c r="Z71" s="245">
        <f t="shared" si="59"/>
        <v>0</v>
      </c>
      <c r="AA71" s="246">
        <f t="shared" si="60"/>
        <v>0</v>
      </c>
      <c r="AB71" s="187"/>
      <c r="AC71" s="187"/>
      <c r="AD71" s="187"/>
      <c r="AE71" s="187"/>
      <c r="AF71" s="187"/>
      <c r="AG71" s="187"/>
      <c r="AH71" s="187"/>
      <c r="AI71" s="201"/>
      <c r="AJ71" s="168">
        <f t="shared" ref="AJ71" si="77">SUM(D71:AA71)</f>
        <v>0</v>
      </c>
      <c r="AK71" s="137"/>
      <c r="AL71" s="833"/>
      <c r="AM71" s="136"/>
      <c r="AN71" s="836"/>
      <c r="AO71" s="126"/>
    </row>
    <row r="72" spans="1:41" ht="29.25" customHeight="1" x14ac:dyDescent="0.6">
      <c r="A72" s="861" t="s">
        <v>760</v>
      </c>
      <c r="B72" s="720" t="s">
        <v>63</v>
      </c>
      <c r="C72" s="115" t="s">
        <v>76</v>
      </c>
      <c r="D72" s="247"/>
      <c r="E72" s="117"/>
      <c r="F72" s="117"/>
      <c r="G72" s="117"/>
      <c r="H72" s="117"/>
      <c r="I72" s="117"/>
      <c r="J72" s="117"/>
      <c r="K72" s="212"/>
      <c r="L72" s="248"/>
      <c r="M72" s="248"/>
      <c r="N72" s="248"/>
      <c r="O72" s="248"/>
      <c r="P72" s="248"/>
      <c r="Q72" s="248"/>
      <c r="R72" s="248"/>
      <c r="S72" s="248"/>
      <c r="T72" s="248"/>
      <c r="U72" s="248"/>
      <c r="V72" s="248"/>
      <c r="W72" s="248"/>
      <c r="X72" s="248"/>
      <c r="Y72" s="249"/>
      <c r="Z72" s="250">
        <f t="shared" si="42"/>
        <v>0</v>
      </c>
      <c r="AA72" s="251">
        <f t="shared" si="42"/>
        <v>0</v>
      </c>
      <c r="AB72" s="252"/>
      <c r="AC72" s="248"/>
      <c r="AD72" s="248"/>
      <c r="AE72" s="248"/>
      <c r="AF72" s="248"/>
      <c r="AG72" s="248"/>
      <c r="AH72" s="248"/>
      <c r="AI72" s="249"/>
      <c r="AJ72" s="253">
        <f t="shared" ref="AJ72:AJ80" si="78">SUM(D72:AA72)</f>
        <v>0</v>
      </c>
      <c r="AK72" s="174" t="str">
        <f>CONCATENATE(IF(D73&gt;D72," * Positive F01-25 for Age "&amp;D6&amp;" "&amp;D7&amp;" is more than Tested F01-24"&amp;CHAR(10),""),IF(E73&gt;E72," * Positive F01-25 for Age "&amp;D6&amp;" "&amp;E7&amp;" is more than Tested F01-24"&amp;CHAR(10),""),IF(F73&gt;F72," * Positive F01-25 for Age "&amp;F6&amp;" "&amp;F7&amp;" is more than Tested F01-24"&amp;CHAR(10),""),IF(G73&gt;G72," * Positive F01-25 for Age "&amp;F6&amp;" "&amp;G7&amp;" is more than Tested F01-24"&amp;CHAR(10),""),IF(H73&gt;H72," * Positive F01-25 for Age "&amp;H6&amp;" "&amp;H7&amp;" is more than Tested F01-24"&amp;CHAR(10),""),IF(I73&gt;I72," * Positive F01-25 for Age "&amp;H6&amp;" "&amp;I7&amp;" is more than Tested F01-24"&amp;CHAR(10),""),IF(J73&gt;J72," * Positive F01-25 for Age "&amp;J6&amp;" "&amp;J7&amp;" is more than Tested F01-24"&amp;CHAR(10),""),IF(K73&gt;K72," * Positive F01-25 for Age "&amp;J6&amp;" "&amp;K7&amp;" is more than Tested F01-24"&amp;CHAR(10),""),IF(L73&gt;L72," * Positive F01-25 for Age "&amp;L6&amp;" "&amp;L7&amp;" is more than Tested F01-24"&amp;CHAR(10),""),IF(M73&gt;M72," * Positive F01-25 for Age "&amp;L6&amp;" "&amp;M7&amp;" is more than Tested F01-24"&amp;CHAR(10),""),IF(N73&gt;N72," * Positive F01-25 for Age "&amp;N6&amp;" "&amp;N7&amp;" is more than Tested F01-24"&amp;CHAR(10),""),IF(O73&gt;O72," * Positive F01-25 for Age "&amp;N6&amp;" "&amp;O7&amp;" is more than Tested F01-24"&amp;CHAR(10),""),IF(P73&gt;P72," * Positive F01-25 for Age "&amp;P6&amp;" "&amp;P7&amp;" is more than Tested F01-24"&amp;CHAR(10),""),IF(Q73&gt;Q72," * Positive F01-25 for Age "&amp;P6&amp;" "&amp;Q7&amp;" is more than Tested F01-24"&amp;CHAR(10),""),IF(R73&gt;R72," * Positive F01-25 for Age "&amp;R6&amp;" "&amp;R7&amp;" is more than Tested F01-24"&amp;CHAR(10),""),IF(S73&gt;S72," * Positive F01-25 for Age "&amp;R6&amp;" "&amp;S7&amp;" is more than Tested F01-24"&amp;CHAR(10),""),IF(T73&gt;T72," * Positive F01-25 for Age "&amp;T6&amp;" "&amp;T7&amp;" is more than Tested F01-24"&amp;CHAR(10),""),IF(U73&gt;U72," * Positive F01-25 for Age "&amp;T6&amp;" "&amp;U7&amp;" is more than Tested F01-24"&amp;CHAR(10),""),IF(V73&gt;V72," * Positive F01-25 for Age "&amp;V6&amp;" "&amp;V7&amp;" is more than Tested F01-24"&amp;CHAR(10),""),IF(W73&gt;W72," * Positive F01-25 for Age "&amp;V6&amp;" "&amp;W7&amp;" is more than Tested F01-24"&amp;CHAR(10),""),IF(X73&gt;X72," * Positive F01-25 for Age "&amp;X6&amp;" "&amp;X7&amp;" is more than Tested F01-24"&amp;CHAR(10),""),IF(Y73&gt;Y72," * Positive F01-25 for Age "&amp;X6&amp;" "&amp;Y7&amp;" is more than Tested F01-24"&amp;CHAR(10),""),IF(Z73&gt;Z72," * Positive F01-25 for Age "&amp;Z6&amp;" "&amp;Z7&amp;" is more than Tested F01-24"&amp;CHAR(10),""),IF(AA73&gt;AA72," * Positive F01-25 for Age "&amp;Z6&amp;" "&amp;AA7&amp;" is more than Tested F01-24"&amp;CHAR(10),""))</f>
        <v/>
      </c>
      <c r="AL72" s="833"/>
      <c r="AM72" s="136" t="str">
        <f>CONCATENATE(IF(AND(IFERROR((AJ73*100)/AJ72,0)&gt;10,AJ73&gt;5)," * This facility has a high positivity rate for Index Testing. Kindly confirm if this is the true reflection"&amp;CHAR(10),""),"")</f>
        <v/>
      </c>
      <c r="AN72" s="836"/>
      <c r="AO72" s="126">
        <v>44</v>
      </c>
    </row>
    <row r="73" spans="1:41" x14ac:dyDescent="0.6">
      <c r="A73" s="862"/>
      <c r="B73" s="721" t="s">
        <v>61</v>
      </c>
      <c r="C73" s="254" t="s">
        <v>77</v>
      </c>
      <c r="D73" s="141"/>
      <c r="E73" s="129"/>
      <c r="F73" s="129"/>
      <c r="G73" s="129"/>
      <c r="H73" s="129"/>
      <c r="I73" s="129"/>
      <c r="J73" s="129"/>
      <c r="K73" s="139"/>
      <c r="L73" s="255"/>
      <c r="M73" s="255"/>
      <c r="N73" s="255"/>
      <c r="O73" s="255"/>
      <c r="P73" s="255"/>
      <c r="Q73" s="255"/>
      <c r="R73" s="255"/>
      <c r="S73" s="255"/>
      <c r="T73" s="255"/>
      <c r="U73" s="255"/>
      <c r="V73" s="255"/>
      <c r="W73" s="255"/>
      <c r="X73" s="255"/>
      <c r="Y73" s="256"/>
      <c r="Z73" s="250">
        <f t="shared" si="42"/>
        <v>0</v>
      </c>
      <c r="AA73" s="251">
        <f t="shared" si="42"/>
        <v>0</v>
      </c>
      <c r="AB73" s="257"/>
      <c r="AC73" s="255"/>
      <c r="AD73" s="255"/>
      <c r="AE73" s="255"/>
      <c r="AF73" s="255"/>
      <c r="AG73" s="255"/>
      <c r="AH73" s="255"/>
      <c r="AI73" s="256"/>
      <c r="AJ73" s="135">
        <f t="shared" si="78"/>
        <v>0</v>
      </c>
      <c r="AK73" s="174"/>
      <c r="AL73" s="833"/>
      <c r="AM73" s="136"/>
      <c r="AN73" s="836"/>
      <c r="AO73" s="126">
        <v>45</v>
      </c>
    </row>
    <row r="74" spans="1:41" x14ac:dyDescent="0.6">
      <c r="A74" s="862"/>
      <c r="B74" s="722" t="s">
        <v>389</v>
      </c>
      <c r="C74" s="254" t="s">
        <v>407</v>
      </c>
      <c r="D74" s="141"/>
      <c r="E74" s="129"/>
      <c r="F74" s="129"/>
      <c r="G74" s="129"/>
      <c r="H74" s="129"/>
      <c r="I74" s="129"/>
      <c r="J74" s="129"/>
      <c r="K74" s="139"/>
      <c r="L74" s="148"/>
      <c r="M74" s="148"/>
      <c r="N74" s="148"/>
      <c r="O74" s="148"/>
      <c r="P74" s="148"/>
      <c r="Q74" s="148"/>
      <c r="R74" s="148"/>
      <c r="S74" s="148"/>
      <c r="T74" s="148"/>
      <c r="U74" s="148"/>
      <c r="V74" s="148"/>
      <c r="W74" s="148"/>
      <c r="X74" s="148"/>
      <c r="Y74" s="258"/>
      <c r="Z74" s="250">
        <f t="shared" ref="Z74:Z77" si="79">SUM(AB74,AD74,AF74,AH74)</f>
        <v>0</v>
      </c>
      <c r="AA74" s="251">
        <f t="shared" ref="AA74:AA77" si="80">SUM(AC74,AE74,AG74,AI74)</f>
        <v>0</v>
      </c>
      <c r="AB74" s="259"/>
      <c r="AC74" s="148"/>
      <c r="AD74" s="148"/>
      <c r="AE74" s="148"/>
      <c r="AF74" s="148"/>
      <c r="AG74" s="148"/>
      <c r="AH74" s="148"/>
      <c r="AI74" s="258"/>
      <c r="AJ74" s="260">
        <f t="shared" ref="AJ74:AJ77" si="81">SUM(D74:AA74)</f>
        <v>0</v>
      </c>
      <c r="AK74" s="137"/>
      <c r="AL74" s="833"/>
      <c r="AM74" s="136"/>
      <c r="AN74" s="836"/>
      <c r="AO74" s="126"/>
    </row>
    <row r="75" spans="1:41" x14ac:dyDescent="0.6">
      <c r="A75" s="862"/>
      <c r="B75" s="722" t="s">
        <v>373</v>
      </c>
      <c r="C75" s="254" t="s">
        <v>408</v>
      </c>
      <c r="D75" s="141"/>
      <c r="E75" s="129"/>
      <c r="F75" s="129"/>
      <c r="G75" s="129"/>
      <c r="H75" s="129"/>
      <c r="I75" s="129"/>
      <c r="J75" s="129"/>
      <c r="K75" s="139"/>
      <c r="L75" s="148"/>
      <c r="M75" s="148"/>
      <c r="N75" s="148"/>
      <c r="O75" s="148"/>
      <c r="P75" s="148"/>
      <c r="Q75" s="148"/>
      <c r="R75" s="148"/>
      <c r="S75" s="148"/>
      <c r="T75" s="148"/>
      <c r="U75" s="148"/>
      <c r="V75" s="148"/>
      <c r="W75" s="148"/>
      <c r="X75" s="148"/>
      <c r="Y75" s="258"/>
      <c r="Z75" s="250">
        <f t="shared" si="79"/>
        <v>0</v>
      </c>
      <c r="AA75" s="251">
        <f t="shared" si="80"/>
        <v>0</v>
      </c>
      <c r="AB75" s="259"/>
      <c r="AC75" s="148"/>
      <c r="AD75" s="148"/>
      <c r="AE75" s="148"/>
      <c r="AF75" s="148"/>
      <c r="AG75" s="148"/>
      <c r="AH75" s="148"/>
      <c r="AI75" s="258"/>
      <c r="AJ75" s="135">
        <f t="shared" si="81"/>
        <v>0</v>
      </c>
      <c r="AK75" s="137"/>
      <c r="AL75" s="833"/>
      <c r="AM75" s="136"/>
      <c r="AN75" s="836"/>
      <c r="AO75" s="126"/>
    </row>
    <row r="76" spans="1:41" x14ac:dyDescent="0.6">
      <c r="A76" s="862"/>
      <c r="B76" s="722" t="s">
        <v>375</v>
      </c>
      <c r="C76" s="254" t="s">
        <v>409</v>
      </c>
      <c r="D76" s="141"/>
      <c r="E76" s="129"/>
      <c r="F76" s="129"/>
      <c r="G76" s="129"/>
      <c r="H76" s="129"/>
      <c r="I76" s="129"/>
      <c r="J76" s="129"/>
      <c r="K76" s="139"/>
      <c r="L76" s="148"/>
      <c r="M76" s="148"/>
      <c r="N76" s="148"/>
      <c r="O76" s="148"/>
      <c r="P76" s="148"/>
      <c r="Q76" s="148"/>
      <c r="R76" s="148"/>
      <c r="S76" s="148"/>
      <c r="T76" s="148"/>
      <c r="U76" s="148"/>
      <c r="V76" s="148"/>
      <c r="W76" s="148"/>
      <c r="X76" s="148"/>
      <c r="Y76" s="258"/>
      <c r="Z76" s="250">
        <f t="shared" si="79"/>
        <v>0</v>
      </c>
      <c r="AA76" s="251">
        <f t="shared" si="80"/>
        <v>0</v>
      </c>
      <c r="AB76" s="259"/>
      <c r="AC76" s="148"/>
      <c r="AD76" s="148"/>
      <c r="AE76" s="148"/>
      <c r="AF76" s="148"/>
      <c r="AG76" s="148"/>
      <c r="AH76" s="148"/>
      <c r="AI76" s="258"/>
      <c r="AJ76" s="135">
        <f t="shared" si="81"/>
        <v>0</v>
      </c>
      <c r="AK76" s="137"/>
      <c r="AL76" s="833"/>
      <c r="AM76" s="136"/>
      <c r="AN76" s="836"/>
      <c r="AO76" s="126"/>
    </row>
    <row r="77" spans="1:41" ht="31.5" thickBot="1" x14ac:dyDescent="0.65">
      <c r="A77" s="863"/>
      <c r="B77" s="723" t="s">
        <v>377</v>
      </c>
      <c r="C77" s="261" t="s">
        <v>410</v>
      </c>
      <c r="D77" s="262"/>
      <c r="E77" s="129"/>
      <c r="F77" s="129"/>
      <c r="G77" s="129"/>
      <c r="H77" s="186"/>
      <c r="I77" s="186"/>
      <c r="J77" s="186"/>
      <c r="K77" s="220"/>
      <c r="L77" s="154"/>
      <c r="M77" s="154"/>
      <c r="N77" s="154"/>
      <c r="O77" s="154"/>
      <c r="P77" s="154"/>
      <c r="Q77" s="154"/>
      <c r="R77" s="154"/>
      <c r="S77" s="154"/>
      <c r="T77" s="154"/>
      <c r="U77" s="154"/>
      <c r="V77" s="154"/>
      <c r="W77" s="154"/>
      <c r="X77" s="154"/>
      <c r="Y77" s="263"/>
      <c r="Z77" s="264">
        <f t="shared" si="79"/>
        <v>0</v>
      </c>
      <c r="AA77" s="265">
        <f t="shared" si="80"/>
        <v>0</v>
      </c>
      <c r="AB77" s="266"/>
      <c r="AC77" s="154"/>
      <c r="AD77" s="154"/>
      <c r="AE77" s="154"/>
      <c r="AF77" s="154"/>
      <c r="AG77" s="154"/>
      <c r="AH77" s="154"/>
      <c r="AI77" s="263"/>
      <c r="AJ77" s="168">
        <f t="shared" si="81"/>
        <v>0</v>
      </c>
      <c r="AK77" s="137"/>
      <c r="AL77" s="833"/>
      <c r="AM77" s="136"/>
      <c r="AN77" s="836"/>
      <c r="AO77" s="126"/>
    </row>
    <row r="78" spans="1:41" ht="27" customHeight="1" x14ac:dyDescent="0.6">
      <c r="A78" s="861" t="s">
        <v>761</v>
      </c>
      <c r="B78" s="731" t="s">
        <v>56</v>
      </c>
      <c r="C78" s="267" t="s">
        <v>447</v>
      </c>
      <c r="D78" s="268"/>
      <c r="E78" s="269"/>
      <c r="F78" s="248"/>
      <c r="G78" s="248"/>
      <c r="H78" s="248"/>
      <c r="I78" s="248"/>
      <c r="J78" s="248"/>
      <c r="K78" s="248"/>
      <c r="L78" s="248"/>
      <c r="M78" s="248"/>
      <c r="N78" s="248"/>
      <c r="O78" s="248"/>
      <c r="P78" s="248"/>
      <c r="Q78" s="248"/>
      <c r="R78" s="248"/>
      <c r="S78" s="248"/>
      <c r="T78" s="248"/>
      <c r="U78" s="248"/>
      <c r="V78" s="248"/>
      <c r="W78" s="248"/>
      <c r="X78" s="248"/>
      <c r="Y78" s="249"/>
      <c r="Z78" s="270">
        <f t="shared" ref="Z78:AA84" si="82">SUM(AB78,AD78,AF78,AH78)</f>
        <v>0</v>
      </c>
      <c r="AA78" s="271">
        <f t="shared" si="82"/>
        <v>0</v>
      </c>
      <c r="AB78" s="252"/>
      <c r="AC78" s="248"/>
      <c r="AD78" s="248"/>
      <c r="AE78" s="248"/>
      <c r="AF78" s="248"/>
      <c r="AG78" s="248"/>
      <c r="AH78" s="248"/>
      <c r="AI78" s="249"/>
      <c r="AJ78" s="253">
        <f t="shared" si="78"/>
        <v>0</v>
      </c>
      <c r="AK78" s="137" t="str">
        <f>CONCATENATE(IF(D79&gt;D78," * SNS Contacts Elicited for Age "&amp;D6&amp;" "&amp;D7&amp;" is more than Tested F01-24"&amp;CHAR(10),""),IF(E79&gt;E78," * SNS Contacts Elicited for Age "&amp;D6&amp;" "&amp;E7&amp;" is more than Tested F01-24"&amp;CHAR(10),""),IF(F79&gt;F78," * SNS Contacts Elicited for Age "&amp;F6&amp;" "&amp;F7&amp;" is more than Tested F01-24"&amp;CHAR(10),""),IF(G79&gt;G78," * SNS Contacts Elicited for Age "&amp;F6&amp;" "&amp;G7&amp;" is more than Tested F01-24"&amp;CHAR(10),""),IF(H79&gt;H78," * SNS Contacts Elicited for Age "&amp;H6&amp;" "&amp;H7&amp;" is more than Tested F01-24"&amp;CHAR(10),""),IF(I79&gt;I78," * SNS Contacts Elicited for Age "&amp;H6&amp;" "&amp;I7&amp;" is more than Tested F01-24"&amp;CHAR(10),""),IF(J79&gt;J78," * SNS Contacts Elicited for Age "&amp;J6&amp;" "&amp;J7&amp;" is more than Tested F01-24"&amp;CHAR(10),""),IF(K79&gt;K78," * SNS Contacts Elicited for Age "&amp;J6&amp;" "&amp;K7&amp;" is more than Tested F01-24"&amp;CHAR(10),""),IF(L79&gt;L78," * SNS Contacts Elicited for Age "&amp;L6&amp;" "&amp;L7&amp;" is more than Tested F01-24"&amp;CHAR(10),""),IF(M79&gt;M78," * SNS Contacts Elicited for Age "&amp;L6&amp;" "&amp;M7&amp;" is more than Tested F01-24"&amp;CHAR(10),""),IF(N79&gt;N78," * SNS Contacts Elicited for Age "&amp;N6&amp;" "&amp;N7&amp;" is more than Tested F01-24"&amp;CHAR(10),""),IF(O79&gt;O78," * SNS Contacts Elicited for Age "&amp;N6&amp;" "&amp;O7&amp;" is more than Tested F01-24"&amp;CHAR(10),""),IF(P79&gt;P78," * SNS Contacts Elicited for Age "&amp;P6&amp;" "&amp;P7&amp;" is more than Tested F01-24"&amp;CHAR(10),""),IF(Q79&gt;Q78," * SNS Contacts Elicited for Age "&amp;P6&amp;" "&amp;Q7&amp;" is more than Tested F01-24"&amp;CHAR(10),""),IF(R79&gt;R78," * SNS Contacts Elicited for Age "&amp;R6&amp;" "&amp;R7&amp;" is more than Tested F01-24"&amp;CHAR(10),""),IF(S79&gt;S78," * SNS Contacts Elicited for Age "&amp;R6&amp;" "&amp;S7&amp;" is more than Tested F01-24"&amp;CHAR(10),""),IF(T79&gt;T78," * SNS Contacts Elicited for Age "&amp;T6&amp;" "&amp;T7&amp;" is more than Tested F01-24"&amp;CHAR(10),""),IF(U79&gt;U78," * SNS Contacts Elicited for Age "&amp;T6&amp;" "&amp;U7&amp;" is more than Tested F01-24"&amp;CHAR(10),""),IF(V79&gt;V78," * SNS Contacts Elicited for Age "&amp;V6&amp;" "&amp;V7&amp;" is more than Tested F01-24"&amp;CHAR(10),""),IF(W79&gt;W78," * SNS Contacts Elicited for Age "&amp;V6&amp;" "&amp;W7&amp;" is more than Tested F01-24"&amp;CHAR(10),""),IF(X79&gt;X78," * SNS Contacts Elicited for Age "&amp;X6&amp;" "&amp;X7&amp;" is more than Tested F01-24"&amp;CHAR(10),""),IF(Y79&gt;Y78," * SNS Contacts Elicited for Age "&amp;X6&amp;" "&amp;Y7&amp;" is more than Tested F01-24"&amp;CHAR(10),""),IF(Z79&gt;Z78," * SNS Contacts Elicited for Age "&amp;Z6&amp;" "&amp;Z7&amp;" is more than Tested F01-24"&amp;CHAR(10),""),IF(AA79&gt;AA78," * SNS Contacts Elicited for Age "&amp;Z6&amp;" "&amp;AA7&amp;" is more than Tested F01-24"&amp;CHAR(10),""))</f>
        <v/>
      </c>
      <c r="AL78" s="833"/>
      <c r="AM78" s="136"/>
      <c r="AN78" s="836"/>
      <c r="AO78" s="126"/>
    </row>
    <row r="79" spans="1:41" ht="26.25" customHeight="1" x14ac:dyDescent="0.6">
      <c r="A79" s="862"/>
      <c r="B79" s="732" t="s">
        <v>63</v>
      </c>
      <c r="C79" s="254" t="s">
        <v>367</v>
      </c>
      <c r="D79" s="272"/>
      <c r="E79" s="273"/>
      <c r="F79" s="274"/>
      <c r="G79" s="274"/>
      <c r="H79" s="274"/>
      <c r="I79" s="274"/>
      <c r="J79" s="274"/>
      <c r="K79" s="274"/>
      <c r="L79" s="274"/>
      <c r="M79" s="274"/>
      <c r="N79" s="274"/>
      <c r="O79" s="274"/>
      <c r="P79" s="274"/>
      <c r="Q79" s="274"/>
      <c r="R79" s="274"/>
      <c r="S79" s="274"/>
      <c r="T79" s="274"/>
      <c r="U79" s="274"/>
      <c r="V79" s="274"/>
      <c r="W79" s="274"/>
      <c r="X79" s="274"/>
      <c r="Y79" s="275"/>
      <c r="Z79" s="276">
        <f t="shared" si="82"/>
        <v>0</v>
      </c>
      <c r="AA79" s="277">
        <f t="shared" si="82"/>
        <v>0</v>
      </c>
      <c r="AB79" s="278"/>
      <c r="AC79" s="274"/>
      <c r="AD79" s="274"/>
      <c r="AE79" s="274"/>
      <c r="AF79" s="274"/>
      <c r="AG79" s="274"/>
      <c r="AH79" s="274"/>
      <c r="AI79" s="275"/>
      <c r="AJ79" s="260">
        <f t="shared" si="78"/>
        <v>0</v>
      </c>
      <c r="AK79" s="137" t="str">
        <f>CONCATENATE(IF(D80&gt;D79," * Positive F01-25 for Age "&amp;D6&amp;" "&amp;D7&amp;" is more than Tested F01-24"&amp;CHAR(10),""),IF(E80&gt;E79," * Positive F01-25 for Age "&amp;D6&amp;" "&amp;E7&amp;" is more than Tested F01-24"&amp;CHAR(10),""),IF(F80&gt;F79," * Positive F01-25 for Age "&amp;F6&amp;" "&amp;F7&amp;" is more than Tested F01-24"&amp;CHAR(10),""),IF(G80&gt;G79," * Positive F01-25 for Age "&amp;F6&amp;" "&amp;G7&amp;" is more than Tested F01-24"&amp;CHAR(10),""),IF(H80&gt;H79," * Positive F01-25 for Age "&amp;H6&amp;" "&amp;H7&amp;" is more than Tested F01-24"&amp;CHAR(10),""),IF(I80&gt;I79," * Positive F01-25 for Age "&amp;H6&amp;" "&amp;I7&amp;" is more than Tested F01-24"&amp;CHAR(10),""),IF(J80&gt;J79," * Positive F01-25 for Age "&amp;J6&amp;" "&amp;J7&amp;" is more than Tested F01-24"&amp;CHAR(10),""),IF(K80&gt;K79," * Positive F01-25 for Age "&amp;J6&amp;" "&amp;K7&amp;" is more than Tested F01-24"&amp;CHAR(10),""),IF(L80&gt;L79," * Positive F01-25 for Age "&amp;L6&amp;" "&amp;L7&amp;" is more than Tested F01-24"&amp;CHAR(10),""),IF(M80&gt;M79," * Positive F01-25 for Age "&amp;L6&amp;" "&amp;M7&amp;" is more than Tested F01-24"&amp;CHAR(10),""),IF(N80&gt;N79," * Positive F01-25 for Age "&amp;N6&amp;" "&amp;N7&amp;" is more than Tested F01-24"&amp;CHAR(10),""),IF(O80&gt;O79," * Positive F01-25 for Age "&amp;N6&amp;" "&amp;O7&amp;" is more than Tested F01-24"&amp;CHAR(10),""),IF(P80&gt;P79," * Positive F01-25 for Age "&amp;P6&amp;" "&amp;P7&amp;" is more than Tested F01-24"&amp;CHAR(10),""),IF(Q80&gt;Q79," * Positive F01-25 for Age "&amp;P6&amp;" "&amp;Q7&amp;" is more than Tested F01-24"&amp;CHAR(10),""),IF(R80&gt;R79," * Positive F01-25 for Age "&amp;R6&amp;" "&amp;R7&amp;" is more than Tested F01-24"&amp;CHAR(10),""),IF(S80&gt;S79," * Positive F01-25 for Age "&amp;R6&amp;" "&amp;S7&amp;" is more than Tested F01-24"&amp;CHAR(10),""),IF(T80&gt;T79," * Positive F01-25 for Age "&amp;T6&amp;" "&amp;T7&amp;" is more than Tested F01-24"&amp;CHAR(10),""),IF(U80&gt;U79," * Positive F01-25 for Age "&amp;T6&amp;" "&amp;U7&amp;" is more than Tested F01-24"&amp;CHAR(10),""),IF(V80&gt;V79," * Positive F01-25 for Age "&amp;V6&amp;" "&amp;V7&amp;" is more than Tested F01-24"&amp;CHAR(10),""),IF(W80&gt;W79," * Positive F01-25 for Age "&amp;V6&amp;" "&amp;W7&amp;" is more than Tested F01-24"&amp;CHAR(10),""),IF(X80&gt;X79," * Positive F01-25 for Age "&amp;X6&amp;" "&amp;X7&amp;" is more than Tested F01-24"&amp;CHAR(10),""),IF(Y80&gt;Y79," * Positive F01-25 for Age "&amp;X6&amp;" "&amp;Y7&amp;" is more than Tested F01-24"&amp;CHAR(10),""),IF(Z80&gt;Z79," * Positive F01-25 for Age "&amp;Z6&amp;" "&amp;Z7&amp;" is more than Tested F01-24"&amp;CHAR(10),""),IF(AA80&gt;AA79," * Positive F01-25 for Age "&amp;Z6&amp;" "&amp;AA7&amp;" is more than Tested F01-24"&amp;CHAR(10),""))</f>
        <v/>
      </c>
      <c r="AL79" s="833"/>
      <c r="AM79" s="136"/>
      <c r="AN79" s="836"/>
      <c r="AO79" s="126"/>
    </row>
    <row r="80" spans="1:41" x14ac:dyDescent="0.6">
      <c r="A80" s="862"/>
      <c r="B80" s="733" t="s">
        <v>61</v>
      </c>
      <c r="C80" s="279" t="s">
        <v>368</v>
      </c>
      <c r="D80" s="280"/>
      <c r="E80" s="281"/>
      <c r="F80" s="282"/>
      <c r="G80" s="282"/>
      <c r="H80" s="282"/>
      <c r="I80" s="282"/>
      <c r="J80" s="282"/>
      <c r="K80" s="282"/>
      <c r="L80" s="282"/>
      <c r="M80" s="282"/>
      <c r="N80" s="282"/>
      <c r="O80" s="282"/>
      <c r="P80" s="282"/>
      <c r="Q80" s="282"/>
      <c r="R80" s="282"/>
      <c r="S80" s="282"/>
      <c r="T80" s="282"/>
      <c r="U80" s="282"/>
      <c r="V80" s="282"/>
      <c r="W80" s="282"/>
      <c r="X80" s="282"/>
      <c r="Y80" s="283"/>
      <c r="Z80" s="276">
        <f t="shared" si="82"/>
        <v>0</v>
      </c>
      <c r="AA80" s="277">
        <f t="shared" si="82"/>
        <v>0</v>
      </c>
      <c r="AB80" s="284"/>
      <c r="AC80" s="282"/>
      <c r="AD80" s="282"/>
      <c r="AE80" s="282"/>
      <c r="AF80" s="282"/>
      <c r="AG80" s="282"/>
      <c r="AH80" s="282"/>
      <c r="AI80" s="283"/>
      <c r="AJ80" s="135">
        <f t="shared" si="78"/>
        <v>0</v>
      </c>
      <c r="AK80" s="137"/>
      <c r="AL80" s="833"/>
      <c r="AM80" s="136"/>
      <c r="AN80" s="836"/>
      <c r="AO80" s="126"/>
    </row>
    <row r="81" spans="1:45" x14ac:dyDescent="0.6">
      <c r="A81" s="862"/>
      <c r="B81" s="734" t="s">
        <v>389</v>
      </c>
      <c r="C81" s="254" t="s">
        <v>411</v>
      </c>
      <c r="D81" s="272"/>
      <c r="E81" s="273"/>
      <c r="F81" s="148"/>
      <c r="G81" s="148"/>
      <c r="H81" s="148"/>
      <c r="I81" s="148"/>
      <c r="J81" s="148"/>
      <c r="K81" s="148"/>
      <c r="L81" s="148"/>
      <c r="M81" s="148"/>
      <c r="N81" s="148"/>
      <c r="O81" s="148"/>
      <c r="P81" s="148"/>
      <c r="Q81" s="148"/>
      <c r="R81" s="148"/>
      <c r="S81" s="148"/>
      <c r="T81" s="148"/>
      <c r="U81" s="148"/>
      <c r="V81" s="148"/>
      <c r="W81" s="148"/>
      <c r="X81" s="148"/>
      <c r="Y81" s="258"/>
      <c r="Z81" s="276">
        <f>SUM(AB81,AD81,AF81,AH81)</f>
        <v>0</v>
      </c>
      <c r="AA81" s="277">
        <f t="shared" si="82"/>
        <v>0</v>
      </c>
      <c r="AB81" s="259"/>
      <c r="AC81" s="148"/>
      <c r="AD81" s="148"/>
      <c r="AE81" s="148"/>
      <c r="AF81" s="148"/>
      <c r="AG81" s="148"/>
      <c r="AH81" s="148"/>
      <c r="AI81" s="258"/>
      <c r="AJ81" s="260">
        <f t="shared" ref="AJ81:AJ98" si="83">SUM(D81:AA81)</f>
        <v>0</v>
      </c>
      <c r="AK81" s="137"/>
      <c r="AL81" s="833"/>
      <c r="AM81" s="136"/>
      <c r="AN81" s="836"/>
      <c r="AO81" s="126"/>
    </row>
    <row r="82" spans="1:45" x14ac:dyDescent="0.6">
      <c r="A82" s="862"/>
      <c r="B82" s="734" t="s">
        <v>373</v>
      </c>
      <c r="C82" s="254" t="s">
        <v>412</v>
      </c>
      <c r="D82" s="285"/>
      <c r="E82" s="286"/>
      <c r="F82" s="148"/>
      <c r="G82" s="148"/>
      <c r="H82" s="148"/>
      <c r="I82" s="148"/>
      <c r="J82" s="148"/>
      <c r="K82" s="148"/>
      <c r="L82" s="148"/>
      <c r="M82" s="148"/>
      <c r="N82" s="148"/>
      <c r="O82" s="148"/>
      <c r="P82" s="148"/>
      <c r="Q82" s="148"/>
      <c r="R82" s="148"/>
      <c r="S82" s="148"/>
      <c r="T82" s="148"/>
      <c r="U82" s="148"/>
      <c r="V82" s="148"/>
      <c r="W82" s="148"/>
      <c r="X82" s="148"/>
      <c r="Y82" s="258"/>
      <c r="Z82" s="276">
        <f>SUM(AB82,AD82,AF82,AH82)</f>
        <v>0</v>
      </c>
      <c r="AA82" s="277">
        <f t="shared" si="82"/>
        <v>0</v>
      </c>
      <c r="AB82" s="259"/>
      <c r="AC82" s="148"/>
      <c r="AD82" s="148"/>
      <c r="AE82" s="148"/>
      <c r="AF82" s="148"/>
      <c r="AG82" s="148"/>
      <c r="AH82" s="148"/>
      <c r="AI82" s="258"/>
      <c r="AJ82" s="135">
        <f t="shared" si="83"/>
        <v>0</v>
      </c>
      <c r="AK82" s="137"/>
      <c r="AL82" s="833"/>
      <c r="AM82" s="136"/>
      <c r="AN82" s="836"/>
      <c r="AO82" s="126"/>
    </row>
    <row r="83" spans="1:45" x14ac:dyDescent="0.6">
      <c r="A83" s="862"/>
      <c r="B83" s="734" t="s">
        <v>375</v>
      </c>
      <c r="C83" s="254" t="s">
        <v>413</v>
      </c>
      <c r="D83" s="285"/>
      <c r="E83" s="286"/>
      <c r="F83" s="148"/>
      <c r="G83" s="148"/>
      <c r="H83" s="148"/>
      <c r="I83" s="148"/>
      <c r="J83" s="148"/>
      <c r="K83" s="148"/>
      <c r="L83" s="148"/>
      <c r="M83" s="148"/>
      <c r="N83" s="148"/>
      <c r="O83" s="148"/>
      <c r="P83" s="148"/>
      <c r="Q83" s="148"/>
      <c r="R83" s="148"/>
      <c r="S83" s="148"/>
      <c r="T83" s="148"/>
      <c r="U83" s="148"/>
      <c r="V83" s="148"/>
      <c r="W83" s="148"/>
      <c r="X83" s="148"/>
      <c r="Y83" s="258"/>
      <c r="Z83" s="276">
        <f>SUM(AB83,AD83,AF83,AH83)</f>
        <v>0</v>
      </c>
      <c r="AA83" s="277">
        <f t="shared" si="82"/>
        <v>0</v>
      </c>
      <c r="AB83" s="259"/>
      <c r="AC83" s="148"/>
      <c r="AD83" s="148"/>
      <c r="AE83" s="148"/>
      <c r="AF83" s="148"/>
      <c r="AG83" s="148"/>
      <c r="AH83" s="148"/>
      <c r="AI83" s="258"/>
      <c r="AJ83" s="135">
        <f t="shared" si="83"/>
        <v>0</v>
      </c>
      <c r="AK83" s="137"/>
      <c r="AL83" s="833"/>
      <c r="AM83" s="136"/>
      <c r="AN83" s="836"/>
      <c r="AO83" s="126"/>
    </row>
    <row r="84" spans="1:45" x14ac:dyDescent="0.6">
      <c r="A84" s="862"/>
      <c r="B84" s="734" t="s">
        <v>377</v>
      </c>
      <c r="C84" s="254" t="s">
        <v>414</v>
      </c>
      <c r="D84" s="285"/>
      <c r="E84" s="286"/>
      <c r="F84" s="287"/>
      <c r="G84" s="287"/>
      <c r="H84" s="287"/>
      <c r="I84" s="287"/>
      <c r="J84" s="287"/>
      <c r="K84" s="287"/>
      <c r="L84" s="287"/>
      <c r="M84" s="287"/>
      <c r="N84" s="287"/>
      <c r="O84" s="287"/>
      <c r="P84" s="287"/>
      <c r="Q84" s="287"/>
      <c r="R84" s="287"/>
      <c r="S84" s="287"/>
      <c r="T84" s="287"/>
      <c r="U84" s="287"/>
      <c r="V84" s="287"/>
      <c r="W84" s="287"/>
      <c r="X84" s="287"/>
      <c r="Y84" s="288"/>
      <c r="Z84" s="276">
        <f>SUM(AB84,AD84,AF84,AH84)</f>
        <v>0</v>
      </c>
      <c r="AA84" s="277">
        <f t="shared" si="82"/>
        <v>0</v>
      </c>
      <c r="AB84" s="289"/>
      <c r="AC84" s="287"/>
      <c r="AD84" s="287"/>
      <c r="AE84" s="287"/>
      <c r="AF84" s="287"/>
      <c r="AG84" s="287"/>
      <c r="AH84" s="287"/>
      <c r="AI84" s="288"/>
      <c r="AJ84" s="135">
        <f t="shared" si="83"/>
        <v>0</v>
      </c>
      <c r="AK84" s="137"/>
      <c r="AL84" s="833"/>
      <c r="AM84" s="136"/>
      <c r="AN84" s="836"/>
      <c r="AO84" s="126"/>
    </row>
    <row r="85" spans="1:45" x14ac:dyDescent="0.6">
      <c r="A85" s="862"/>
      <c r="B85" s="734" t="s">
        <v>278</v>
      </c>
      <c r="C85" s="254" t="s">
        <v>557</v>
      </c>
      <c r="D85" s="285"/>
      <c r="E85" s="286"/>
      <c r="F85" s="290">
        <f>F79-F80</f>
        <v>0</v>
      </c>
      <c r="G85" s="290">
        <f t="shared" ref="G85:AI85" si="84">G79-G80</f>
        <v>0</v>
      </c>
      <c r="H85" s="290">
        <f t="shared" si="84"/>
        <v>0</v>
      </c>
      <c r="I85" s="290">
        <f t="shared" si="84"/>
        <v>0</v>
      </c>
      <c r="J85" s="290">
        <f t="shared" si="84"/>
        <v>0</v>
      </c>
      <c r="K85" s="290">
        <f t="shared" si="84"/>
        <v>0</v>
      </c>
      <c r="L85" s="290">
        <f t="shared" si="84"/>
        <v>0</v>
      </c>
      <c r="M85" s="290">
        <f t="shared" si="84"/>
        <v>0</v>
      </c>
      <c r="N85" s="290">
        <f t="shared" si="84"/>
        <v>0</v>
      </c>
      <c r="O85" s="290">
        <f t="shared" si="84"/>
        <v>0</v>
      </c>
      <c r="P85" s="290">
        <f t="shared" si="84"/>
        <v>0</v>
      </c>
      <c r="Q85" s="290">
        <f t="shared" si="84"/>
        <v>0</v>
      </c>
      <c r="R85" s="290">
        <f t="shared" si="84"/>
        <v>0</v>
      </c>
      <c r="S85" s="290">
        <f t="shared" si="84"/>
        <v>0</v>
      </c>
      <c r="T85" s="290">
        <f t="shared" si="84"/>
        <v>0</v>
      </c>
      <c r="U85" s="290">
        <f t="shared" si="84"/>
        <v>0</v>
      </c>
      <c r="V85" s="290">
        <f t="shared" si="84"/>
        <v>0</v>
      </c>
      <c r="W85" s="290">
        <f t="shared" si="84"/>
        <v>0</v>
      </c>
      <c r="X85" s="290">
        <f t="shared" si="84"/>
        <v>0</v>
      </c>
      <c r="Y85" s="291">
        <f t="shared" si="84"/>
        <v>0</v>
      </c>
      <c r="Z85" s="276">
        <f t="shared" ref="Z85:Z94" si="85">SUM(AB85,AD85,AF85,AH85)</f>
        <v>0</v>
      </c>
      <c r="AA85" s="277">
        <f t="shared" ref="AA85:AA94" si="86">SUM(AC85,AE85,AG85,AI85)</f>
        <v>0</v>
      </c>
      <c r="AB85" s="292">
        <f t="shared" si="84"/>
        <v>0</v>
      </c>
      <c r="AC85" s="293">
        <f t="shared" si="84"/>
        <v>0</v>
      </c>
      <c r="AD85" s="293">
        <f t="shared" si="84"/>
        <v>0</v>
      </c>
      <c r="AE85" s="293">
        <f t="shared" si="84"/>
        <v>0</v>
      </c>
      <c r="AF85" s="293">
        <f t="shared" si="84"/>
        <v>0</v>
      </c>
      <c r="AG85" s="293">
        <f t="shared" si="84"/>
        <v>0</v>
      </c>
      <c r="AH85" s="293">
        <f t="shared" si="84"/>
        <v>0</v>
      </c>
      <c r="AI85" s="294">
        <f t="shared" si="84"/>
        <v>0</v>
      </c>
      <c r="AJ85" s="295">
        <f>SUM(D85:AA85)</f>
        <v>0</v>
      </c>
      <c r="AK85" s="137"/>
      <c r="AL85" s="833"/>
      <c r="AM85" s="136"/>
      <c r="AN85" s="836"/>
      <c r="AO85" s="126"/>
    </row>
    <row r="86" spans="1:45" ht="31.5" thickBot="1" x14ac:dyDescent="0.65">
      <c r="A86" s="863"/>
      <c r="B86" s="735" t="s">
        <v>563</v>
      </c>
      <c r="C86" s="261" t="s">
        <v>558</v>
      </c>
      <c r="D86" s="296"/>
      <c r="E86" s="297"/>
      <c r="F86" s="151"/>
      <c r="G86" s="151"/>
      <c r="H86" s="151"/>
      <c r="I86" s="151"/>
      <c r="J86" s="151"/>
      <c r="K86" s="151"/>
      <c r="L86" s="151"/>
      <c r="M86" s="151"/>
      <c r="N86" s="151"/>
      <c r="O86" s="151"/>
      <c r="P86" s="151"/>
      <c r="Q86" s="151"/>
      <c r="R86" s="151"/>
      <c r="S86" s="151"/>
      <c r="T86" s="151"/>
      <c r="U86" s="151"/>
      <c r="V86" s="151"/>
      <c r="W86" s="151"/>
      <c r="X86" s="151"/>
      <c r="Y86" s="298"/>
      <c r="Z86" s="299">
        <f t="shared" si="85"/>
        <v>0</v>
      </c>
      <c r="AA86" s="300">
        <f t="shared" si="86"/>
        <v>0</v>
      </c>
      <c r="AB86" s="301"/>
      <c r="AC86" s="302"/>
      <c r="AD86" s="302"/>
      <c r="AE86" s="302"/>
      <c r="AF86" s="302"/>
      <c r="AG86" s="302"/>
      <c r="AH86" s="302"/>
      <c r="AI86" s="303"/>
      <c r="AJ86" s="304">
        <f t="shared" si="83"/>
        <v>0</v>
      </c>
      <c r="AK86" s="137" t="str">
        <f>CONCATENATE(IF(D86&gt;D85," * SNS HIV  Negative for Age "&amp;D6&amp;" "&amp;D7&amp;" should be more than or equal to SNS HIV -ve Newly Initiated on Prep"&amp;CHAR(10),""),IF(E86&gt;E85," * SNS HIV  Negative for Age "&amp;D6&amp;" "&amp;E7&amp;" should be more than or equal to SNS HIV -ve Newly Initiated on Prep"&amp;CHAR(10),""),IF(F86&gt;F85," * SNS HIV  Negative for Age "&amp;F6&amp;" "&amp;F7&amp;" should be more than or equal to SNS HIV -ve Newly Initiated on Prep"&amp;CHAR(10),""),IF(G86&gt;G85," * SNS HIV  Negative for Age "&amp;F6&amp;" "&amp;G7&amp;" should be more than or equal to SNS HIV -ve Newly Initiated on Prep"&amp;CHAR(10),""),IF(H86&gt;H85," * SNS HIV  Negative for Age "&amp;H6&amp;" "&amp;H7&amp;" should be more than or equal to SNS HIV -ve Newly Initiated on Prep"&amp;CHAR(10),""),IF(I86&gt;I85," * SNS HIV  Negative for Age "&amp;H6&amp;" "&amp;I7&amp;" should be more than or equal to SNS HIV -ve Newly Initiated on Prep"&amp;CHAR(10),""),IF(J86&gt;J85," * SNS HIV  Negative for Age "&amp;J6&amp;" "&amp;J7&amp;" should be more than or equal to SNS HIV -ve Newly Initiated on Prep"&amp;CHAR(10),""),IF(K86&gt;K85," * SNS HIV  Negative for Age "&amp;J6&amp;" "&amp;K7&amp;" should be more than or equal to SNS HIV -ve Newly Initiated on Prep"&amp;CHAR(10),""),IF(L86&gt;L85," * SNS HIV  Negative for Age "&amp;L6&amp;" "&amp;L7&amp;" should be more than or equal to SNS HIV -ve Newly Initiated on Prep"&amp;CHAR(10),""),IF(M86&gt;M85," * SNS HIV  Negative for Age "&amp;L6&amp;" "&amp;M7&amp;" should be more than or equal to SNS HIV -ve Newly Initiated on Prep"&amp;CHAR(10),""),IF(N86&gt;N85," * SNS HIV  Negative for Age "&amp;N6&amp;" "&amp;N7&amp;" should be more than or equal to SNS HIV -ve Newly Initiated on Prep"&amp;CHAR(10),""),IF(O86&gt;O85," * SNS HIV  Negative for Age "&amp;N6&amp;" "&amp;O7&amp;" should be more than or equal to SNS HIV -ve Newly Initiated on Prep"&amp;CHAR(10),""),IF(P86&gt;P85," * SNS HIV  Negative for Age "&amp;P6&amp;" "&amp;P7&amp;" should be more than or equal to SNS HIV -ve Newly Initiated on Prep"&amp;CHAR(10),""),IF(Q86&gt;Q85," * SNS HIV  Negative for Age "&amp;P6&amp;" "&amp;Q7&amp;" should be more than or equal to SNS HIV -ve Newly Initiated on Prep"&amp;CHAR(10),""),IF(R86&gt;R85," * SNS HIV  Negative for Age "&amp;R6&amp;" "&amp;R7&amp;" should be more than or equal to SNS HIV -ve Newly Initiated on Prep"&amp;CHAR(10),""),IF(S86&gt;S85," * SNS HIV  Negative for Age "&amp;R6&amp;" "&amp;S7&amp;" should be more than or equal to SNS HIV -ve Newly Initiated on Prep"&amp;CHAR(10),""),IF(T86&gt;T85," * SNS HIV  Negative for Age "&amp;T6&amp;" "&amp;T7&amp;" should be more than or equal to SNS HIV -ve Newly Initiated on Prep"&amp;CHAR(10),""),IF(U86&gt;U85," * SNS HIV  Negative for Age "&amp;T6&amp;" "&amp;U7&amp;" should be more than or equal to SNS HIV -ve Newly Initiated on Prep"&amp;CHAR(10),""),IF(V86&gt;V85," * SNS HIV  Negative for Age "&amp;V6&amp;" "&amp;V7&amp;" should be more than or equal to SNS HIV -ve Newly Initiated on Prep"&amp;CHAR(10),""),IF(W86&gt;W85," * SNS HIV  Negative for Age "&amp;V6&amp;" "&amp;W7&amp;" should be more than or equal to SNS HIV -ve Newly Initiated on Prep"&amp;CHAR(10),""),IF(X86&gt;X85," * SNS HIV  Negative for Age "&amp;X6&amp;" "&amp;X7&amp;" should be more than or equal to SNS HIV -ve Newly Initiated on Prep"&amp;CHAR(10),""),IF(Y86&gt;Y85," * SNS HIV  Negative for Age "&amp;X6&amp;" "&amp;Y7&amp;" should be more than or equal to SNS HIV -ve Newly Initiated on Prep"&amp;CHAR(10),""),IF(Z86&gt;Z85," * SNS HIV  Negative for Age "&amp;Z6&amp;" "&amp;Z7&amp;" should be more than or equal to SNS HIV -ve Newly Initiated on Prep"&amp;CHAR(10),""),IF(AA86&gt;AA85," * SNS HIV  Negative for Age "&amp;Z6&amp;" "&amp;AA7&amp;" should be more than or equal to SNS HIV -ve Newly Initiated on Prep"&amp;CHAR(10),""))</f>
        <v/>
      </c>
      <c r="AL86" s="833"/>
      <c r="AM86" s="136"/>
      <c r="AN86" s="836"/>
      <c r="AO86" s="126"/>
    </row>
    <row r="87" spans="1:45" ht="26.25" customHeight="1" x14ac:dyDescent="0.6">
      <c r="A87" s="861" t="s">
        <v>762</v>
      </c>
      <c r="B87" s="720" t="s">
        <v>63</v>
      </c>
      <c r="C87" s="169" t="s">
        <v>74</v>
      </c>
      <c r="D87" s="305"/>
      <c r="E87" s="306"/>
      <c r="F87" s="248"/>
      <c r="G87" s="248"/>
      <c r="H87" s="248"/>
      <c r="I87" s="248"/>
      <c r="J87" s="248"/>
      <c r="K87" s="248"/>
      <c r="L87" s="248"/>
      <c r="M87" s="248"/>
      <c r="N87" s="248"/>
      <c r="O87" s="248"/>
      <c r="P87" s="248"/>
      <c r="Q87" s="248"/>
      <c r="R87" s="248"/>
      <c r="S87" s="248"/>
      <c r="T87" s="248"/>
      <c r="U87" s="248"/>
      <c r="V87" s="248"/>
      <c r="W87" s="248"/>
      <c r="X87" s="248"/>
      <c r="Y87" s="249"/>
      <c r="Z87" s="121">
        <f t="shared" ref="Z87:AA92" si="87">SUM(AB87,AD87,AF87,AH87)</f>
        <v>0</v>
      </c>
      <c r="AA87" s="122">
        <f t="shared" si="87"/>
        <v>0</v>
      </c>
      <c r="AB87" s="252"/>
      <c r="AC87" s="248"/>
      <c r="AD87" s="248"/>
      <c r="AE87" s="248"/>
      <c r="AF87" s="248"/>
      <c r="AG87" s="248"/>
      <c r="AH87" s="248"/>
      <c r="AI87" s="249"/>
      <c r="AJ87" s="307">
        <f t="shared" ref="AJ87:AJ92" si="88">SUM(D87:AA87)</f>
        <v>0</v>
      </c>
      <c r="AK87" s="174" t="str">
        <f>CONCATENATE(IF(D88&gt;D87," * Positive F01-23 for Age "&amp;D6&amp;" "&amp;D7&amp;" is more than Tested F01-22"&amp;CHAR(10),""),IF(E88&gt;E87," * Positive F01-23 for Age "&amp;D6&amp;" "&amp;E7&amp;" is more than Tested F01-22"&amp;CHAR(10),""),IF(F88&gt;F87," * Positive F01-23 for Age "&amp;F6&amp;" "&amp;F7&amp;" is more than Tested F01-22"&amp;CHAR(10),""),IF(G88&gt;G87," * Positive F01-23 for Age "&amp;F6&amp;" "&amp;G7&amp;" is more than Tested F01-22"&amp;CHAR(10),""),IF(H88&gt;H87," * Positive F01-23 for Age "&amp;H6&amp;" "&amp;H7&amp;" is more than Tested F01-22"&amp;CHAR(10),""),IF(I88&gt;I87," * Positive F01-23 for Age "&amp;H6&amp;" "&amp;I7&amp;" is more than Tested F01-22"&amp;CHAR(10),""),IF(J88&gt;J87," * Positive F01-23 for Age "&amp;J6&amp;" "&amp;J7&amp;" is more than Tested F01-22"&amp;CHAR(10),""),IF(K88&gt;K87," * Positive F01-23 for Age "&amp;J6&amp;" "&amp;K7&amp;" is more than Tested F01-22"&amp;CHAR(10),""),IF(L88&gt;L87," * Positive F01-23 for Age "&amp;L6&amp;" "&amp;L7&amp;" is more than Tested F01-22"&amp;CHAR(10),""),IF(M88&gt;M87," * Positive F01-23 for Age "&amp;L6&amp;" "&amp;M7&amp;" is more than Tested F01-22"&amp;CHAR(10),""),IF(N88&gt;N87," * Positive F01-23 for Age "&amp;N6&amp;" "&amp;N7&amp;" is more than Tested F01-22"&amp;CHAR(10),""),IF(O88&gt;O87," * Positive F01-23 for Age "&amp;N6&amp;" "&amp;O7&amp;" is more than Tested F01-22"&amp;CHAR(10),""),IF(P88&gt;P87," * Positive F01-23 for Age "&amp;P6&amp;" "&amp;P7&amp;" is more than Tested F01-22"&amp;CHAR(10),""),IF(Q88&gt;Q87," * Positive F01-23 for Age "&amp;P6&amp;" "&amp;Q7&amp;" is more than Tested F01-22"&amp;CHAR(10),""),IF(R88&gt;R87," * Positive F01-23 for Age "&amp;R6&amp;" "&amp;R7&amp;" is more than Tested F01-22"&amp;CHAR(10),""),IF(S88&gt;S87," * Positive F01-23 for Age "&amp;R6&amp;" "&amp;S7&amp;" is more than Tested F01-22"&amp;CHAR(10),""),IF(T88&gt;T87," * Positive F01-23 for Age "&amp;T6&amp;" "&amp;T7&amp;" is more than Tested F01-22"&amp;CHAR(10),""),IF(U88&gt;U87," * Positive F01-23 for Age "&amp;T6&amp;" "&amp;U7&amp;" is more than Tested F01-22"&amp;CHAR(10),""),IF(V88&gt;V87," * Positive F01-23 for Age "&amp;V6&amp;" "&amp;V7&amp;" is more than Tested F01-22"&amp;CHAR(10),""),IF(W88&gt;W87," * Positive F01-23 for Age "&amp;V6&amp;" "&amp;W7&amp;" is more than Tested F01-22"&amp;CHAR(10),""),IF(X88&gt;X87," * Positive F01-23 for Age "&amp;X6&amp;" "&amp;X7&amp;" is more than Tested F01-22"&amp;CHAR(10),""),IF(Y88&gt;Y87," * Positive F01-23 for Age "&amp;X6&amp;" "&amp;Y7&amp;" is more than Tested F01-22"&amp;CHAR(10),""),IF(Z88&gt;Z87," * Positive F01-23 for Age "&amp;Z6&amp;" "&amp;Z7&amp;" is more than Tested F01-22"&amp;CHAR(10),""),IF(AA88&gt;AA87," * Positive F01-23 for Age "&amp;Z6&amp;" "&amp;AA7&amp;" is more than Tested F01-22"&amp;CHAR(10),""))</f>
        <v/>
      </c>
      <c r="AL87" s="833"/>
      <c r="AM87" s="136" t="str">
        <f>CONCATENATE(IF(AND(IFERROR((AJ88*100)/AJ87,0)&gt;10,AJ88&gt;5)," * This facility has a high positivity rate for Index Testing. Kindly confirm if this is the true reflection"&amp;CHAR(10),""),"")</f>
        <v/>
      </c>
      <c r="AN87" s="836"/>
      <c r="AO87" s="126">
        <v>42</v>
      </c>
    </row>
    <row r="88" spans="1:45" x14ac:dyDescent="0.6">
      <c r="A88" s="862"/>
      <c r="B88" s="721" t="s">
        <v>61</v>
      </c>
      <c r="C88" s="175" t="s">
        <v>75</v>
      </c>
      <c r="D88" s="128"/>
      <c r="E88" s="129"/>
      <c r="F88" s="282"/>
      <c r="G88" s="282"/>
      <c r="H88" s="282"/>
      <c r="I88" s="282"/>
      <c r="J88" s="282"/>
      <c r="K88" s="282"/>
      <c r="L88" s="282"/>
      <c r="M88" s="282"/>
      <c r="N88" s="282"/>
      <c r="O88" s="282"/>
      <c r="P88" s="282"/>
      <c r="Q88" s="282"/>
      <c r="R88" s="282"/>
      <c r="S88" s="282"/>
      <c r="T88" s="282"/>
      <c r="U88" s="282"/>
      <c r="V88" s="282"/>
      <c r="W88" s="282"/>
      <c r="X88" s="282"/>
      <c r="Y88" s="283"/>
      <c r="Z88" s="132">
        <f t="shared" si="87"/>
        <v>0</v>
      </c>
      <c r="AA88" s="133">
        <f t="shared" si="87"/>
        <v>0</v>
      </c>
      <c r="AB88" s="284"/>
      <c r="AC88" s="282"/>
      <c r="AD88" s="282"/>
      <c r="AE88" s="282"/>
      <c r="AF88" s="282"/>
      <c r="AG88" s="282"/>
      <c r="AH88" s="282"/>
      <c r="AI88" s="283"/>
      <c r="AJ88" s="307">
        <f t="shared" si="88"/>
        <v>0</v>
      </c>
      <c r="AK88" s="179" t="str">
        <f>CONCATENATE(IF((D89+D90+D91+D92)&lt;&gt;D88," * "&amp;$A88&amp;" , "&amp;$B89&amp;" plus "&amp;$B90&amp;" plus "&amp;$B91&amp;" plus "&amp;$B92&amp;" For age "&amp;$D$6&amp;" "&amp;$D$7&amp;" should be equal to "&amp;$B88&amp;""&amp;CHAR(10),""),IF((E89+E90+E91+E92)&lt;&gt;E88," * "&amp;$A88&amp;" , "&amp;$B89&amp;" plus "&amp;$B90&amp;" plus "&amp;$B91&amp;" plus "&amp;$B92&amp;" For age "&amp;$D$6&amp;" "&amp;$E$7&amp;" should be equal to "&amp;$B88&amp;""&amp;CHAR(10),""),IF((F89+F90+F91+F92)&lt;&gt;F88," * "&amp;$A88&amp;" , "&amp;$B89&amp;" plus "&amp;$B90&amp;" plus "&amp;$B91&amp;" plus "&amp;$B92&amp;" For age "&amp;$F$6&amp;" "&amp;$F$7&amp;" should be equal to "&amp;$B88&amp;""&amp;CHAR(10),""),IF((G89+G90+G91+G92)&lt;&gt;G88," * "&amp;$A88&amp;" , "&amp;$B89&amp;" plus "&amp;$B90&amp;" plus "&amp;$B91&amp;" plus "&amp;$B92&amp;" For age "&amp;$F$6&amp;" "&amp;$G$7&amp;" should be equal to "&amp;$B88&amp;""&amp;CHAR(10),""),IF((H89+H90+H91+H92)&lt;&gt;H88," * "&amp;$A88&amp;" , "&amp;$B89&amp;" plus "&amp;$B90&amp;" plus "&amp;$B91&amp;" plus "&amp;$B92&amp;" For age "&amp;$H$6&amp;" "&amp;$H$7&amp;" should be equal to "&amp;$B88&amp;""&amp;CHAR(10),""),IF((I89+I90+I91+I92)&lt;&gt;I88," * "&amp;$A88&amp;" , "&amp;$B89&amp;" plus "&amp;$B90&amp;" plus "&amp;$B91&amp;" plus "&amp;$B92&amp;" For age "&amp;$H$6&amp;" "&amp;$I$7&amp;" should be equal to "&amp;$B88&amp;""&amp;CHAR(10),""),IF((J89+J90+J91+J92)&lt;&gt;J88," * "&amp;$A88&amp;" , "&amp;$B89&amp;" plus "&amp;$B90&amp;" plus "&amp;$B91&amp;" plus "&amp;$B92&amp;" For age "&amp;$J$6&amp;" "&amp;$J$7&amp;" should be equal to "&amp;$B88&amp;""&amp;CHAR(10),""),IF((K89+K90+K91+K92)&lt;&gt;K88," * "&amp;$A88&amp;" , "&amp;$B89&amp;" plus "&amp;$B90&amp;" plus "&amp;$B91&amp;" plus "&amp;$B92&amp;" For age "&amp;$J$6&amp;" "&amp;$K$7&amp;" should be equal to "&amp;$B88&amp;""&amp;CHAR(10),""),IF((L89+L90+L91+L92)&lt;&gt;L88," * "&amp;$A88&amp;" , "&amp;$B89&amp;" plus "&amp;$B90&amp;" plus "&amp;$B91&amp;" plus "&amp;$B92&amp;" For age "&amp;$L$6&amp;" "&amp;$L$7&amp;" should be equal to "&amp;$B88&amp;""&amp;CHAR(10),""),IF((M89+M90+M91+M92)&lt;&gt;M88," * "&amp;$A88&amp;" , "&amp;$B89&amp;" plus "&amp;$B90&amp;" plus "&amp;$B91&amp;" plus "&amp;$B92&amp;" For age "&amp;$L$6&amp;" "&amp;$M$7&amp;" should be equal to "&amp;$B88&amp;""&amp;CHAR(10),""),IF((N89+N90+N91+N92)&lt;&gt;N88," * "&amp;$A88&amp;" , "&amp;$B89&amp;" plus "&amp;$B90&amp;" plus "&amp;$B91&amp;" plus "&amp;$B92&amp;" For age "&amp;$N$6&amp;" "&amp;$N$7&amp;" should be equal to "&amp;$B88&amp;""&amp;CHAR(10),""),IF((O89+O90+O91+O92)&lt;&gt;O88," * "&amp;$A88&amp;" , "&amp;$B89&amp;" plus "&amp;$B90&amp;" plus "&amp;$B91&amp;" plus "&amp;$B92&amp;" For age "&amp;$N$6&amp;" "&amp;$O$7&amp;" should be equal to "&amp;$B88&amp;""&amp;CHAR(10),""),IF((P89+P90+P91+P92)&lt;&gt;P88," * "&amp;$A88&amp;" , "&amp;$B89&amp;" plus "&amp;$B90&amp;" plus "&amp;$B91&amp;" plus "&amp;$B92&amp;" For age "&amp;$P$6&amp;" "&amp;$P$7&amp;" should be equal to "&amp;$B88&amp;""&amp;CHAR(10),""),IF((Q89+Q90+Q91+Q92)&lt;&gt;Q88," * "&amp;$A88&amp;" , "&amp;$B89&amp;" plus "&amp;$B90&amp;" plus "&amp;$B91&amp;" plus "&amp;$B92&amp;" For age "&amp;$P$6&amp;" "&amp;$Q$7&amp;" should be equal to "&amp;$B88&amp;""&amp;CHAR(10),""),IF((R89+R90+R91+R92)&lt;&gt;R88," * "&amp;$A88&amp;" , "&amp;$B89&amp;" plus "&amp;$B90&amp;" plus "&amp;$B91&amp;" plus "&amp;$B92&amp;" For age "&amp;$R$6&amp;" "&amp;$R$7&amp;" should be equal to "&amp;$B88&amp;""&amp;CHAR(10),""),IF((S89+S90+S91+S92)&lt;&gt;S88," * "&amp;$A88&amp;" , "&amp;$B89&amp;" plus "&amp;$B90&amp;" plus "&amp;$B91&amp;" plus "&amp;$B92&amp;" For age "&amp;$R$6&amp;" "&amp;$S$7&amp;" should be equal to "&amp;$B88&amp;""&amp;CHAR(10),""),IF((T89+T90+T91+T92)&lt;&gt;T88," * "&amp;$A88&amp;" , "&amp;$B89&amp;" plus "&amp;$B90&amp;" plus "&amp;$B91&amp;" plus "&amp;$B92&amp;" For age "&amp;$T$6&amp;" "&amp;$T$7&amp;" should be equal to "&amp;$B88&amp;""&amp;CHAR(10),""),IF((U89+U90+U91+U92)&lt;&gt;U88," * "&amp;$A88&amp;" , "&amp;$B89&amp;" plus "&amp;$B90&amp;" plus "&amp;$B91&amp;" plus "&amp;$B92&amp;" For age "&amp;$T$6&amp;" "&amp;$U$7&amp;" should be equal to "&amp;$B88&amp;""&amp;CHAR(10),""),IF((V89+V90+V91+V92)&lt;&gt;V88," * "&amp;$A88&amp;" , "&amp;$B89&amp;" plus "&amp;$B90&amp;" plus "&amp;$B91&amp;" plus "&amp;$B92&amp;" For age "&amp;$V$6&amp;" "&amp;$V$7&amp;" should be equal to "&amp;$B88&amp;""&amp;CHAR(10),""),IF((W89+W90+W91+W92)&lt;&gt;W88," * "&amp;$A88&amp;" , "&amp;$B89&amp;" plus "&amp;$B90&amp;" plus "&amp;$B91&amp;" plus "&amp;$B92&amp;" For age "&amp;$V$6&amp;" "&amp;$W$7&amp;" should be equal to "&amp;$B88&amp;""&amp;CHAR(10),""),IF((X89+X90+X91+X92)&lt;&gt;X88," * "&amp;$A88&amp;" , "&amp;$B89&amp;" plus "&amp;$B90&amp;" plus "&amp;$B91&amp;" plus "&amp;$B92&amp;" For age "&amp;$X$6&amp;" "&amp;$X$7&amp;" should be equal to "&amp;$B88&amp;""&amp;CHAR(10),""),IF((Y89+Y90+Y91+Y92)&lt;&gt;Y88," * "&amp;$A88&amp;" , "&amp;$B89&amp;" plus "&amp;$B90&amp;" plus "&amp;$B91&amp;" plus "&amp;$B92&amp;" For age "&amp;$X$6&amp;" "&amp;$Y$7&amp;" should be equal to "&amp;$B88&amp;""&amp;CHAR(10),""),IF((Z89+Z90+Z91+Z92)&lt;&gt;Z88," * "&amp;$A88&amp;" , "&amp;$B89&amp;" plus "&amp;$B90&amp;" plus "&amp;$B91&amp;" plus "&amp;$B92&amp;" For age "&amp;$Z$6&amp;" "&amp;$Z$7&amp;" should be equal to "&amp;$B88&amp;""&amp;CHAR(10),""),IF((AA89+AA90+AA91+AA92)&lt;&gt;AA88," * "&amp;$A88&amp;" , "&amp;$B89&amp;" plus "&amp;$B90&amp;" plus "&amp;$B91&amp;" plus "&amp;$B92&amp;" For age "&amp;$Z$6&amp;" "&amp;$AA$7&amp;" should be equal to "&amp;$B88&amp;""&amp;CHAR(10),""))</f>
        <v/>
      </c>
      <c r="AL88" s="833"/>
      <c r="AM88" s="136"/>
      <c r="AN88" s="836"/>
      <c r="AO88" s="126">
        <v>43</v>
      </c>
    </row>
    <row r="89" spans="1:45" x14ac:dyDescent="0.6">
      <c r="A89" s="862"/>
      <c r="B89" s="722" t="s">
        <v>389</v>
      </c>
      <c r="C89" s="175" t="s">
        <v>403</v>
      </c>
      <c r="D89" s="128"/>
      <c r="E89" s="129"/>
      <c r="F89" s="148"/>
      <c r="G89" s="148"/>
      <c r="H89" s="148"/>
      <c r="I89" s="148"/>
      <c r="J89" s="148"/>
      <c r="K89" s="148"/>
      <c r="L89" s="148"/>
      <c r="M89" s="148"/>
      <c r="N89" s="148"/>
      <c r="O89" s="148"/>
      <c r="P89" s="148"/>
      <c r="Q89" s="148"/>
      <c r="R89" s="148"/>
      <c r="S89" s="148"/>
      <c r="T89" s="148"/>
      <c r="U89" s="148"/>
      <c r="V89" s="148"/>
      <c r="W89" s="148"/>
      <c r="X89" s="148"/>
      <c r="Y89" s="258"/>
      <c r="Z89" s="132">
        <f t="shared" si="87"/>
        <v>0</v>
      </c>
      <c r="AA89" s="133">
        <f t="shared" si="87"/>
        <v>0</v>
      </c>
      <c r="AB89" s="259"/>
      <c r="AC89" s="148"/>
      <c r="AD89" s="148"/>
      <c r="AE89" s="148"/>
      <c r="AF89" s="148"/>
      <c r="AG89" s="148"/>
      <c r="AH89" s="148"/>
      <c r="AI89" s="258"/>
      <c r="AJ89" s="307">
        <f t="shared" si="88"/>
        <v>0</v>
      </c>
      <c r="AK89" s="137"/>
      <c r="AL89" s="833"/>
      <c r="AM89" s="136"/>
      <c r="AN89" s="836"/>
      <c r="AO89" s="126"/>
    </row>
    <row r="90" spans="1:45" x14ac:dyDescent="0.6">
      <c r="A90" s="862"/>
      <c r="B90" s="722" t="s">
        <v>373</v>
      </c>
      <c r="C90" s="175" t="s">
        <v>404</v>
      </c>
      <c r="D90" s="128"/>
      <c r="E90" s="129"/>
      <c r="F90" s="148"/>
      <c r="G90" s="148"/>
      <c r="H90" s="148"/>
      <c r="I90" s="148"/>
      <c r="J90" s="148"/>
      <c r="K90" s="148"/>
      <c r="L90" s="148"/>
      <c r="M90" s="148"/>
      <c r="N90" s="148"/>
      <c r="O90" s="148"/>
      <c r="P90" s="148"/>
      <c r="Q90" s="148"/>
      <c r="R90" s="148"/>
      <c r="S90" s="148"/>
      <c r="T90" s="148"/>
      <c r="U90" s="148"/>
      <c r="V90" s="148"/>
      <c r="W90" s="148"/>
      <c r="X90" s="148"/>
      <c r="Y90" s="258"/>
      <c r="Z90" s="132">
        <f t="shared" si="87"/>
        <v>0</v>
      </c>
      <c r="AA90" s="133">
        <f t="shared" si="87"/>
        <v>0</v>
      </c>
      <c r="AB90" s="259"/>
      <c r="AC90" s="148"/>
      <c r="AD90" s="148"/>
      <c r="AE90" s="148"/>
      <c r="AF90" s="148"/>
      <c r="AG90" s="148"/>
      <c r="AH90" s="148"/>
      <c r="AI90" s="258"/>
      <c r="AJ90" s="307">
        <f t="shared" si="88"/>
        <v>0</v>
      </c>
      <c r="AK90" s="137"/>
      <c r="AL90" s="833"/>
      <c r="AM90" s="136"/>
      <c r="AN90" s="836"/>
      <c r="AO90" s="126"/>
    </row>
    <row r="91" spans="1:45" x14ac:dyDescent="0.6">
      <c r="A91" s="862"/>
      <c r="B91" s="722" t="s">
        <v>375</v>
      </c>
      <c r="C91" s="175" t="s">
        <v>405</v>
      </c>
      <c r="D91" s="128"/>
      <c r="E91" s="129"/>
      <c r="F91" s="148"/>
      <c r="G91" s="148"/>
      <c r="H91" s="148"/>
      <c r="I91" s="148"/>
      <c r="J91" s="148"/>
      <c r="K91" s="148"/>
      <c r="L91" s="148"/>
      <c r="M91" s="148"/>
      <c r="N91" s="148"/>
      <c r="O91" s="148"/>
      <c r="P91" s="148"/>
      <c r="Q91" s="148"/>
      <c r="R91" s="148"/>
      <c r="S91" s="148"/>
      <c r="T91" s="148"/>
      <c r="U91" s="148"/>
      <c r="V91" s="148"/>
      <c r="W91" s="148"/>
      <c r="X91" s="148"/>
      <c r="Y91" s="258"/>
      <c r="Z91" s="132">
        <f t="shared" si="87"/>
        <v>0</v>
      </c>
      <c r="AA91" s="133">
        <f t="shared" si="87"/>
        <v>0</v>
      </c>
      <c r="AB91" s="259"/>
      <c r="AC91" s="148"/>
      <c r="AD91" s="148"/>
      <c r="AE91" s="148"/>
      <c r="AF91" s="148"/>
      <c r="AG91" s="148"/>
      <c r="AH91" s="148"/>
      <c r="AI91" s="258"/>
      <c r="AJ91" s="307">
        <f t="shared" si="88"/>
        <v>0</v>
      </c>
      <c r="AK91" s="137"/>
      <c r="AL91" s="833"/>
      <c r="AM91" s="136"/>
      <c r="AN91" s="836"/>
      <c r="AO91" s="126"/>
    </row>
    <row r="92" spans="1:45" ht="31.5" thickBot="1" x14ac:dyDescent="0.65">
      <c r="A92" s="863"/>
      <c r="B92" s="723" t="s">
        <v>377</v>
      </c>
      <c r="C92" s="184" t="s">
        <v>406</v>
      </c>
      <c r="D92" s="308"/>
      <c r="E92" s="309"/>
      <c r="F92" s="310"/>
      <c r="G92" s="310"/>
      <c r="H92" s="310"/>
      <c r="I92" s="310"/>
      <c r="J92" s="310"/>
      <c r="K92" s="310"/>
      <c r="L92" s="310"/>
      <c r="M92" s="310"/>
      <c r="N92" s="310"/>
      <c r="O92" s="310"/>
      <c r="P92" s="310"/>
      <c r="Q92" s="310"/>
      <c r="R92" s="310"/>
      <c r="S92" s="310"/>
      <c r="T92" s="310"/>
      <c r="U92" s="310"/>
      <c r="V92" s="310"/>
      <c r="W92" s="310"/>
      <c r="X92" s="310"/>
      <c r="Y92" s="311"/>
      <c r="Z92" s="245">
        <f t="shared" si="87"/>
        <v>0</v>
      </c>
      <c r="AA92" s="246">
        <f t="shared" si="87"/>
        <v>0</v>
      </c>
      <c r="AB92" s="312"/>
      <c r="AC92" s="310"/>
      <c r="AD92" s="310"/>
      <c r="AE92" s="310"/>
      <c r="AF92" s="310"/>
      <c r="AG92" s="310"/>
      <c r="AH92" s="310"/>
      <c r="AI92" s="311"/>
      <c r="AJ92" s="313">
        <f t="shared" si="88"/>
        <v>0</v>
      </c>
      <c r="AK92" s="137"/>
      <c r="AL92" s="833"/>
      <c r="AM92" s="136"/>
      <c r="AN92" s="836"/>
      <c r="AO92" s="126"/>
    </row>
    <row r="93" spans="1:45" s="2" customFormat="1" ht="26.25" customHeight="1" x14ac:dyDescent="0.6">
      <c r="A93" s="974" t="s">
        <v>763</v>
      </c>
      <c r="B93" s="736" t="s">
        <v>739</v>
      </c>
      <c r="C93" s="314" t="s">
        <v>450</v>
      </c>
      <c r="D93" s="315">
        <f t="shared" ref="D93:Y93" si="89">SUM(D13+D27+D33+D39+D45+D51+D87+D72+D79+D152+D160+D162+D164+D166+D168+D170+D172+D174+D21)</f>
        <v>0</v>
      </c>
      <c r="E93" s="316">
        <f t="shared" si="89"/>
        <v>0</v>
      </c>
      <c r="F93" s="316">
        <f t="shared" si="89"/>
        <v>0</v>
      </c>
      <c r="G93" s="316">
        <f t="shared" si="89"/>
        <v>0</v>
      </c>
      <c r="H93" s="316">
        <f t="shared" si="89"/>
        <v>0</v>
      </c>
      <c r="I93" s="316">
        <f t="shared" si="89"/>
        <v>0</v>
      </c>
      <c r="J93" s="316">
        <f t="shared" si="89"/>
        <v>0</v>
      </c>
      <c r="K93" s="316">
        <f t="shared" si="89"/>
        <v>0</v>
      </c>
      <c r="L93" s="316">
        <f t="shared" si="89"/>
        <v>0</v>
      </c>
      <c r="M93" s="316">
        <f t="shared" si="89"/>
        <v>0</v>
      </c>
      <c r="N93" s="316">
        <f t="shared" si="89"/>
        <v>0</v>
      </c>
      <c r="O93" s="316">
        <f t="shared" si="89"/>
        <v>0</v>
      </c>
      <c r="P93" s="316">
        <f t="shared" si="89"/>
        <v>0</v>
      </c>
      <c r="Q93" s="316">
        <f t="shared" si="89"/>
        <v>0</v>
      </c>
      <c r="R93" s="316">
        <f t="shared" si="89"/>
        <v>0</v>
      </c>
      <c r="S93" s="316">
        <f t="shared" si="89"/>
        <v>0</v>
      </c>
      <c r="T93" s="316">
        <f t="shared" si="89"/>
        <v>0</v>
      </c>
      <c r="U93" s="316">
        <f t="shared" si="89"/>
        <v>0</v>
      </c>
      <c r="V93" s="316">
        <f t="shared" si="89"/>
        <v>0</v>
      </c>
      <c r="W93" s="316">
        <f t="shared" si="89"/>
        <v>0</v>
      </c>
      <c r="X93" s="316">
        <f t="shared" si="89"/>
        <v>0</v>
      </c>
      <c r="Y93" s="317">
        <f t="shared" si="89"/>
        <v>0</v>
      </c>
      <c r="Z93" s="270">
        <f t="shared" si="85"/>
        <v>0</v>
      </c>
      <c r="AA93" s="271">
        <f t="shared" si="86"/>
        <v>0</v>
      </c>
      <c r="AB93" s="315">
        <f t="shared" ref="AB93:AI93" si="90">SUM(AB13+AB27+AB33+AB39+AB45+AB51+AB87+AB72+AB79+AB152+AB160+AB162+AB164+AB166+AB168+AB170+AB172+AB174+AB21)</f>
        <v>0</v>
      </c>
      <c r="AC93" s="316">
        <f t="shared" si="90"/>
        <v>0</v>
      </c>
      <c r="AD93" s="316">
        <f t="shared" si="90"/>
        <v>0</v>
      </c>
      <c r="AE93" s="316">
        <f t="shared" si="90"/>
        <v>0</v>
      </c>
      <c r="AF93" s="316">
        <f t="shared" si="90"/>
        <v>0</v>
      </c>
      <c r="AG93" s="316">
        <f t="shared" si="90"/>
        <v>0</v>
      </c>
      <c r="AH93" s="316">
        <f t="shared" si="90"/>
        <v>0</v>
      </c>
      <c r="AI93" s="317">
        <f t="shared" si="90"/>
        <v>0</v>
      </c>
      <c r="AJ93" s="318">
        <f t="shared" si="83"/>
        <v>0</v>
      </c>
      <c r="AK93" s="319"/>
      <c r="AL93" s="833"/>
      <c r="AM93" s="320" t="str">
        <f>CONCATENATE(IF(AJ226&gt;SUM(AJ28,AJ34,AJ40,AJ46,AJ52,AJ88,AJ73,AJ79,AJ159,AJ163,AJ167,AJ171)," * This site has more started on ART than positives"&amp;CHAR(10),""),"")</f>
        <v/>
      </c>
      <c r="AN93" s="836"/>
      <c r="AO93" s="126">
        <v>48</v>
      </c>
      <c r="AQ93" s="1043"/>
      <c r="AR93" s="1043"/>
      <c r="AS93" s="1043"/>
    </row>
    <row r="94" spans="1:45" s="13" customFormat="1" x14ac:dyDescent="0.6">
      <c r="A94" s="975"/>
      <c r="B94" s="737" t="s">
        <v>449</v>
      </c>
      <c r="C94" s="254" t="s">
        <v>451</v>
      </c>
      <c r="D94" s="321">
        <f t="shared" ref="D94:Y94" si="91">SUM(D14+D22+D28+D34+D40+D46+D52+D88+D73+D80+D153,D161,D163,D165,D167,D169,D171,D173,D175)</f>
        <v>0</v>
      </c>
      <c r="E94" s="322">
        <f t="shared" si="91"/>
        <v>0</v>
      </c>
      <c r="F94" s="322">
        <f t="shared" si="91"/>
        <v>0</v>
      </c>
      <c r="G94" s="322">
        <f t="shared" si="91"/>
        <v>0</v>
      </c>
      <c r="H94" s="322">
        <f t="shared" si="91"/>
        <v>0</v>
      </c>
      <c r="I94" s="322">
        <f t="shared" si="91"/>
        <v>0</v>
      </c>
      <c r="J94" s="322">
        <f t="shared" si="91"/>
        <v>0</v>
      </c>
      <c r="K94" s="322">
        <f t="shared" si="91"/>
        <v>0</v>
      </c>
      <c r="L94" s="322">
        <f t="shared" si="91"/>
        <v>0</v>
      </c>
      <c r="M94" s="322">
        <f t="shared" si="91"/>
        <v>0</v>
      </c>
      <c r="N94" s="322">
        <f t="shared" si="91"/>
        <v>0</v>
      </c>
      <c r="O94" s="322">
        <f t="shared" si="91"/>
        <v>0</v>
      </c>
      <c r="P94" s="322">
        <f t="shared" si="91"/>
        <v>0</v>
      </c>
      <c r="Q94" s="322">
        <f t="shared" si="91"/>
        <v>0</v>
      </c>
      <c r="R94" s="322">
        <f t="shared" si="91"/>
        <v>0</v>
      </c>
      <c r="S94" s="322">
        <f t="shared" si="91"/>
        <v>0</v>
      </c>
      <c r="T94" s="322">
        <f t="shared" si="91"/>
        <v>0</v>
      </c>
      <c r="U94" s="322">
        <f t="shared" si="91"/>
        <v>0</v>
      </c>
      <c r="V94" s="322">
        <f t="shared" si="91"/>
        <v>0</v>
      </c>
      <c r="W94" s="322">
        <f t="shared" si="91"/>
        <v>0</v>
      </c>
      <c r="X94" s="322">
        <f t="shared" si="91"/>
        <v>0</v>
      </c>
      <c r="Y94" s="323">
        <f t="shared" si="91"/>
        <v>0</v>
      </c>
      <c r="Z94" s="276">
        <f t="shared" si="85"/>
        <v>0</v>
      </c>
      <c r="AA94" s="277">
        <f t="shared" si="86"/>
        <v>0</v>
      </c>
      <c r="AB94" s="321">
        <f t="shared" ref="AB94:AI94" si="92">SUM(AB14+AB22+AB28+AB34+AB40+AB46+AB52+AB88+AB73+AB80+AB153,AB161,AB163,AB165,AB167,AB169,AB171,AB173,AB175)</f>
        <v>0</v>
      </c>
      <c r="AC94" s="322">
        <f t="shared" si="92"/>
        <v>0</v>
      </c>
      <c r="AD94" s="322">
        <f t="shared" si="92"/>
        <v>0</v>
      </c>
      <c r="AE94" s="322">
        <f t="shared" si="92"/>
        <v>0</v>
      </c>
      <c r="AF94" s="322">
        <f t="shared" si="92"/>
        <v>0</v>
      </c>
      <c r="AG94" s="322">
        <f t="shared" si="92"/>
        <v>0</v>
      </c>
      <c r="AH94" s="322">
        <f t="shared" si="92"/>
        <v>0</v>
      </c>
      <c r="AI94" s="323">
        <f t="shared" si="92"/>
        <v>0</v>
      </c>
      <c r="AJ94" s="135">
        <f t="shared" si="83"/>
        <v>0</v>
      </c>
      <c r="AK94" s="319"/>
      <c r="AL94" s="833"/>
      <c r="AM94" s="324" t="str">
        <f>CONCATENATE(IF(AND(AJ226=0,SUM(AJ28,AJ34,AJ40,AJ46,AJ52,AJ88,AJ73,AJ79,AJ159,AJ163,AJ167,AJ171)&gt;0)," * This site has positives but none was started on ART"&amp;CHAR(10),""),"")</f>
        <v/>
      </c>
      <c r="AN94" s="836"/>
      <c r="AO94" s="126">
        <v>49</v>
      </c>
      <c r="AQ94" s="1048"/>
      <c r="AR94" s="1048"/>
      <c r="AS94" s="1048"/>
    </row>
    <row r="95" spans="1:45" s="13" customFormat="1" x14ac:dyDescent="0.6">
      <c r="A95" s="975"/>
      <c r="B95" s="737" t="s">
        <v>389</v>
      </c>
      <c r="C95" s="254" t="s">
        <v>423</v>
      </c>
      <c r="D95" s="321">
        <f t="shared" ref="D95:AI95" si="93">D81+D74+D89+D68+D59+D53+D47+D41+D35+D29+D23+D15</f>
        <v>0</v>
      </c>
      <c r="E95" s="322">
        <f t="shared" si="93"/>
        <v>0</v>
      </c>
      <c r="F95" s="322">
        <f t="shared" si="93"/>
        <v>0</v>
      </c>
      <c r="G95" s="322">
        <f t="shared" si="93"/>
        <v>0</v>
      </c>
      <c r="H95" s="322">
        <f t="shared" si="93"/>
        <v>0</v>
      </c>
      <c r="I95" s="322">
        <f t="shared" si="93"/>
        <v>0</v>
      </c>
      <c r="J95" s="322">
        <f t="shared" si="93"/>
        <v>0</v>
      </c>
      <c r="K95" s="322">
        <f t="shared" si="93"/>
        <v>0</v>
      </c>
      <c r="L95" s="322">
        <f t="shared" si="93"/>
        <v>0</v>
      </c>
      <c r="M95" s="322">
        <f t="shared" si="93"/>
        <v>0</v>
      </c>
      <c r="N95" s="322">
        <f t="shared" si="93"/>
        <v>0</v>
      </c>
      <c r="O95" s="322">
        <f t="shared" si="93"/>
        <v>0</v>
      </c>
      <c r="P95" s="322">
        <f t="shared" si="93"/>
        <v>0</v>
      </c>
      <c r="Q95" s="322">
        <f t="shared" si="93"/>
        <v>0</v>
      </c>
      <c r="R95" s="322">
        <f t="shared" si="93"/>
        <v>0</v>
      </c>
      <c r="S95" s="322">
        <f t="shared" si="93"/>
        <v>0</v>
      </c>
      <c r="T95" s="322">
        <f t="shared" si="93"/>
        <v>0</v>
      </c>
      <c r="U95" s="322">
        <f t="shared" si="93"/>
        <v>0</v>
      </c>
      <c r="V95" s="322">
        <f t="shared" si="93"/>
        <v>0</v>
      </c>
      <c r="W95" s="322">
        <f t="shared" si="93"/>
        <v>0</v>
      </c>
      <c r="X95" s="322">
        <f t="shared" si="93"/>
        <v>0</v>
      </c>
      <c r="Y95" s="323">
        <f t="shared" si="93"/>
        <v>0</v>
      </c>
      <c r="Z95" s="321">
        <f t="shared" si="93"/>
        <v>0</v>
      </c>
      <c r="AA95" s="323">
        <f t="shared" si="93"/>
        <v>0</v>
      </c>
      <c r="AB95" s="321">
        <f t="shared" si="93"/>
        <v>0</v>
      </c>
      <c r="AC95" s="322">
        <f t="shared" si="93"/>
        <v>0</v>
      </c>
      <c r="AD95" s="322">
        <f t="shared" si="93"/>
        <v>0</v>
      </c>
      <c r="AE95" s="322">
        <f t="shared" si="93"/>
        <v>0</v>
      </c>
      <c r="AF95" s="322">
        <f t="shared" si="93"/>
        <v>0</v>
      </c>
      <c r="AG95" s="322">
        <f t="shared" si="93"/>
        <v>0</v>
      </c>
      <c r="AH95" s="322">
        <f t="shared" si="93"/>
        <v>0</v>
      </c>
      <c r="AI95" s="323">
        <f t="shared" si="93"/>
        <v>0</v>
      </c>
      <c r="AJ95" s="135">
        <f t="shared" si="83"/>
        <v>0</v>
      </c>
      <c r="AK95" s="325"/>
      <c r="AL95" s="833"/>
      <c r="AM95" s="326"/>
      <c r="AN95" s="836"/>
      <c r="AO95" s="126"/>
      <c r="AQ95" s="1048"/>
      <c r="AR95" s="1048"/>
      <c r="AS95" s="1048"/>
    </row>
    <row r="96" spans="1:45" s="13" customFormat="1" x14ac:dyDescent="0.6">
      <c r="A96" s="975"/>
      <c r="B96" s="737" t="s">
        <v>373</v>
      </c>
      <c r="C96" s="254" t="s">
        <v>424</v>
      </c>
      <c r="D96" s="321">
        <f t="shared" ref="D96:AI96" si="94">D82+D75+D90+D69+D60+D54+D48+D42+D36+D30+D24+D16</f>
        <v>0</v>
      </c>
      <c r="E96" s="322">
        <f t="shared" si="94"/>
        <v>0</v>
      </c>
      <c r="F96" s="322">
        <f t="shared" si="94"/>
        <v>0</v>
      </c>
      <c r="G96" s="322">
        <f t="shared" si="94"/>
        <v>0</v>
      </c>
      <c r="H96" s="322">
        <f t="shared" si="94"/>
        <v>0</v>
      </c>
      <c r="I96" s="322">
        <f t="shared" si="94"/>
        <v>0</v>
      </c>
      <c r="J96" s="322">
        <f t="shared" si="94"/>
        <v>0</v>
      </c>
      <c r="K96" s="322">
        <f t="shared" si="94"/>
        <v>0</v>
      </c>
      <c r="L96" s="322">
        <f t="shared" si="94"/>
        <v>0</v>
      </c>
      <c r="M96" s="322">
        <f t="shared" si="94"/>
        <v>0</v>
      </c>
      <c r="N96" s="322">
        <f t="shared" si="94"/>
        <v>0</v>
      </c>
      <c r="O96" s="322">
        <f t="shared" si="94"/>
        <v>0</v>
      </c>
      <c r="P96" s="322">
        <f t="shared" si="94"/>
        <v>0</v>
      </c>
      <c r="Q96" s="322">
        <f t="shared" si="94"/>
        <v>0</v>
      </c>
      <c r="R96" s="322">
        <f t="shared" si="94"/>
        <v>0</v>
      </c>
      <c r="S96" s="322">
        <f t="shared" si="94"/>
        <v>0</v>
      </c>
      <c r="T96" s="322">
        <f t="shared" si="94"/>
        <v>0</v>
      </c>
      <c r="U96" s="322">
        <f t="shared" si="94"/>
        <v>0</v>
      </c>
      <c r="V96" s="322">
        <f t="shared" si="94"/>
        <v>0</v>
      </c>
      <c r="W96" s="322">
        <f t="shared" si="94"/>
        <v>0</v>
      </c>
      <c r="X96" s="322">
        <f t="shared" si="94"/>
        <v>0</v>
      </c>
      <c r="Y96" s="323">
        <f t="shared" si="94"/>
        <v>0</v>
      </c>
      <c r="Z96" s="321">
        <f t="shared" si="94"/>
        <v>0</v>
      </c>
      <c r="AA96" s="323">
        <f t="shared" si="94"/>
        <v>0</v>
      </c>
      <c r="AB96" s="321">
        <f t="shared" si="94"/>
        <v>0</v>
      </c>
      <c r="AC96" s="322">
        <f t="shared" si="94"/>
        <v>0</v>
      </c>
      <c r="AD96" s="322">
        <f t="shared" si="94"/>
        <v>0</v>
      </c>
      <c r="AE96" s="322">
        <f t="shared" si="94"/>
        <v>0</v>
      </c>
      <c r="AF96" s="322">
        <f t="shared" si="94"/>
        <v>0</v>
      </c>
      <c r="AG96" s="322">
        <f t="shared" si="94"/>
        <v>0</v>
      </c>
      <c r="AH96" s="322">
        <f t="shared" si="94"/>
        <v>0</v>
      </c>
      <c r="AI96" s="323">
        <f t="shared" si="94"/>
        <v>0</v>
      </c>
      <c r="AJ96" s="135">
        <f t="shared" si="83"/>
        <v>0</v>
      </c>
      <c r="AK96" s="325"/>
      <c r="AL96" s="833"/>
      <c r="AM96" s="326"/>
      <c r="AN96" s="836"/>
      <c r="AO96" s="126"/>
      <c r="AQ96" s="1048"/>
      <c r="AR96" s="1048"/>
      <c r="AS96" s="1048"/>
    </row>
    <row r="97" spans="1:45" s="13" customFormat="1" x14ac:dyDescent="0.6">
      <c r="A97" s="975"/>
      <c r="B97" s="737" t="s">
        <v>375</v>
      </c>
      <c r="C97" s="254" t="s">
        <v>425</v>
      </c>
      <c r="D97" s="321">
        <f t="shared" ref="D97:AI97" si="95">D83+D76+D91+D70+D61+D55+D49+D43+D37+D31+D25+D17</f>
        <v>0</v>
      </c>
      <c r="E97" s="322">
        <f t="shared" si="95"/>
        <v>0</v>
      </c>
      <c r="F97" s="322">
        <f t="shared" si="95"/>
        <v>0</v>
      </c>
      <c r="G97" s="322">
        <f t="shared" si="95"/>
        <v>0</v>
      </c>
      <c r="H97" s="322">
        <f t="shared" si="95"/>
        <v>0</v>
      </c>
      <c r="I97" s="322">
        <f t="shared" si="95"/>
        <v>0</v>
      </c>
      <c r="J97" s="322">
        <f t="shared" si="95"/>
        <v>0</v>
      </c>
      <c r="K97" s="322">
        <f t="shared" si="95"/>
        <v>0</v>
      </c>
      <c r="L97" s="322">
        <f t="shared" si="95"/>
        <v>0</v>
      </c>
      <c r="M97" s="322">
        <f t="shared" si="95"/>
        <v>0</v>
      </c>
      <c r="N97" s="322">
        <f t="shared" si="95"/>
        <v>0</v>
      </c>
      <c r="O97" s="322">
        <f t="shared" si="95"/>
        <v>0</v>
      </c>
      <c r="P97" s="322">
        <f t="shared" si="95"/>
        <v>0</v>
      </c>
      <c r="Q97" s="322">
        <f t="shared" si="95"/>
        <v>0</v>
      </c>
      <c r="R97" s="322">
        <f t="shared" si="95"/>
        <v>0</v>
      </c>
      <c r="S97" s="322">
        <f t="shared" si="95"/>
        <v>0</v>
      </c>
      <c r="T97" s="322">
        <f t="shared" si="95"/>
        <v>0</v>
      </c>
      <c r="U97" s="322">
        <f t="shared" si="95"/>
        <v>0</v>
      </c>
      <c r="V97" s="322">
        <f t="shared" si="95"/>
        <v>0</v>
      </c>
      <c r="W97" s="322">
        <f t="shared" si="95"/>
        <v>0</v>
      </c>
      <c r="X97" s="322">
        <f t="shared" si="95"/>
        <v>0</v>
      </c>
      <c r="Y97" s="323">
        <f t="shared" si="95"/>
        <v>0</v>
      </c>
      <c r="Z97" s="321">
        <f t="shared" si="95"/>
        <v>0</v>
      </c>
      <c r="AA97" s="323">
        <f t="shared" si="95"/>
        <v>0</v>
      </c>
      <c r="AB97" s="321">
        <f t="shared" si="95"/>
        <v>0</v>
      </c>
      <c r="AC97" s="322">
        <f t="shared" si="95"/>
        <v>0</v>
      </c>
      <c r="AD97" s="322">
        <f t="shared" si="95"/>
        <v>0</v>
      </c>
      <c r="AE97" s="322">
        <f t="shared" si="95"/>
        <v>0</v>
      </c>
      <c r="AF97" s="322">
        <f t="shared" si="95"/>
        <v>0</v>
      </c>
      <c r="AG97" s="322">
        <f t="shared" si="95"/>
        <v>0</v>
      </c>
      <c r="AH97" s="322">
        <f t="shared" si="95"/>
        <v>0</v>
      </c>
      <c r="AI97" s="323">
        <f t="shared" si="95"/>
        <v>0</v>
      </c>
      <c r="AJ97" s="135">
        <f t="shared" si="83"/>
        <v>0</v>
      </c>
      <c r="AK97" s="325"/>
      <c r="AL97" s="833"/>
      <c r="AM97" s="326"/>
      <c r="AN97" s="836"/>
      <c r="AO97" s="126"/>
      <c r="AQ97" s="1048"/>
      <c r="AR97" s="1048"/>
      <c r="AS97" s="1048"/>
    </row>
    <row r="98" spans="1:45" s="13" customFormat="1" ht="31.5" thickBot="1" x14ac:dyDescent="0.65">
      <c r="A98" s="976"/>
      <c r="B98" s="738" t="s">
        <v>377</v>
      </c>
      <c r="C98" s="261" t="s">
        <v>426</v>
      </c>
      <c r="D98" s="327">
        <f t="shared" ref="D98:AI98" si="96">D84+D77+D92+D71+D62+D56+D50+D44+D38+D32+D26+D18</f>
        <v>0</v>
      </c>
      <c r="E98" s="328">
        <f t="shared" si="96"/>
        <v>0</v>
      </c>
      <c r="F98" s="328">
        <f t="shared" si="96"/>
        <v>0</v>
      </c>
      <c r="G98" s="328">
        <f t="shared" si="96"/>
        <v>0</v>
      </c>
      <c r="H98" s="328">
        <f t="shared" si="96"/>
        <v>0</v>
      </c>
      <c r="I98" s="328">
        <f t="shared" si="96"/>
        <v>0</v>
      </c>
      <c r="J98" s="328">
        <f t="shared" si="96"/>
        <v>0</v>
      </c>
      <c r="K98" s="328">
        <f t="shared" si="96"/>
        <v>0</v>
      </c>
      <c r="L98" s="328">
        <f t="shared" si="96"/>
        <v>0</v>
      </c>
      <c r="M98" s="328">
        <f t="shared" si="96"/>
        <v>0</v>
      </c>
      <c r="N98" s="328">
        <f t="shared" si="96"/>
        <v>0</v>
      </c>
      <c r="O98" s="328">
        <f t="shared" si="96"/>
        <v>0</v>
      </c>
      <c r="P98" s="328">
        <f t="shared" si="96"/>
        <v>0</v>
      </c>
      <c r="Q98" s="328">
        <f t="shared" si="96"/>
        <v>0</v>
      </c>
      <c r="R98" s="328">
        <f t="shared" si="96"/>
        <v>0</v>
      </c>
      <c r="S98" s="328">
        <f t="shared" si="96"/>
        <v>0</v>
      </c>
      <c r="T98" s="328">
        <f t="shared" si="96"/>
        <v>0</v>
      </c>
      <c r="U98" s="328">
        <f t="shared" si="96"/>
        <v>0</v>
      </c>
      <c r="V98" s="328">
        <f t="shared" si="96"/>
        <v>0</v>
      </c>
      <c r="W98" s="328">
        <f t="shared" si="96"/>
        <v>0</v>
      </c>
      <c r="X98" s="328">
        <f t="shared" si="96"/>
        <v>0</v>
      </c>
      <c r="Y98" s="329">
        <f t="shared" si="96"/>
        <v>0</v>
      </c>
      <c r="Z98" s="327">
        <f t="shared" si="96"/>
        <v>0</v>
      </c>
      <c r="AA98" s="329">
        <f t="shared" si="96"/>
        <v>0</v>
      </c>
      <c r="AB98" s="327">
        <f t="shared" si="96"/>
        <v>0</v>
      </c>
      <c r="AC98" s="328">
        <f t="shared" si="96"/>
        <v>0</v>
      </c>
      <c r="AD98" s="328">
        <f t="shared" si="96"/>
        <v>0</v>
      </c>
      <c r="AE98" s="328">
        <f t="shared" si="96"/>
        <v>0</v>
      </c>
      <c r="AF98" s="328">
        <f t="shared" si="96"/>
        <v>0</v>
      </c>
      <c r="AG98" s="328">
        <f t="shared" si="96"/>
        <v>0</v>
      </c>
      <c r="AH98" s="328">
        <f t="shared" si="96"/>
        <v>0</v>
      </c>
      <c r="AI98" s="329">
        <f t="shared" si="96"/>
        <v>0</v>
      </c>
      <c r="AJ98" s="168">
        <f t="shared" si="83"/>
        <v>0</v>
      </c>
      <c r="AK98" s="325"/>
      <c r="AL98" s="834"/>
      <c r="AM98" s="326"/>
      <c r="AN98" s="837"/>
      <c r="AO98" s="126"/>
      <c r="AQ98" s="1048"/>
      <c r="AR98" s="1048"/>
      <c r="AS98" s="1048"/>
    </row>
    <row r="99" spans="1:45" ht="31.5" thickBot="1" x14ac:dyDescent="0.65">
      <c r="A99" s="991" t="s">
        <v>713</v>
      </c>
      <c r="B99" s="946"/>
      <c r="C99" s="946"/>
      <c r="D99" s="946"/>
      <c r="E99" s="946"/>
      <c r="F99" s="946"/>
      <c r="G99" s="946"/>
      <c r="H99" s="946"/>
      <c r="I99" s="946"/>
      <c r="J99" s="946"/>
      <c r="K99" s="946"/>
      <c r="L99" s="946"/>
      <c r="M99" s="946"/>
      <c r="N99" s="946"/>
      <c r="O99" s="946"/>
      <c r="P99" s="946"/>
      <c r="Q99" s="946"/>
      <c r="R99" s="946"/>
      <c r="S99" s="946"/>
      <c r="T99" s="946"/>
      <c r="U99" s="946"/>
      <c r="V99" s="946"/>
      <c r="W99" s="946"/>
      <c r="X99" s="946"/>
      <c r="Y99" s="946"/>
      <c r="Z99" s="946"/>
      <c r="AA99" s="946"/>
      <c r="AB99" s="946"/>
      <c r="AC99" s="946"/>
      <c r="AD99" s="946"/>
      <c r="AE99" s="946"/>
      <c r="AF99" s="946"/>
      <c r="AG99" s="946"/>
      <c r="AH99" s="946"/>
      <c r="AI99" s="946"/>
      <c r="AJ99" s="941"/>
      <c r="AK99" s="946"/>
      <c r="AL99" s="941"/>
      <c r="AM99" s="941"/>
      <c r="AN99" s="992"/>
      <c r="AO99" s="330">
        <v>50</v>
      </c>
    </row>
    <row r="100" spans="1:45" ht="29.25" customHeight="1" x14ac:dyDescent="0.6">
      <c r="A100" s="876" t="s">
        <v>159</v>
      </c>
      <c r="B100" s="720" t="s">
        <v>63</v>
      </c>
      <c r="C100" s="115" t="s">
        <v>457</v>
      </c>
      <c r="D100" s="331"/>
      <c r="E100" s="332"/>
      <c r="F100" s="117"/>
      <c r="G100" s="117"/>
      <c r="H100" s="117"/>
      <c r="I100" s="117"/>
      <c r="J100" s="117"/>
      <c r="K100" s="117"/>
      <c r="L100" s="117"/>
      <c r="M100" s="118"/>
      <c r="N100" s="117"/>
      <c r="O100" s="118"/>
      <c r="P100" s="117"/>
      <c r="Q100" s="118"/>
      <c r="R100" s="117"/>
      <c r="S100" s="118"/>
      <c r="T100" s="117"/>
      <c r="U100" s="118"/>
      <c r="V100" s="117"/>
      <c r="W100" s="118"/>
      <c r="X100" s="117"/>
      <c r="Y100" s="118"/>
      <c r="Z100" s="117"/>
      <c r="AA100" s="120"/>
      <c r="AB100" s="333"/>
      <c r="AC100" s="334"/>
      <c r="AD100" s="334"/>
      <c r="AE100" s="334"/>
      <c r="AF100" s="334"/>
      <c r="AG100" s="334"/>
      <c r="AH100" s="334"/>
      <c r="AI100" s="335"/>
      <c r="AJ100" s="336">
        <f t="shared" ref="AJ100:AJ103" si="97">SUM(D100:AA100)</f>
        <v>0</v>
      </c>
      <c r="AK100" s="1001" t="str">
        <f>CONCATENATE(IF(D101&gt;D100," * Positive FSW for Age "&amp;D6&amp;" "&amp;D7&amp;" is more than Tested FSW"&amp;CHAR(10),""),IF(E101&gt;E100," * Positive FSW for Age "&amp;D6&amp;" "&amp;E7&amp;" is more than Tested FSW"&amp;CHAR(10),""),IF(F101&gt;F100," * Positive FSW for Age "&amp;F6&amp;" "&amp;F7&amp;" is more than Tested FSW"&amp;CHAR(10),""),IF(G101&gt;G100," * Positive FSW for Age "&amp;F6&amp;" "&amp;G7&amp;" is more than Tested FSW"&amp;CHAR(10),""),IF(H101&gt;H100," * Positive FSW for Age "&amp;H6&amp;" "&amp;H7&amp;" is more than Tested FSW"&amp;CHAR(10),""),IF(I101&gt;I100," * Positive FSW for Age "&amp;H6&amp;" "&amp;I7&amp;" is more than Tested FSW"&amp;CHAR(10),""),IF(J101&gt;J100," * Positive FSW for Age "&amp;J6&amp;" "&amp;J7&amp;" is more than Tested FSW"&amp;CHAR(10),""),IF(K101&gt;K100," * Positive FSW for Age "&amp;J6&amp;" "&amp;K7&amp;" is more than Tested FSW"&amp;CHAR(10),""),IF(L101&gt;L100," * Positive FSW for Age "&amp;L6&amp;" "&amp;L7&amp;" is more than Tested FSW"&amp;CHAR(10),""),IF(M101&gt;M100," * Positive FSW for Age "&amp;L6&amp;" "&amp;M7&amp;" is more than Tested FSW"&amp;CHAR(10),""),IF(N101&gt;N100," * Positive FSW for Age "&amp;N6&amp;" "&amp;N7&amp;" is more than Tested FSW"&amp;CHAR(10),""),IF(O101&gt;O100," * Positive FSW for Age "&amp;N6&amp;" "&amp;O7&amp;" is more than Tested FSW"&amp;CHAR(10),""),IF(P101&gt;P100," * Positive FSW for Age "&amp;P6&amp;" "&amp;P7&amp;" is more than Tested FSW"&amp;CHAR(10),""),IF(Q101&gt;Q100," * Positive FSW for Age "&amp;P6&amp;" "&amp;Q7&amp;" is more than Tested FSW"&amp;CHAR(10),""),IF(R101&gt;R100," * Positive FSW for Age "&amp;R6&amp;" "&amp;R7&amp;" is more than Tested FSW"&amp;CHAR(10),""),IF(S101&gt;S100," * Positive FSW for Age "&amp;R6&amp;" "&amp;S7&amp;" is more than Tested FSW"&amp;CHAR(10),""),IF(T101&gt;T100," * Positive FSW for Age "&amp;T6&amp;" "&amp;T7&amp;" is more than Tested FSW"&amp;CHAR(10),""),IF(U101&gt;U100," * Positive FSW for Age "&amp;T6&amp;" "&amp;U7&amp;" is more than Tested FSW"&amp;CHAR(10),""),IF(V101&gt;V100," * Positive FSW for Age "&amp;V6&amp;" "&amp;V7&amp;" is more than Tested FSW"&amp;CHAR(10),""),IF(W101&gt;W100," * Positive FSW for Age "&amp;V6&amp;" "&amp;W7&amp;" is more than Tested FSW"&amp;CHAR(10),""),IF(X101&gt;X100," * Positive FSW for Age "&amp;X6&amp;" "&amp;X7&amp;" is more than Tested FSW"&amp;CHAR(10),""),IF(Y101&gt;Y100," * Positive FSW for Age "&amp;X6&amp;" "&amp;Y7&amp;" is more than Tested FSW"&amp;CHAR(10),""),IF(Z101&gt;Z100," * Positive FSW for Age "&amp;Z6&amp;" "&amp;Z7&amp;" is more than Tested FSW"&amp;CHAR(10),""),IF(AA101&gt;AA100," * Positive FSW for Age "&amp;Z6&amp;" "&amp;AA7&amp;" is more than Tested FSW"&amp;CHAR(10),""))</f>
        <v/>
      </c>
      <c r="AL100" s="85"/>
      <c r="AM100" s="136" t="str">
        <f>CONCATENATE(IF(AND(IFERROR((AJ101*100)/AJ100,0)&gt;10,AJ101&gt;5)," * This facility has a high positivity rate for Index Testing. Kindly confirm if this is the true reflection"&amp;CHAR(10),""),"")</f>
        <v/>
      </c>
      <c r="AN100" s="86"/>
      <c r="AO100" s="330">
        <v>44</v>
      </c>
    </row>
    <row r="101" spans="1:45" ht="31.5" thickBot="1" x14ac:dyDescent="0.65">
      <c r="A101" s="878"/>
      <c r="B101" s="739" t="s">
        <v>61</v>
      </c>
      <c r="C101" s="337" t="s">
        <v>458</v>
      </c>
      <c r="D101" s="234"/>
      <c r="E101" s="235"/>
      <c r="F101" s="186"/>
      <c r="G101" s="186"/>
      <c r="H101" s="186"/>
      <c r="I101" s="186"/>
      <c r="J101" s="186"/>
      <c r="K101" s="186"/>
      <c r="L101" s="186"/>
      <c r="M101" s="338"/>
      <c r="N101" s="186"/>
      <c r="O101" s="338"/>
      <c r="P101" s="186"/>
      <c r="Q101" s="338"/>
      <c r="R101" s="186"/>
      <c r="S101" s="338"/>
      <c r="T101" s="186"/>
      <c r="U101" s="338"/>
      <c r="V101" s="186"/>
      <c r="W101" s="338"/>
      <c r="X101" s="186"/>
      <c r="Y101" s="338"/>
      <c r="Z101" s="186"/>
      <c r="AA101" s="339"/>
      <c r="AB101" s="333"/>
      <c r="AC101" s="334"/>
      <c r="AD101" s="334"/>
      <c r="AE101" s="334"/>
      <c r="AF101" s="334"/>
      <c r="AG101" s="334"/>
      <c r="AH101" s="334"/>
      <c r="AI101" s="335"/>
      <c r="AJ101" s="340">
        <f t="shared" si="97"/>
        <v>0</v>
      </c>
      <c r="AK101" s="1001"/>
      <c r="AL101" s="87"/>
      <c r="AM101" s="136"/>
      <c r="AN101" s="86"/>
      <c r="AO101" s="330">
        <v>45</v>
      </c>
    </row>
    <row r="102" spans="1:45" ht="29.25" customHeight="1" x14ac:dyDescent="0.6">
      <c r="A102" s="876" t="s">
        <v>158</v>
      </c>
      <c r="B102" s="720" t="s">
        <v>63</v>
      </c>
      <c r="C102" s="115" t="s">
        <v>459</v>
      </c>
      <c r="D102" s="331"/>
      <c r="E102" s="332"/>
      <c r="F102" s="117"/>
      <c r="G102" s="117"/>
      <c r="H102" s="117"/>
      <c r="I102" s="117"/>
      <c r="J102" s="117"/>
      <c r="K102" s="117"/>
      <c r="L102" s="118"/>
      <c r="M102" s="117"/>
      <c r="N102" s="118"/>
      <c r="O102" s="117"/>
      <c r="P102" s="118"/>
      <c r="Q102" s="117"/>
      <c r="R102" s="118"/>
      <c r="S102" s="117"/>
      <c r="T102" s="118"/>
      <c r="U102" s="117"/>
      <c r="V102" s="118"/>
      <c r="W102" s="117"/>
      <c r="X102" s="118"/>
      <c r="Y102" s="117"/>
      <c r="Z102" s="118"/>
      <c r="AA102" s="117"/>
      <c r="AB102" s="333"/>
      <c r="AC102" s="334"/>
      <c r="AD102" s="334"/>
      <c r="AE102" s="334"/>
      <c r="AF102" s="334"/>
      <c r="AG102" s="334"/>
      <c r="AH102" s="334"/>
      <c r="AI102" s="335"/>
      <c r="AJ102" s="336">
        <f t="shared" si="97"/>
        <v>0</v>
      </c>
      <c r="AK102" s="319" t="str">
        <f>CONCATENATE(IF(D103&gt;D102," * Positive MSM for Age "&amp;D6&amp;" "&amp;D7&amp;" is more than Tested MSM"&amp;CHAR(10),""),IF(E103&gt;E102," * Positive MSM for Age "&amp;D6&amp;" "&amp;E7&amp;" is more than Tested MSM"&amp;CHAR(10),""),IF(F103&gt;F102," * Positive MSM for Age "&amp;F6&amp;" "&amp;F7&amp;" is more than Tested MSM"&amp;CHAR(10),""),IF(G103&gt;G102," * Positive MSM for Age "&amp;F6&amp;" "&amp;G7&amp;" is more than Tested MSM"&amp;CHAR(10),""),IF(H103&gt;H102," * Positive MSM for Age "&amp;H6&amp;" "&amp;H7&amp;" is more than Tested MSM"&amp;CHAR(10),""),IF(I103&gt;I102," * Positive MSM for Age "&amp;H6&amp;" "&amp;I7&amp;" is more than Tested MSM"&amp;CHAR(10),""),IF(J103&gt;J102," * Positive MSM for Age "&amp;J6&amp;" "&amp;J7&amp;" is more than Tested MSM"&amp;CHAR(10),""),IF(K103&gt;K102," * Positive MSM for Age "&amp;J6&amp;" "&amp;K7&amp;" is more than Tested MSM"&amp;CHAR(10),""),IF(L103&gt;L102," * Positive MSM for Age "&amp;L6&amp;" "&amp;L7&amp;" is more than Tested MSM"&amp;CHAR(10),""),IF(M103&gt;M102," * Positive MSM for Age "&amp;L6&amp;" "&amp;M7&amp;" is more than Tested MSM"&amp;CHAR(10),""),IF(N103&gt;N102," * Positive MSM for Age "&amp;N6&amp;" "&amp;N7&amp;" is more than Tested MSM"&amp;CHAR(10),""),IF(O103&gt;O102," * Positive MSM for Age "&amp;N6&amp;" "&amp;O7&amp;" is more than Tested MSM"&amp;CHAR(10),""),IF(P103&gt;P102," * Positive MSM for Age "&amp;P6&amp;" "&amp;P7&amp;" is more than Tested MSM"&amp;CHAR(10),""),IF(Q103&gt;Q102," * Positive MSM for Age "&amp;P6&amp;" "&amp;Q7&amp;" is more than Tested MSM"&amp;CHAR(10),""),IF(R103&gt;R102," * Positive MSM for Age "&amp;R6&amp;" "&amp;R7&amp;" is more than Tested MSM"&amp;CHAR(10),""),IF(S103&gt;S102," * Positive MSM for Age "&amp;R6&amp;" "&amp;S7&amp;" is more than Tested MSM"&amp;CHAR(10),""),IF(T103&gt;T102," * Positive MSM for Age "&amp;T6&amp;" "&amp;T7&amp;" is more than Tested MSM"&amp;CHAR(10),""),IF(U103&gt;U102," * Positive MSM for Age "&amp;T6&amp;" "&amp;U7&amp;" is more than Tested MSM"&amp;CHAR(10),""),IF(V103&gt;V102," * Positive MSM for Age "&amp;V6&amp;" "&amp;V7&amp;" is more than Tested MSM"&amp;CHAR(10),""),IF(W103&gt;W102," * Positive MSM for Age "&amp;V6&amp;" "&amp;W7&amp;" is more than Tested MSM"&amp;CHAR(10),""),IF(X103&gt;X102," * Positive MSM for Age "&amp;X6&amp;" "&amp;X7&amp;" is more than Tested MSM"&amp;CHAR(10),""),IF(Y103&gt;Y102," * Positive MSM for Age "&amp;X6&amp;" "&amp;Y7&amp;" is more than Tested MSM"&amp;CHAR(10),""),IF(Z103&gt;Z102," * Positive MSM for Age "&amp;Z6&amp;" "&amp;Z7&amp;" is more than Tested MSM"&amp;CHAR(10),""),IF(AA103&gt;AA102," * Positive MSM for Age "&amp;Z6&amp;" "&amp;AA7&amp;" is more than Tested MSM"&amp;CHAR(10),""))</f>
        <v/>
      </c>
      <c r="AL102" s="87"/>
      <c r="AM102" s="136" t="str">
        <f>CONCATENATE(IF(AND(IFERROR((AJ103*100)/AJ102,0)&gt;10,AJ103&gt;5)," * This facility has a high positivity rate for Index Testing. Kindly confirm if this is the true reflection"&amp;CHAR(10),""),"")</f>
        <v/>
      </c>
      <c r="AN102" s="86"/>
      <c r="AO102" s="330">
        <v>44</v>
      </c>
    </row>
    <row r="103" spans="1:45" ht="31.5" thickBot="1" x14ac:dyDescent="0.65">
      <c r="A103" s="878"/>
      <c r="B103" s="739" t="s">
        <v>61</v>
      </c>
      <c r="C103" s="337" t="s">
        <v>460</v>
      </c>
      <c r="D103" s="234"/>
      <c r="E103" s="235"/>
      <c r="F103" s="186"/>
      <c r="G103" s="186"/>
      <c r="H103" s="186"/>
      <c r="I103" s="186"/>
      <c r="J103" s="186"/>
      <c r="K103" s="186"/>
      <c r="L103" s="338"/>
      <c r="M103" s="186"/>
      <c r="N103" s="338"/>
      <c r="O103" s="186"/>
      <c r="P103" s="338"/>
      <c r="Q103" s="186"/>
      <c r="R103" s="338"/>
      <c r="S103" s="186"/>
      <c r="T103" s="338"/>
      <c r="U103" s="186"/>
      <c r="V103" s="338"/>
      <c r="W103" s="186"/>
      <c r="X103" s="338"/>
      <c r="Y103" s="186"/>
      <c r="Z103" s="338"/>
      <c r="AA103" s="186"/>
      <c r="AB103" s="333"/>
      <c r="AC103" s="334"/>
      <c r="AD103" s="334"/>
      <c r="AE103" s="334"/>
      <c r="AF103" s="334"/>
      <c r="AG103" s="334"/>
      <c r="AH103" s="334"/>
      <c r="AI103" s="335"/>
      <c r="AJ103" s="340">
        <f t="shared" si="97"/>
        <v>0</v>
      </c>
      <c r="AK103" s="319"/>
      <c r="AL103" s="88"/>
      <c r="AM103" s="136"/>
      <c r="AN103" s="86"/>
      <c r="AO103" s="330">
        <v>45</v>
      </c>
    </row>
    <row r="104" spans="1:45" ht="31.5" thickBot="1" x14ac:dyDescent="0.65">
      <c r="A104" s="940" t="s">
        <v>43</v>
      </c>
      <c r="B104" s="941"/>
      <c r="C104" s="946"/>
      <c r="D104" s="941"/>
      <c r="E104" s="941"/>
      <c r="F104" s="941"/>
      <c r="G104" s="941"/>
      <c r="H104" s="941"/>
      <c r="I104" s="941"/>
      <c r="J104" s="941"/>
      <c r="K104" s="941"/>
      <c r="L104" s="941"/>
      <c r="M104" s="941"/>
      <c r="N104" s="941"/>
      <c r="O104" s="941"/>
      <c r="P104" s="941"/>
      <c r="Q104" s="941"/>
      <c r="R104" s="941"/>
      <c r="S104" s="941"/>
      <c r="T104" s="941"/>
      <c r="U104" s="941"/>
      <c r="V104" s="941"/>
      <c r="W104" s="941"/>
      <c r="X104" s="941"/>
      <c r="Y104" s="941"/>
      <c r="Z104" s="941"/>
      <c r="AA104" s="941"/>
      <c r="AB104" s="946"/>
      <c r="AC104" s="946"/>
      <c r="AD104" s="946"/>
      <c r="AE104" s="946"/>
      <c r="AF104" s="946"/>
      <c r="AG104" s="946"/>
      <c r="AH104" s="946"/>
      <c r="AI104" s="946"/>
      <c r="AJ104" s="941"/>
      <c r="AK104" s="941"/>
      <c r="AL104" s="946"/>
      <c r="AM104" s="941"/>
      <c r="AN104" s="948"/>
      <c r="AO104" s="330">
        <v>50</v>
      </c>
    </row>
    <row r="105" spans="1:45" ht="26.25" customHeight="1" x14ac:dyDescent="0.6">
      <c r="A105" s="950" t="s">
        <v>18</v>
      </c>
      <c r="B105" s="964" t="s">
        <v>123</v>
      </c>
      <c r="C105" s="951" t="s">
        <v>122</v>
      </c>
      <c r="D105" s="1038"/>
      <c r="E105" s="1038"/>
      <c r="F105" s="1038"/>
      <c r="G105" s="1038"/>
      <c r="H105" s="1038"/>
      <c r="I105" s="1038"/>
      <c r="J105" s="848" t="s">
        <v>3</v>
      </c>
      <c r="K105" s="848"/>
      <c r="L105" s="848" t="s">
        <v>4</v>
      </c>
      <c r="M105" s="848"/>
      <c r="N105" s="848" t="s">
        <v>5</v>
      </c>
      <c r="O105" s="848"/>
      <c r="P105" s="848" t="s">
        <v>6</v>
      </c>
      <c r="Q105" s="848"/>
      <c r="R105" s="848" t="s">
        <v>7</v>
      </c>
      <c r="S105" s="848"/>
      <c r="T105" s="848" t="s">
        <v>8</v>
      </c>
      <c r="U105" s="848"/>
      <c r="V105" s="848" t="s">
        <v>15</v>
      </c>
      <c r="W105" s="848"/>
      <c r="X105" s="848" t="s">
        <v>16</v>
      </c>
      <c r="Y105" s="848"/>
      <c r="Z105" s="848" t="s">
        <v>9</v>
      </c>
      <c r="AA105" s="848"/>
      <c r="AB105" s="996"/>
      <c r="AC105" s="838"/>
      <c r="AD105" s="838"/>
      <c r="AE105" s="838"/>
      <c r="AF105" s="838"/>
      <c r="AG105" s="838"/>
      <c r="AH105" s="838"/>
      <c r="AI105" s="839"/>
      <c r="AJ105" s="981" t="s">
        <v>13</v>
      </c>
      <c r="AK105" s="983" t="s">
        <v>148</v>
      </c>
      <c r="AL105" s="995" t="s">
        <v>154</v>
      </c>
      <c r="AM105" s="993" t="s">
        <v>155</v>
      </c>
      <c r="AN105" s="1015" t="s">
        <v>155</v>
      </c>
      <c r="AO105" s="330">
        <v>51</v>
      </c>
    </row>
    <row r="106" spans="1:45" ht="27" customHeight="1" thickBot="1" x14ac:dyDescent="0.65">
      <c r="A106" s="845"/>
      <c r="B106" s="851"/>
      <c r="C106" s="952"/>
      <c r="D106" s="1039"/>
      <c r="E106" s="1039"/>
      <c r="F106" s="1039"/>
      <c r="G106" s="1039"/>
      <c r="H106" s="1039"/>
      <c r="I106" s="1039"/>
      <c r="J106" s="114" t="s">
        <v>10</v>
      </c>
      <c r="K106" s="114" t="s">
        <v>11</v>
      </c>
      <c r="L106" s="114" t="s">
        <v>10</v>
      </c>
      <c r="M106" s="114" t="s">
        <v>11</v>
      </c>
      <c r="N106" s="114" t="s">
        <v>10</v>
      </c>
      <c r="O106" s="114" t="s">
        <v>11</v>
      </c>
      <c r="P106" s="114" t="s">
        <v>10</v>
      </c>
      <c r="Q106" s="114" t="s">
        <v>11</v>
      </c>
      <c r="R106" s="114" t="s">
        <v>10</v>
      </c>
      <c r="S106" s="114" t="s">
        <v>11</v>
      </c>
      <c r="T106" s="114" t="s">
        <v>10</v>
      </c>
      <c r="U106" s="114" t="s">
        <v>11</v>
      </c>
      <c r="V106" s="114" t="s">
        <v>10</v>
      </c>
      <c r="W106" s="114" t="s">
        <v>11</v>
      </c>
      <c r="X106" s="114" t="s">
        <v>10</v>
      </c>
      <c r="Y106" s="114" t="s">
        <v>11</v>
      </c>
      <c r="Z106" s="114" t="s">
        <v>10</v>
      </c>
      <c r="AA106" s="114" t="s">
        <v>11</v>
      </c>
      <c r="AB106" s="341"/>
      <c r="AC106" s="342"/>
      <c r="AD106" s="342"/>
      <c r="AE106" s="342"/>
      <c r="AF106" s="342"/>
      <c r="AG106" s="342"/>
      <c r="AH106" s="342"/>
      <c r="AI106" s="343"/>
      <c r="AJ106" s="982"/>
      <c r="AK106" s="984"/>
      <c r="AL106" s="880"/>
      <c r="AM106" s="883"/>
      <c r="AN106" s="944"/>
      <c r="AO106" s="330">
        <v>52</v>
      </c>
    </row>
    <row r="107" spans="1:45" x14ac:dyDescent="0.6">
      <c r="A107" s="876" t="s">
        <v>767</v>
      </c>
      <c r="B107" s="720" t="s">
        <v>714</v>
      </c>
      <c r="C107" s="115" t="s">
        <v>78</v>
      </c>
      <c r="D107" s="116"/>
      <c r="E107" s="117"/>
      <c r="F107" s="117"/>
      <c r="G107" s="117"/>
      <c r="H107" s="117"/>
      <c r="I107" s="344"/>
      <c r="J107" s="123"/>
      <c r="K107" s="118"/>
      <c r="L107" s="118"/>
      <c r="M107" s="118"/>
      <c r="N107" s="118"/>
      <c r="O107" s="118"/>
      <c r="P107" s="118"/>
      <c r="Q107" s="118"/>
      <c r="R107" s="118"/>
      <c r="S107" s="118"/>
      <c r="T107" s="118"/>
      <c r="U107" s="118"/>
      <c r="V107" s="118"/>
      <c r="W107" s="118"/>
      <c r="X107" s="118"/>
      <c r="Y107" s="118"/>
      <c r="Z107" s="118"/>
      <c r="AA107" s="120"/>
      <c r="AB107" s="345"/>
      <c r="AC107" s="346"/>
      <c r="AD107" s="346"/>
      <c r="AE107" s="346"/>
      <c r="AF107" s="346"/>
      <c r="AG107" s="346"/>
      <c r="AH107" s="346"/>
      <c r="AI107" s="347"/>
      <c r="AJ107" s="348">
        <f>SUM(D107:AA107)</f>
        <v>0</v>
      </c>
      <c r="AK107" s="349"/>
      <c r="AL107" s="832" t="str">
        <f>CONCATENATE(AK107,AK108,AK109,AK110,AK112)</f>
        <v/>
      </c>
      <c r="AM107" s="136"/>
      <c r="AN107" s="1031" t="str">
        <f>CONCATENATE(AM107,AM108,AM109,AM110,AM112)</f>
        <v/>
      </c>
      <c r="AO107" s="330">
        <v>53</v>
      </c>
    </row>
    <row r="108" spans="1:45" x14ac:dyDescent="0.6">
      <c r="A108" s="877"/>
      <c r="B108" s="716" t="s">
        <v>354</v>
      </c>
      <c r="C108" s="127" t="s">
        <v>79</v>
      </c>
      <c r="D108" s="128"/>
      <c r="E108" s="129"/>
      <c r="F108" s="129"/>
      <c r="G108" s="129"/>
      <c r="H108" s="129"/>
      <c r="I108" s="140"/>
      <c r="J108" s="156">
        <f>SUM(J109:J112)</f>
        <v>0</v>
      </c>
      <c r="K108" s="350">
        <f t="shared" ref="K108:AA108" si="98">SUM(K109:K112)</f>
        <v>0</v>
      </c>
      <c r="L108" s="350">
        <f t="shared" si="98"/>
        <v>0</v>
      </c>
      <c r="M108" s="350">
        <f t="shared" si="98"/>
        <v>0</v>
      </c>
      <c r="N108" s="350">
        <f t="shared" si="98"/>
        <v>0</v>
      </c>
      <c r="O108" s="350">
        <f t="shared" si="98"/>
        <v>0</v>
      </c>
      <c r="P108" s="350">
        <f t="shared" si="98"/>
        <v>0</v>
      </c>
      <c r="Q108" s="350">
        <f t="shared" si="98"/>
        <v>0</v>
      </c>
      <c r="R108" s="350">
        <f t="shared" si="98"/>
        <v>0</v>
      </c>
      <c r="S108" s="350">
        <f t="shared" si="98"/>
        <v>0</v>
      </c>
      <c r="T108" s="350">
        <f t="shared" si="98"/>
        <v>0</v>
      </c>
      <c r="U108" s="350">
        <f t="shared" si="98"/>
        <v>0</v>
      </c>
      <c r="V108" s="350">
        <f t="shared" si="98"/>
        <v>0</v>
      </c>
      <c r="W108" s="350">
        <f t="shared" si="98"/>
        <v>0</v>
      </c>
      <c r="X108" s="350">
        <f t="shared" si="98"/>
        <v>0</v>
      </c>
      <c r="Y108" s="350">
        <f t="shared" si="98"/>
        <v>0</v>
      </c>
      <c r="Z108" s="350">
        <f t="shared" si="98"/>
        <v>0</v>
      </c>
      <c r="AA108" s="351">
        <f t="shared" si="98"/>
        <v>0</v>
      </c>
      <c r="AB108" s="333"/>
      <c r="AC108" s="334"/>
      <c r="AD108" s="334"/>
      <c r="AE108" s="334"/>
      <c r="AF108" s="334"/>
      <c r="AG108" s="334"/>
      <c r="AH108" s="334"/>
      <c r="AI108" s="335"/>
      <c r="AJ108" s="352">
        <f t="shared" ref="AJ108:AJ112" si="99">SUM(D108:AA108)</f>
        <v>0</v>
      </c>
      <c r="AK108" s="349"/>
      <c r="AL108" s="833"/>
      <c r="AM108" s="136"/>
      <c r="AN108" s="1017"/>
      <c r="AO108" s="330">
        <v>54</v>
      </c>
    </row>
    <row r="109" spans="1:45" x14ac:dyDescent="0.6">
      <c r="A109" s="877"/>
      <c r="B109" s="716" t="s">
        <v>274</v>
      </c>
      <c r="C109" s="127" t="s">
        <v>80</v>
      </c>
      <c r="D109" s="128"/>
      <c r="E109" s="129"/>
      <c r="F109" s="129"/>
      <c r="G109" s="129"/>
      <c r="H109" s="129"/>
      <c r="I109" s="140"/>
      <c r="J109" s="134"/>
      <c r="K109" s="130"/>
      <c r="L109" s="130"/>
      <c r="M109" s="130"/>
      <c r="N109" s="130"/>
      <c r="O109" s="130"/>
      <c r="P109" s="130"/>
      <c r="Q109" s="130"/>
      <c r="R109" s="130"/>
      <c r="S109" s="130"/>
      <c r="T109" s="130"/>
      <c r="U109" s="130"/>
      <c r="V109" s="130"/>
      <c r="W109" s="130"/>
      <c r="X109" s="130"/>
      <c r="Y109" s="130"/>
      <c r="Z109" s="130"/>
      <c r="AA109" s="131"/>
      <c r="AB109" s="333"/>
      <c r="AC109" s="334"/>
      <c r="AD109" s="334"/>
      <c r="AE109" s="334"/>
      <c r="AF109" s="334"/>
      <c r="AG109" s="334"/>
      <c r="AH109" s="334"/>
      <c r="AI109" s="335"/>
      <c r="AJ109" s="352">
        <f t="shared" si="99"/>
        <v>0</v>
      </c>
      <c r="AK109" s="349"/>
      <c r="AL109" s="833"/>
      <c r="AM109" s="136"/>
      <c r="AN109" s="1017"/>
      <c r="AO109" s="330">
        <v>55</v>
      </c>
    </row>
    <row r="110" spans="1:45" x14ac:dyDescent="0.6">
      <c r="A110" s="877"/>
      <c r="B110" s="716" t="s">
        <v>275</v>
      </c>
      <c r="C110" s="127" t="s">
        <v>81</v>
      </c>
      <c r="D110" s="128"/>
      <c r="E110" s="129"/>
      <c r="F110" s="129"/>
      <c r="G110" s="129"/>
      <c r="H110" s="129"/>
      <c r="I110" s="140"/>
      <c r="J110" s="134"/>
      <c r="K110" s="130"/>
      <c r="L110" s="130"/>
      <c r="M110" s="130"/>
      <c r="N110" s="130"/>
      <c r="O110" s="130"/>
      <c r="P110" s="130"/>
      <c r="Q110" s="130"/>
      <c r="R110" s="130"/>
      <c r="S110" s="130"/>
      <c r="T110" s="130"/>
      <c r="U110" s="130"/>
      <c r="V110" s="130"/>
      <c r="W110" s="130"/>
      <c r="X110" s="130"/>
      <c r="Y110" s="130"/>
      <c r="Z110" s="130"/>
      <c r="AA110" s="131"/>
      <c r="AB110" s="333"/>
      <c r="AC110" s="334"/>
      <c r="AD110" s="334"/>
      <c r="AE110" s="334"/>
      <c r="AF110" s="334"/>
      <c r="AG110" s="334"/>
      <c r="AH110" s="334"/>
      <c r="AI110" s="335"/>
      <c r="AJ110" s="352">
        <f t="shared" si="99"/>
        <v>0</v>
      </c>
      <c r="AK110" s="349"/>
      <c r="AL110" s="833"/>
      <c r="AM110" s="136"/>
      <c r="AN110" s="1017"/>
      <c r="AO110" s="330">
        <v>56</v>
      </c>
    </row>
    <row r="111" spans="1:45" x14ac:dyDescent="0.6">
      <c r="A111" s="965"/>
      <c r="B111" s="716" t="s">
        <v>554</v>
      </c>
      <c r="C111" s="353" t="s">
        <v>479</v>
      </c>
      <c r="D111" s="208"/>
      <c r="E111" s="209"/>
      <c r="F111" s="209"/>
      <c r="G111" s="209"/>
      <c r="H111" s="209"/>
      <c r="I111" s="354"/>
      <c r="J111" s="355"/>
      <c r="K111" s="356"/>
      <c r="L111" s="356"/>
      <c r="M111" s="356"/>
      <c r="N111" s="356"/>
      <c r="O111" s="356"/>
      <c r="P111" s="356"/>
      <c r="Q111" s="356"/>
      <c r="R111" s="356"/>
      <c r="S111" s="356"/>
      <c r="T111" s="356"/>
      <c r="U111" s="356"/>
      <c r="V111" s="356"/>
      <c r="W111" s="356"/>
      <c r="X111" s="356"/>
      <c r="Y111" s="356"/>
      <c r="Z111" s="356"/>
      <c r="AA111" s="357"/>
      <c r="AB111" s="333"/>
      <c r="AC111" s="334"/>
      <c r="AD111" s="334"/>
      <c r="AE111" s="334"/>
      <c r="AF111" s="334"/>
      <c r="AG111" s="334"/>
      <c r="AH111" s="334"/>
      <c r="AI111" s="335"/>
      <c r="AJ111" s="352">
        <f t="shared" si="99"/>
        <v>0</v>
      </c>
      <c r="AK111" s="358"/>
      <c r="AL111" s="833"/>
      <c r="AM111" s="359"/>
      <c r="AN111" s="1018"/>
      <c r="AO111" s="330"/>
    </row>
    <row r="112" spans="1:45" ht="31.5" thickBot="1" x14ac:dyDescent="0.65">
      <c r="A112" s="878"/>
      <c r="B112" s="740" t="s">
        <v>276</v>
      </c>
      <c r="C112" s="337" t="s">
        <v>82</v>
      </c>
      <c r="D112" s="185"/>
      <c r="E112" s="186"/>
      <c r="F112" s="186"/>
      <c r="G112" s="209"/>
      <c r="H112" s="209"/>
      <c r="I112" s="354"/>
      <c r="J112" s="355"/>
      <c r="K112" s="356"/>
      <c r="L112" s="356"/>
      <c r="M112" s="356"/>
      <c r="N112" s="356"/>
      <c r="O112" s="356"/>
      <c r="P112" s="356"/>
      <c r="Q112" s="356"/>
      <c r="R112" s="356"/>
      <c r="S112" s="356"/>
      <c r="T112" s="356"/>
      <c r="U112" s="356"/>
      <c r="V112" s="356"/>
      <c r="W112" s="356"/>
      <c r="X112" s="356"/>
      <c r="Y112" s="356"/>
      <c r="Z112" s="356"/>
      <c r="AA112" s="357"/>
      <c r="AB112" s="333"/>
      <c r="AC112" s="334"/>
      <c r="AD112" s="334"/>
      <c r="AE112" s="334"/>
      <c r="AF112" s="334"/>
      <c r="AG112" s="334"/>
      <c r="AH112" s="334"/>
      <c r="AI112" s="335"/>
      <c r="AJ112" s="352">
        <f t="shared" si="99"/>
        <v>0</v>
      </c>
      <c r="AK112" s="358"/>
      <c r="AL112" s="833"/>
      <c r="AM112" s="359"/>
      <c r="AN112" s="1018"/>
      <c r="AO112" s="330">
        <v>57</v>
      </c>
    </row>
    <row r="113" spans="1:41" ht="31.5" thickBot="1" x14ac:dyDescent="0.65">
      <c r="A113" s="940" t="s">
        <v>594</v>
      </c>
      <c r="B113" s="941"/>
      <c r="C113" s="941"/>
      <c r="D113" s="941"/>
      <c r="E113" s="941"/>
      <c r="F113" s="941"/>
      <c r="G113" s="941"/>
      <c r="H113" s="941"/>
      <c r="I113" s="941"/>
      <c r="J113" s="941"/>
      <c r="K113" s="941"/>
      <c r="L113" s="941"/>
      <c r="M113" s="941"/>
      <c r="N113" s="941"/>
      <c r="O113" s="941"/>
      <c r="P113" s="941"/>
      <c r="Q113" s="941"/>
      <c r="R113" s="941"/>
      <c r="S113" s="941"/>
      <c r="T113" s="941"/>
      <c r="U113" s="941"/>
      <c r="V113" s="941"/>
      <c r="W113" s="941"/>
      <c r="X113" s="941"/>
      <c r="Y113" s="941"/>
      <c r="Z113" s="941"/>
      <c r="AA113" s="941"/>
      <c r="AB113" s="947"/>
      <c r="AC113" s="947"/>
      <c r="AD113" s="947"/>
      <c r="AE113" s="947"/>
      <c r="AF113" s="947"/>
      <c r="AG113" s="947"/>
      <c r="AH113" s="947"/>
      <c r="AI113" s="947"/>
      <c r="AJ113" s="941"/>
      <c r="AK113" s="941"/>
      <c r="AL113" s="941"/>
      <c r="AM113" s="941"/>
      <c r="AN113" s="948"/>
      <c r="AO113" s="330">
        <v>60</v>
      </c>
    </row>
    <row r="114" spans="1:41" ht="26.25" customHeight="1" x14ac:dyDescent="0.6">
      <c r="A114" s="950" t="s">
        <v>18</v>
      </c>
      <c r="B114" s="964" t="s">
        <v>123</v>
      </c>
      <c r="C114" s="951" t="s">
        <v>122</v>
      </c>
      <c r="D114" s="1032"/>
      <c r="E114" s="1033"/>
      <c r="F114" s="1033"/>
      <c r="G114" s="1033"/>
      <c r="H114" s="1033"/>
      <c r="I114" s="1034"/>
      <c r="J114" s="841" t="s">
        <v>3</v>
      </c>
      <c r="K114" s="849"/>
      <c r="L114" s="849" t="s">
        <v>4</v>
      </c>
      <c r="M114" s="849"/>
      <c r="N114" s="849" t="s">
        <v>5</v>
      </c>
      <c r="O114" s="849"/>
      <c r="P114" s="849" t="s">
        <v>6</v>
      </c>
      <c r="Q114" s="849"/>
      <c r="R114" s="849" t="s">
        <v>7</v>
      </c>
      <c r="S114" s="849"/>
      <c r="T114" s="849" t="s">
        <v>8</v>
      </c>
      <c r="U114" s="849"/>
      <c r="V114" s="849" t="s">
        <v>15</v>
      </c>
      <c r="W114" s="849"/>
      <c r="X114" s="849" t="s">
        <v>16</v>
      </c>
      <c r="Y114" s="849"/>
      <c r="Z114" s="849" t="s">
        <v>9</v>
      </c>
      <c r="AA114" s="840"/>
      <c r="AB114" s="996"/>
      <c r="AC114" s="838"/>
      <c r="AD114" s="838"/>
      <c r="AE114" s="838"/>
      <c r="AF114" s="838"/>
      <c r="AG114" s="838"/>
      <c r="AH114" s="838"/>
      <c r="AI114" s="839"/>
      <c r="AJ114" s="967" t="s">
        <v>13</v>
      </c>
      <c r="AK114" s="881" t="s">
        <v>148</v>
      </c>
      <c r="AL114" s="879" t="s">
        <v>154</v>
      </c>
      <c r="AM114" s="883" t="s">
        <v>155</v>
      </c>
      <c r="AN114" s="943" t="s">
        <v>155</v>
      </c>
      <c r="AO114" s="330">
        <v>61</v>
      </c>
    </row>
    <row r="115" spans="1:41" ht="27" customHeight="1" thickBot="1" x14ac:dyDescent="0.65">
      <c r="A115" s="845"/>
      <c r="B115" s="851"/>
      <c r="C115" s="952"/>
      <c r="D115" s="1035"/>
      <c r="E115" s="1036"/>
      <c r="F115" s="1036"/>
      <c r="G115" s="1036"/>
      <c r="H115" s="1036"/>
      <c r="I115" s="1037"/>
      <c r="J115" s="360" t="s">
        <v>10</v>
      </c>
      <c r="K115" s="113" t="s">
        <v>11</v>
      </c>
      <c r="L115" s="113" t="s">
        <v>10</v>
      </c>
      <c r="M115" s="113" t="s">
        <v>11</v>
      </c>
      <c r="N115" s="113" t="s">
        <v>10</v>
      </c>
      <c r="O115" s="113" t="s">
        <v>11</v>
      </c>
      <c r="P115" s="113" t="s">
        <v>10</v>
      </c>
      <c r="Q115" s="113" t="s">
        <v>11</v>
      </c>
      <c r="R115" s="113" t="s">
        <v>10</v>
      </c>
      <c r="S115" s="113" t="s">
        <v>11</v>
      </c>
      <c r="T115" s="113" t="s">
        <v>10</v>
      </c>
      <c r="U115" s="113" t="s">
        <v>11</v>
      </c>
      <c r="V115" s="113" t="s">
        <v>10</v>
      </c>
      <c r="W115" s="113" t="s">
        <v>11</v>
      </c>
      <c r="X115" s="113" t="s">
        <v>10</v>
      </c>
      <c r="Y115" s="113" t="s">
        <v>11</v>
      </c>
      <c r="Z115" s="113" t="s">
        <v>10</v>
      </c>
      <c r="AA115" s="361" t="s">
        <v>11</v>
      </c>
      <c r="AB115" s="362"/>
      <c r="AC115" s="363"/>
      <c r="AD115" s="363"/>
      <c r="AE115" s="363"/>
      <c r="AF115" s="363"/>
      <c r="AG115" s="363"/>
      <c r="AH115" s="363"/>
      <c r="AI115" s="364"/>
      <c r="AJ115" s="1000"/>
      <c r="AK115" s="882"/>
      <c r="AL115" s="880"/>
      <c r="AM115" s="883"/>
      <c r="AN115" s="944"/>
      <c r="AO115" s="330">
        <v>62</v>
      </c>
    </row>
    <row r="116" spans="1:41" ht="31.5" thickBot="1" x14ac:dyDescent="0.65">
      <c r="A116" s="658" t="s">
        <v>595</v>
      </c>
      <c r="B116" s="741" t="s">
        <v>269</v>
      </c>
      <c r="C116" s="365" t="s">
        <v>85</v>
      </c>
      <c r="D116" s="366"/>
      <c r="E116" s="367"/>
      <c r="F116" s="367"/>
      <c r="G116" s="367"/>
      <c r="H116" s="367"/>
      <c r="I116" s="367"/>
      <c r="J116" s="368">
        <f t="shared" ref="J116:AA116" si="100">SUM(J117:J124)</f>
        <v>0</v>
      </c>
      <c r="K116" s="368">
        <f t="shared" si="100"/>
        <v>0</v>
      </c>
      <c r="L116" s="368">
        <f t="shared" si="100"/>
        <v>0</v>
      </c>
      <c r="M116" s="368">
        <f t="shared" si="100"/>
        <v>0</v>
      </c>
      <c r="N116" s="368">
        <f t="shared" si="100"/>
        <v>0</v>
      </c>
      <c r="O116" s="368">
        <f t="shared" si="100"/>
        <v>0</v>
      </c>
      <c r="P116" s="368">
        <f t="shared" si="100"/>
        <v>0</v>
      </c>
      <c r="Q116" s="368">
        <f t="shared" si="100"/>
        <v>0</v>
      </c>
      <c r="R116" s="368">
        <f t="shared" si="100"/>
        <v>0</v>
      </c>
      <c r="S116" s="368">
        <f t="shared" si="100"/>
        <v>0</v>
      </c>
      <c r="T116" s="368">
        <f t="shared" si="100"/>
        <v>0</v>
      </c>
      <c r="U116" s="368">
        <f t="shared" si="100"/>
        <v>0</v>
      </c>
      <c r="V116" s="368">
        <f t="shared" si="100"/>
        <v>0</v>
      </c>
      <c r="W116" s="368">
        <f t="shared" si="100"/>
        <v>0</v>
      </c>
      <c r="X116" s="368">
        <f t="shared" si="100"/>
        <v>0</v>
      </c>
      <c r="Y116" s="368">
        <f t="shared" si="100"/>
        <v>0</v>
      </c>
      <c r="Z116" s="368">
        <f t="shared" si="100"/>
        <v>0</v>
      </c>
      <c r="AA116" s="368">
        <f t="shared" si="100"/>
        <v>0</v>
      </c>
      <c r="AB116" s="333"/>
      <c r="AC116" s="334"/>
      <c r="AD116" s="334"/>
      <c r="AE116" s="334"/>
      <c r="AF116" s="334"/>
      <c r="AG116" s="334"/>
      <c r="AH116" s="334"/>
      <c r="AI116" s="335"/>
      <c r="AJ116" s="368">
        <f>SUM(AJ117:AJ124)</f>
        <v>0</v>
      </c>
      <c r="AK116" s="349"/>
      <c r="AL116" s="81"/>
      <c r="AM116" s="136"/>
      <c r="AN116" s="82"/>
      <c r="AO116" s="330">
        <v>67</v>
      </c>
    </row>
    <row r="117" spans="1:41" ht="25.5" customHeight="1" x14ac:dyDescent="0.6">
      <c r="A117" s="997" t="s">
        <v>764</v>
      </c>
      <c r="B117" s="720" t="s">
        <v>435</v>
      </c>
      <c r="C117" s="115" t="s">
        <v>436</v>
      </c>
      <c r="D117" s="247"/>
      <c r="E117" s="117"/>
      <c r="F117" s="117"/>
      <c r="G117" s="117"/>
      <c r="H117" s="212"/>
      <c r="I117" s="116"/>
      <c r="J117" s="117"/>
      <c r="K117" s="117"/>
      <c r="L117" s="118"/>
      <c r="M117" s="118"/>
      <c r="N117" s="118"/>
      <c r="O117" s="118"/>
      <c r="P117" s="118"/>
      <c r="Q117" s="118"/>
      <c r="R117" s="118"/>
      <c r="S117" s="118"/>
      <c r="T117" s="118"/>
      <c r="U117" s="118"/>
      <c r="V117" s="118"/>
      <c r="W117" s="118"/>
      <c r="X117" s="118"/>
      <c r="Y117" s="118"/>
      <c r="Z117" s="118"/>
      <c r="AA117" s="369"/>
      <c r="AB117" s="333"/>
      <c r="AC117" s="334"/>
      <c r="AD117" s="334"/>
      <c r="AE117" s="334"/>
      <c r="AF117" s="334"/>
      <c r="AG117" s="334"/>
      <c r="AH117" s="334"/>
      <c r="AI117" s="335"/>
      <c r="AJ117" s="352">
        <f t="shared" ref="AJ117:AJ123" si="101">SUM(J117:AA117)</f>
        <v>0</v>
      </c>
      <c r="AK117" s="349"/>
      <c r="AL117" s="81"/>
      <c r="AM117" s="136"/>
      <c r="AN117" s="82"/>
      <c r="AO117" s="330">
        <v>68</v>
      </c>
    </row>
    <row r="118" spans="1:41" x14ac:dyDescent="0.6">
      <c r="A118" s="999"/>
      <c r="B118" s="716" t="s">
        <v>157</v>
      </c>
      <c r="C118" s="127" t="s">
        <v>437</v>
      </c>
      <c r="D118" s="141"/>
      <c r="E118" s="129"/>
      <c r="F118" s="129"/>
      <c r="G118" s="129"/>
      <c r="H118" s="139"/>
      <c r="I118" s="128"/>
      <c r="J118" s="129"/>
      <c r="K118" s="129"/>
      <c r="L118" s="130"/>
      <c r="M118" s="130"/>
      <c r="N118" s="130"/>
      <c r="O118" s="130"/>
      <c r="P118" s="130"/>
      <c r="Q118" s="130"/>
      <c r="R118" s="130"/>
      <c r="S118" s="130"/>
      <c r="T118" s="130"/>
      <c r="U118" s="130"/>
      <c r="V118" s="130"/>
      <c r="W118" s="130"/>
      <c r="X118" s="130"/>
      <c r="Y118" s="130"/>
      <c r="Z118" s="130"/>
      <c r="AA118" s="370"/>
      <c r="AB118" s="333"/>
      <c r="AC118" s="334"/>
      <c r="AD118" s="334"/>
      <c r="AE118" s="334"/>
      <c r="AF118" s="334"/>
      <c r="AG118" s="334"/>
      <c r="AH118" s="334"/>
      <c r="AI118" s="335"/>
      <c r="AJ118" s="352">
        <f t="shared" si="101"/>
        <v>0</v>
      </c>
      <c r="AK118" s="349"/>
      <c r="AL118" s="81"/>
      <c r="AM118" s="136"/>
      <c r="AN118" s="82"/>
      <c r="AO118" s="330">
        <v>69</v>
      </c>
    </row>
    <row r="119" spans="1:41" x14ac:dyDescent="0.6">
      <c r="A119" s="999"/>
      <c r="B119" s="716" t="s">
        <v>158</v>
      </c>
      <c r="C119" s="127" t="s">
        <v>438</v>
      </c>
      <c r="D119" s="141"/>
      <c r="E119" s="129"/>
      <c r="F119" s="129"/>
      <c r="G119" s="129"/>
      <c r="H119" s="139"/>
      <c r="I119" s="128"/>
      <c r="J119" s="129"/>
      <c r="K119" s="129"/>
      <c r="L119" s="130"/>
      <c r="M119" s="129"/>
      <c r="N119" s="130"/>
      <c r="O119" s="129"/>
      <c r="P119" s="130"/>
      <c r="Q119" s="129"/>
      <c r="R119" s="130"/>
      <c r="S119" s="129"/>
      <c r="T119" s="130"/>
      <c r="U119" s="129"/>
      <c r="V119" s="130"/>
      <c r="W119" s="129"/>
      <c r="X119" s="130"/>
      <c r="Y119" s="129"/>
      <c r="Z119" s="130"/>
      <c r="AA119" s="140"/>
      <c r="AB119" s="333"/>
      <c r="AC119" s="334"/>
      <c r="AD119" s="334"/>
      <c r="AE119" s="334"/>
      <c r="AF119" s="334"/>
      <c r="AG119" s="334"/>
      <c r="AH119" s="334"/>
      <c r="AI119" s="335"/>
      <c r="AJ119" s="371">
        <f t="shared" si="101"/>
        <v>0</v>
      </c>
      <c r="AK119" s="349"/>
      <c r="AL119" s="81"/>
      <c r="AM119" s="136"/>
      <c r="AN119" s="82"/>
      <c r="AO119" s="330">
        <v>70</v>
      </c>
    </row>
    <row r="120" spans="1:41" x14ac:dyDescent="0.6">
      <c r="A120" s="999"/>
      <c r="B120" s="716" t="s">
        <v>159</v>
      </c>
      <c r="C120" s="127" t="s">
        <v>439</v>
      </c>
      <c r="D120" s="141"/>
      <c r="E120" s="129"/>
      <c r="F120" s="129"/>
      <c r="G120" s="129"/>
      <c r="H120" s="139"/>
      <c r="I120" s="128"/>
      <c r="J120" s="129"/>
      <c r="K120" s="129"/>
      <c r="L120" s="129"/>
      <c r="M120" s="130"/>
      <c r="N120" s="129"/>
      <c r="O120" s="130"/>
      <c r="P120" s="129"/>
      <c r="Q120" s="130"/>
      <c r="R120" s="129"/>
      <c r="S120" s="130"/>
      <c r="T120" s="129"/>
      <c r="U120" s="130"/>
      <c r="V120" s="129"/>
      <c r="W120" s="130"/>
      <c r="X120" s="129"/>
      <c r="Y120" s="130"/>
      <c r="Z120" s="129"/>
      <c r="AA120" s="370"/>
      <c r="AB120" s="333"/>
      <c r="AC120" s="334"/>
      <c r="AD120" s="334"/>
      <c r="AE120" s="334"/>
      <c r="AF120" s="334"/>
      <c r="AG120" s="334"/>
      <c r="AH120" s="334"/>
      <c r="AI120" s="335"/>
      <c r="AJ120" s="372">
        <f t="shared" si="101"/>
        <v>0</v>
      </c>
      <c r="AK120" s="349"/>
      <c r="AL120" s="81"/>
      <c r="AM120" s="136"/>
      <c r="AN120" s="82"/>
      <c r="AO120" s="330">
        <v>72</v>
      </c>
    </row>
    <row r="121" spans="1:41" ht="31.5" thickBot="1" x14ac:dyDescent="0.65">
      <c r="A121" s="999"/>
      <c r="B121" s="742" t="s">
        <v>444</v>
      </c>
      <c r="C121" s="127" t="s">
        <v>440</v>
      </c>
      <c r="D121" s="141"/>
      <c r="E121" s="129"/>
      <c r="F121" s="129"/>
      <c r="G121" s="129"/>
      <c r="H121" s="139"/>
      <c r="I121" s="128"/>
      <c r="J121" s="129"/>
      <c r="K121" s="129"/>
      <c r="L121" s="129"/>
      <c r="M121" s="130"/>
      <c r="N121" s="129"/>
      <c r="O121" s="130"/>
      <c r="P121" s="129"/>
      <c r="Q121" s="129"/>
      <c r="R121" s="129"/>
      <c r="S121" s="129"/>
      <c r="T121" s="129"/>
      <c r="U121" s="129"/>
      <c r="V121" s="129"/>
      <c r="W121" s="129"/>
      <c r="X121" s="129"/>
      <c r="Y121" s="129"/>
      <c r="Z121" s="129"/>
      <c r="AA121" s="140"/>
      <c r="AB121" s="333"/>
      <c r="AC121" s="334"/>
      <c r="AD121" s="334"/>
      <c r="AE121" s="334"/>
      <c r="AF121" s="334"/>
      <c r="AG121" s="334"/>
      <c r="AH121" s="334"/>
      <c r="AI121" s="335"/>
      <c r="AJ121" s="373">
        <f t="shared" si="101"/>
        <v>0</v>
      </c>
      <c r="AK121" s="349"/>
      <c r="AL121" s="81"/>
      <c r="AM121" s="136"/>
      <c r="AN121" s="82"/>
      <c r="AO121" s="330">
        <v>73</v>
      </c>
    </row>
    <row r="122" spans="1:41" ht="25.5" customHeight="1" x14ac:dyDescent="0.6">
      <c r="A122" s="999"/>
      <c r="B122" s="720" t="s">
        <v>445</v>
      </c>
      <c r="C122" s="127" t="s">
        <v>441</v>
      </c>
      <c r="D122" s="141"/>
      <c r="E122" s="129"/>
      <c r="F122" s="129"/>
      <c r="G122" s="129"/>
      <c r="H122" s="139"/>
      <c r="I122" s="128"/>
      <c r="J122" s="129"/>
      <c r="K122" s="129"/>
      <c r="L122" s="130"/>
      <c r="M122" s="129"/>
      <c r="N122" s="130"/>
      <c r="O122" s="129"/>
      <c r="P122" s="130"/>
      <c r="Q122" s="129"/>
      <c r="R122" s="130"/>
      <c r="S122" s="129"/>
      <c r="T122" s="130"/>
      <c r="U122" s="129"/>
      <c r="V122" s="130"/>
      <c r="W122" s="129"/>
      <c r="X122" s="130"/>
      <c r="Y122" s="129"/>
      <c r="Z122" s="130"/>
      <c r="AA122" s="140"/>
      <c r="AB122" s="333"/>
      <c r="AC122" s="334"/>
      <c r="AD122" s="334"/>
      <c r="AE122" s="334"/>
      <c r="AF122" s="334"/>
      <c r="AG122" s="334"/>
      <c r="AH122" s="334"/>
      <c r="AI122" s="335"/>
      <c r="AJ122" s="348">
        <f t="shared" si="101"/>
        <v>0</v>
      </c>
      <c r="AK122" s="374"/>
      <c r="AL122" s="81"/>
      <c r="AM122" s="136"/>
      <c r="AN122" s="82"/>
      <c r="AO122" s="330">
        <v>74</v>
      </c>
    </row>
    <row r="123" spans="1:41" ht="31.5" thickBot="1" x14ac:dyDescent="0.65">
      <c r="A123" s="999"/>
      <c r="B123" s="716" t="s">
        <v>446</v>
      </c>
      <c r="C123" s="127" t="s">
        <v>442</v>
      </c>
      <c r="D123" s="141"/>
      <c r="E123" s="129"/>
      <c r="F123" s="129"/>
      <c r="G123" s="129"/>
      <c r="H123" s="139"/>
      <c r="I123" s="128"/>
      <c r="J123" s="129"/>
      <c r="K123" s="129"/>
      <c r="L123" s="129"/>
      <c r="M123" s="130"/>
      <c r="N123" s="129"/>
      <c r="O123" s="130"/>
      <c r="P123" s="129"/>
      <c r="Q123" s="130"/>
      <c r="R123" s="129"/>
      <c r="S123" s="130"/>
      <c r="T123" s="129"/>
      <c r="U123" s="130"/>
      <c r="V123" s="129"/>
      <c r="W123" s="130"/>
      <c r="X123" s="129"/>
      <c r="Y123" s="130"/>
      <c r="Z123" s="129"/>
      <c r="AA123" s="370"/>
      <c r="AB123" s="333"/>
      <c r="AC123" s="334"/>
      <c r="AD123" s="334"/>
      <c r="AE123" s="334"/>
      <c r="AF123" s="334"/>
      <c r="AG123" s="334"/>
      <c r="AH123" s="334"/>
      <c r="AI123" s="335"/>
      <c r="AJ123" s="352">
        <f t="shared" si="101"/>
        <v>0</v>
      </c>
      <c r="AK123" s="349"/>
      <c r="AL123" s="81"/>
      <c r="AM123" s="136"/>
      <c r="AN123" s="82"/>
      <c r="AO123" s="330">
        <v>75</v>
      </c>
    </row>
    <row r="124" spans="1:41" ht="31.5" thickBot="1" x14ac:dyDescent="0.65">
      <c r="A124" s="998"/>
      <c r="B124" s="740" t="s">
        <v>715</v>
      </c>
      <c r="C124" s="353" t="s">
        <v>443</v>
      </c>
      <c r="D124" s="262"/>
      <c r="E124" s="209"/>
      <c r="F124" s="209"/>
      <c r="G124" s="209"/>
      <c r="H124" s="443"/>
      <c r="I124" s="185"/>
      <c r="J124" s="186"/>
      <c r="K124" s="826">
        <f>SUM(K125:K126)</f>
        <v>0</v>
      </c>
      <c r="L124" s="186"/>
      <c r="M124" s="826">
        <f>SUM(M125:M126)</f>
        <v>0</v>
      </c>
      <c r="N124" s="186"/>
      <c r="O124" s="826">
        <f>SUM(O125:O126)</f>
        <v>0</v>
      </c>
      <c r="P124" s="186"/>
      <c r="Q124" s="826">
        <f>SUM(Q125:Q126)</f>
        <v>0</v>
      </c>
      <c r="R124" s="186"/>
      <c r="S124" s="826">
        <f>SUM(S125:S126)</f>
        <v>0</v>
      </c>
      <c r="T124" s="186"/>
      <c r="U124" s="826">
        <f>SUM(U125:U126)</f>
        <v>0</v>
      </c>
      <c r="V124" s="186"/>
      <c r="W124" s="826">
        <f>SUM(W125:W126)</f>
        <v>0</v>
      </c>
      <c r="X124" s="186"/>
      <c r="Y124" s="826">
        <f>SUM(Y125:Y126)</f>
        <v>0</v>
      </c>
      <c r="Z124" s="186"/>
      <c r="AA124" s="827">
        <f>SUM(AA125:AA126)</f>
        <v>0</v>
      </c>
      <c r="AB124" s="333"/>
      <c r="AC124" s="334"/>
      <c r="AD124" s="334"/>
      <c r="AE124" s="334"/>
      <c r="AF124" s="334"/>
      <c r="AG124" s="334"/>
      <c r="AH124" s="334"/>
      <c r="AI124" s="335"/>
      <c r="AJ124" s="352">
        <f t="shared" ref="AJ124:AJ132" si="102">SUM(J124:AA124)</f>
        <v>0</v>
      </c>
      <c r="AK124" s="349"/>
      <c r="AL124" s="81"/>
      <c r="AM124" s="136"/>
      <c r="AN124" s="82"/>
      <c r="AO124" s="330">
        <v>76</v>
      </c>
    </row>
    <row r="125" spans="1:41" ht="30.75" customHeight="1" x14ac:dyDescent="0.6">
      <c r="A125" s="884" t="s">
        <v>597</v>
      </c>
      <c r="B125" s="743" t="s">
        <v>431</v>
      </c>
      <c r="C125" s="115" t="s">
        <v>480</v>
      </c>
      <c r="D125" s="376"/>
      <c r="E125" s="377"/>
      <c r="F125" s="377"/>
      <c r="G125" s="377"/>
      <c r="H125" s="377"/>
      <c r="I125" s="377"/>
      <c r="J125" s="377"/>
      <c r="K125" s="377"/>
      <c r="L125" s="377"/>
      <c r="M125" s="378"/>
      <c r="N125" s="377"/>
      <c r="O125" s="378"/>
      <c r="P125" s="377"/>
      <c r="Q125" s="378"/>
      <c r="R125" s="377"/>
      <c r="S125" s="378"/>
      <c r="T125" s="377"/>
      <c r="U125" s="378"/>
      <c r="V125" s="377"/>
      <c r="W125" s="378"/>
      <c r="X125" s="377"/>
      <c r="Y125" s="378"/>
      <c r="Z125" s="377"/>
      <c r="AA125" s="379"/>
      <c r="AB125" s="334"/>
      <c r="AC125" s="334"/>
      <c r="AD125" s="334"/>
      <c r="AE125" s="334"/>
      <c r="AF125" s="334"/>
      <c r="AG125" s="334"/>
      <c r="AH125" s="334"/>
      <c r="AI125" s="335"/>
      <c r="AJ125" s="352">
        <f t="shared" si="102"/>
        <v>0</v>
      </c>
      <c r="AK125" s="349"/>
      <c r="AL125" s="81"/>
      <c r="AM125" s="136"/>
      <c r="AN125" s="82"/>
      <c r="AO125" s="330"/>
    </row>
    <row r="126" spans="1:41" ht="31.5" thickBot="1" x14ac:dyDescent="0.65">
      <c r="A126" s="886"/>
      <c r="B126" s="744" t="s">
        <v>432</v>
      </c>
      <c r="C126" s="380" t="s">
        <v>481</v>
      </c>
      <c r="D126" s="381"/>
      <c r="E126" s="382"/>
      <c r="F126" s="382"/>
      <c r="G126" s="382"/>
      <c r="H126" s="382"/>
      <c r="I126" s="382"/>
      <c r="J126" s="382"/>
      <c r="K126" s="382"/>
      <c r="L126" s="382"/>
      <c r="M126" s="383"/>
      <c r="N126" s="382"/>
      <c r="O126" s="383"/>
      <c r="P126" s="382"/>
      <c r="Q126" s="383"/>
      <c r="R126" s="382"/>
      <c r="S126" s="383"/>
      <c r="T126" s="382"/>
      <c r="U126" s="383"/>
      <c r="V126" s="382"/>
      <c r="W126" s="383"/>
      <c r="X126" s="382"/>
      <c r="Y126" s="383"/>
      <c r="Z126" s="382"/>
      <c r="AA126" s="384"/>
      <c r="AB126" s="334"/>
      <c r="AC126" s="334"/>
      <c r="AD126" s="334"/>
      <c r="AE126" s="334"/>
      <c r="AF126" s="334"/>
      <c r="AG126" s="334"/>
      <c r="AH126" s="334"/>
      <c r="AI126" s="335"/>
      <c r="AJ126" s="352">
        <f t="shared" si="102"/>
        <v>0</v>
      </c>
      <c r="AK126" s="349"/>
      <c r="AL126" s="81"/>
      <c r="AM126" s="136"/>
      <c r="AN126" s="82"/>
      <c r="AO126" s="330"/>
    </row>
    <row r="127" spans="1:41" x14ac:dyDescent="0.6">
      <c r="A127" s="884" t="s">
        <v>766</v>
      </c>
      <c r="B127" s="743" t="s">
        <v>482</v>
      </c>
      <c r="C127" s="115" t="s">
        <v>484</v>
      </c>
      <c r="D127" s="376"/>
      <c r="E127" s="377"/>
      <c r="F127" s="377"/>
      <c r="G127" s="377"/>
      <c r="H127" s="377"/>
      <c r="I127" s="377"/>
      <c r="J127" s="377"/>
      <c r="K127" s="377"/>
      <c r="L127" s="378"/>
      <c r="M127" s="378"/>
      <c r="N127" s="378"/>
      <c r="O127" s="378"/>
      <c r="P127" s="378"/>
      <c r="Q127" s="378"/>
      <c r="R127" s="378"/>
      <c r="S127" s="378"/>
      <c r="T127" s="378"/>
      <c r="U127" s="378"/>
      <c r="V127" s="378"/>
      <c r="W127" s="378"/>
      <c r="X127" s="378"/>
      <c r="Y127" s="378"/>
      <c r="Z127" s="378"/>
      <c r="AA127" s="378"/>
      <c r="AB127" s="334"/>
      <c r="AC127" s="334"/>
      <c r="AD127" s="334"/>
      <c r="AE127" s="334"/>
      <c r="AF127" s="334"/>
      <c r="AG127" s="334"/>
      <c r="AH127" s="334"/>
      <c r="AI127" s="335"/>
      <c r="AJ127" s="352">
        <f t="shared" si="102"/>
        <v>0</v>
      </c>
      <c r="AK127" s="349" t="str">
        <f>CONCATENATE(IF(D116&lt;&gt;(D127+D128)," * "&amp;A127&amp;" "&amp;$D$6&amp;" "&amp;$D$7&amp;" should be equal to "&amp;B116&amp;""&amp;CHAR(10),""),IF(E116&lt;&gt;(E127+E128)," * "&amp;A127&amp;" "&amp;$D$6&amp;" "&amp;$E$7&amp;" should be equal to "&amp;B116&amp;""&amp;CHAR(10),""),IF(F116&lt;&gt;(F127+F128)," * "&amp;A127&amp;" "&amp;$F$6&amp;" "&amp;$F$7&amp;" should be equal to "&amp;B116&amp;""&amp;CHAR(10),""),IF(G116&lt;&gt;(G127+G128)," * "&amp;A127&amp;" "&amp;$F$6&amp;" "&amp;$G$7&amp;" should be equal to "&amp;B116&amp;""&amp;CHAR(10),""),IF(H116&lt;&gt;(H127+H128)," * "&amp;A127&amp;" "&amp;$H$6&amp;" "&amp;$H$7&amp;" should be equal to "&amp;B116&amp;""&amp;CHAR(10),""),IF(I116&lt;&gt;(I127+I128)," * "&amp;A127&amp;" "&amp;$H$6&amp;" "&amp;$I$7&amp;" should be equal to "&amp;B116&amp;""&amp;CHAR(10),""),IF(J116&lt;&gt;(J127+J128)," * "&amp;A127&amp;" "&amp;$J$6&amp;" "&amp;$J$7&amp;" should be equal to "&amp;B116&amp;""&amp;CHAR(10),""),IF(K116&lt;&gt;(K127+K128)," * "&amp;A127&amp;" "&amp;$J$6&amp;" "&amp;$K$7&amp;" should be equal to "&amp;B116&amp;""&amp;CHAR(10),""),IF(L116&lt;&gt;(L127+L128)," * "&amp;A127&amp;" "&amp;$L$6&amp;" "&amp;$L$7&amp;" should be equal to "&amp;B116&amp;""&amp;CHAR(10),""),IF(M116&lt;&gt;(M127+M128)," * "&amp;A127&amp;" "&amp;$L$6&amp;" "&amp;$M$7&amp;" should be equal to "&amp;B116&amp;""&amp;CHAR(10),""),IF(N116&lt;&gt;(N127+N128)," * "&amp;A127&amp;" "&amp;$N$6&amp;" "&amp;$N$7&amp;" should be equal to "&amp;B116&amp;""&amp;CHAR(10),""),IF(O116&lt;&gt;(O127+O128)," * "&amp;A127&amp;" "&amp;$N$6&amp;" "&amp;$O$7&amp;" should be equal to "&amp;B116&amp;""&amp;CHAR(10),""),IF(P116&lt;&gt;(P127+P128)," * "&amp;A127&amp;" "&amp;$P$6&amp;" "&amp;$P$7&amp;" should be equal to "&amp;B116&amp;""&amp;CHAR(10),""),IF(Q116&lt;&gt;(Q127+Q128)," * "&amp;A127&amp;" "&amp;$P$6&amp;" "&amp;$Q$7&amp;" should be equal to "&amp;B116&amp;""&amp;CHAR(10),""),IF(R116&lt;&gt;(R127+R128)," * "&amp;A127&amp;" "&amp;$R$6&amp;" "&amp;$R$7&amp;" should be equal to "&amp;B116&amp;""&amp;CHAR(10),""),IF(S116&lt;&gt;(S127+S128)," * "&amp;A127&amp;" "&amp;$R$6&amp;" "&amp;$S$7&amp;" should be equal to "&amp;B116&amp;""&amp;CHAR(10),""),IF(T116&lt;&gt;(T127+T128)," * "&amp;A127&amp;" "&amp;$T$6&amp;" "&amp;$T$7&amp;" should be equal to "&amp;B116&amp;""&amp;CHAR(10),""),IF(U116&lt;&gt;(U127+U128)," * "&amp;A127&amp;" "&amp;$T$6&amp;" "&amp;$U$7&amp;" should be equal to "&amp;B116&amp;""&amp;CHAR(10),""),IF(V116&lt;&gt;(V127+V128)," * "&amp;A127&amp;" "&amp;$V$6&amp;" "&amp;$V$7&amp;" should be equal to "&amp;B116&amp;""&amp;CHAR(10),""),IF(W116&lt;&gt;(W127+W128)," * "&amp;A127&amp;" "&amp;$V$6&amp;" "&amp;$W$7&amp;" should be equal to "&amp;B116&amp;""&amp;CHAR(10),""),IF(X116&lt;&gt;(X127+X128)," * "&amp;A127&amp;" "&amp;$X$6&amp;" "&amp;$X$7&amp;" should be equal to "&amp;B116&amp;""&amp;CHAR(10),""),IF(Y116&lt;&gt;(Y127+Y128)," * "&amp;A127&amp;" "&amp;$X$6&amp;" "&amp;$Y$7&amp;" should be equal to "&amp;B116&amp;""&amp;CHAR(10),""),IF(Z116&lt;&gt;(Z127+Z128)," * "&amp;A127&amp;" "&amp;$Z$6&amp;" "&amp;$Z$7&amp;" should be equal to "&amp;B116&amp;""&amp;CHAR(10),""),IF(AA116&lt;&gt;(AA127+AA128)," * "&amp;A127&amp;" "&amp;$Z$6&amp;" "&amp;$AA$7&amp;" should be equal to "&amp;B116&amp;""&amp;CHAR(10),""))</f>
        <v/>
      </c>
      <c r="AL127" s="81"/>
      <c r="AM127" s="136"/>
      <c r="AN127" s="82"/>
      <c r="AO127" s="330"/>
    </row>
    <row r="128" spans="1:41" ht="31.5" thickBot="1" x14ac:dyDescent="0.65">
      <c r="A128" s="886"/>
      <c r="B128" s="744" t="s">
        <v>483</v>
      </c>
      <c r="C128" s="380" t="s">
        <v>485</v>
      </c>
      <c r="D128" s="381"/>
      <c r="E128" s="382"/>
      <c r="F128" s="382"/>
      <c r="G128" s="382"/>
      <c r="H128" s="382"/>
      <c r="I128" s="382"/>
      <c r="J128" s="382"/>
      <c r="K128" s="382"/>
      <c r="L128" s="383"/>
      <c r="M128" s="383"/>
      <c r="N128" s="383"/>
      <c r="O128" s="383"/>
      <c r="P128" s="383"/>
      <c r="Q128" s="383"/>
      <c r="R128" s="383"/>
      <c r="S128" s="383"/>
      <c r="T128" s="383"/>
      <c r="U128" s="383"/>
      <c r="V128" s="383"/>
      <c r="W128" s="383"/>
      <c r="X128" s="383"/>
      <c r="Y128" s="383"/>
      <c r="Z128" s="383"/>
      <c r="AA128" s="383"/>
      <c r="AB128" s="334"/>
      <c r="AC128" s="334"/>
      <c r="AD128" s="334"/>
      <c r="AE128" s="334"/>
      <c r="AF128" s="334"/>
      <c r="AG128" s="334"/>
      <c r="AH128" s="334"/>
      <c r="AI128" s="335"/>
      <c r="AJ128" s="352">
        <f t="shared" si="102"/>
        <v>0</v>
      </c>
      <c r="AK128" s="349"/>
      <c r="AL128" s="81"/>
      <c r="AM128" s="136"/>
      <c r="AN128" s="82"/>
      <c r="AO128" s="330"/>
    </row>
    <row r="129" spans="1:41" x14ac:dyDescent="0.6">
      <c r="A129" s="884" t="s">
        <v>765</v>
      </c>
      <c r="B129" s="743" t="s">
        <v>486</v>
      </c>
      <c r="C129" s="115" t="s">
        <v>488</v>
      </c>
      <c r="D129" s="376"/>
      <c r="E129" s="377"/>
      <c r="F129" s="377"/>
      <c r="G129" s="377"/>
      <c r="H129" s="377"/>
      <c r="I129" s="377"/>
      <c r="J129" s="377"/>
      <c r="K129" s="377"/>
      <c r="L129" s="378"/>
      <c r="M129" s="378"/>
      <c r="N129" s="378"/>
      <c r="O129" s="378"/>
      <c r="P129" s="378"/>
      <c r="Q129" s="378"/>
      <c r="R129" s="378"/>
      <c r="S129" s="378"/>
      <c r="T129" s="378"/>
      <c r="U129" s="378"/>
      <c r="V129" s="378"/>
      <c r="W129" s="378"/>
      <c r="X129" s="378"/>
      <c r="Y129" s="378"/>
      <c r="Z129" s="378"/>
      <c r="AA129" s="378"/>
      <c r="AB129" s="334"/>
      <c r="AC129" s="334"/>
      <c r="AD129" s="334"/>
      <c r="AE129" s="334"/>
      <c r="AF129" s="334"/>
      <c r="AG129" s="334"/>
      <c r="AH129" s="334"/>
      <c r="AI129" s="335"/>
      <c r="AJ129" s="352">
        <f t="shared" si="102"/>
        <v>0</v>
      </c>
      <c r="AK129" s="349" t="str">
        <f>CONCATENATE(IF(D116&lt;&gt;(D129+D130+D131)," * Total "&amp;A129&amp;" "&amp;$D$6&amp;" "&amp;$D$7&amp;" should be equal to "&amp;B116&amp;""&amp;CHAR(10),""),IF(E116&lt;&gt;(E129+E130+E131)," * Total "&amp;A129&amp;" "&amp;$D$6&amp;" "&amp;$E$7&amp;" should be equal to "&amp;B116&amp;""&amp;CHAR(10),""),IF(F116&lt;&gt;(F129+F130+F131)," * Total "&amp;A129&amp;" "&amp;$F$6&amp;" "&amp;$F$7&amp;" should be equal to "&amp;B116&amp;""&amp;CHAR(10),""),IF(G116&lt;&gt;(G129+G130+G131)," * Total "&amp;A129&amp;" "&amp;$F$6&amp;" "&amp;$G$7&amp;" should be equal to "&amp;B116&amp;""&amp;CHAR(10),""),IF(H116&lt;&gt;(H129+H130+H131)," * Total "&amp;A129&amp;" "&amp;$H$6&amp;" "&amp;$H$7&amp;" should be equal to "&amp;B116&amp;""&amp;CHAR(10),""),IF(I116&lt;&gt;(I129+I130+I131)," * Total "&amp;A129&amp;" "&amp;$H$6&amp;" "&amp;$I$7&amp;" should be equal to "&amp;B116&amp;""&amp;CHAR(10),""),IF(J116&lt;&gt;(J129+J130+J131)," * Total "&amp;A129&amp;" "&amp;$J$6&amp;" "&amp;$J$7&amp;" should be equal to "&amp;B116&amp;""&amp;CHAR(10),""),IF(K116&lt;&gt;(K129+K130+K131)," * Total "&amp;A129&amp;" "&amp;$J$6&amp;" "&amp;$K$7&amp;" should be equal to "&amp;B116&amp;""&amp;CHAR(10),""),IF(L116&lt;&gt;(L129+L130+L131)," * Total "&amp;A129&amp;" "&amp;$L$6&amp;" "&amp;$L$7&amp;" should be equal to "&amp;B116&amp;""&amp;CHAR(10),""),IF(M116&lt;&gt;(M129+M130+M131)," * Total "&amp;A129&amp;" "&amp;$L$6&amp;" "&amp;$M$7&amp;" should be equal to "&amp;B116&amp;""&amp;CHAR(10),""),IF(N116&lt;&gt;(N129+N130+N131)," * Total "&amp;A129&amp;" "&amp;$N$6&amp;" "&amp;$N$7&amp;" should be equal to "&amp;B116&amp;""&amp;CHAR(10),""),IF(O116&lt;&gt;(O129+O130+O131)," * Total "&amp;A129&amp;" "&amp;$N$6&amp;" "&amp;$O$7&amp;" should be equal to "&amp;B116&amp;""&amp;CHAR(10),""),IF(P116&lt;&gt;(P129+P130+P131)," * Total "&amp;A129&amp;" "&amp;$P$6&amp;" "&amp;$P$7&amp;" should be equal to "&amp;B116&amp;""&amp;CHAR(10),""),IF(Q116&lt;&gt;(Q129+Q130+Q131)," * Total "&amp;A129&amp;" "&amp;$P$6&amp;" "&amp;$Q$7&amp;" should be equal to "&amp;B116&amp;""&amp;CHAR(10),""),IF(R116&lt;&gt;(R129+R130+R131)," * Total "&amp;A129&amp;" "&amp;$R$6&amp;" "&amp;$R$7&amp;" should be equal to "&amp;B116&amp;""&amp;CHAR(10),""),IF(S116&lt;&gt;(S129+S130+S131)," * Total "&amp;A129&amp;" "&amp;$R$6&amp;" "&amp;$S$7&amp;" should be equal to "&amp;B116&amp;""&amp;CHAR(10),""),IF(T116&lt;&gt;(T129+T130+T131)," * Total "&amp;A129&amp;" "&amp;$T$6&amp;" "&amp;$T$7&amp;" should be equal to "&amp;B116&amp;""&amp;CHAR(10),""),IF(U116&lt;&gt;(U129+U130+U131)," * Total "&amp;A129&amp;" "&amp;$T$6&amp;" "&amp;$U$7&amp;" should be equal to "&amp;B116&amp;""&amp;CHAR(10),""),IF(V116&lt;&gt;(V129+V130+V131)," * Total "&amp;A129&amp;" "&amp;$V$6&amp;" "&amp;$V$7&amp;" should be equal to "&amp;B116&amp;""&amp;CHAR(10),""),IF(W116&lt;&gt;(W129+W130+W131)," * Total "&amp;A129&amp;" "&amp;$V$6&amp;" "&amp;$W$7&amp;" should be equal to "&amp;B116&amp;""&amp;CHAR(10),""),IF(X116&lt;&gt;(X129+X130+X131)," * Total "&amp;A129&amp;" "&amp;$X$6&amp;" "&amp;$X$7&amp;" should be equal to "&amp;B116&amp;""&amp;CHAR(10),""),IF(Y116&lt;&gt;(Y129+Y130+Y131)," * Total "&amp;A129&amp;" "&amp;$X$6&amp;" "&amp;$Y$7&amp;" should be equal to "&amp;B116&amp;""&amp;CHAR(10),""),IF(Z116&lt;&gt;(Z129+Z130+Z131)," * Total "&amp;A129&amp;" "&amp;$Z$6&amp;" "&amp;$Z$7&amp;" should be equal to "&amp;B116&amp;""&amp;CHAR(10),""),IF(AA116&lt;&gt;(AA129+AA130+AA131)," * Total "&amp;A129&amp;" "&amp;$Z$6&amp;" "&amp;$AA$7&amp;" should be equal to "&amp;B116&amp;""&amp;CHAR(10),""))</f>
        <v/>
      </c>
      <c r="AL129" s="81"/>
      <c r="AM129" s="136"/>
      <c r="AN129" s="82"/>
      <c r="AO129" s="330"/>
    </row>
    <row r="130" spans="1:41" x14ac:dyDescent="0.6">
      <c r="A130" s="885"/>
      <c r="B130" s="745" t="s">
        <v>487</v>
      </c>
      <c r="C130" s="160" t="s">
        <v>489</v>
      </c>
      <c r="D130" s="385"/>
      <c r="E130" s="386"/>
      <c r="F130" s="386"/>
      <c r="G130" s="386"/>
      <c r="H130" s="386"/>
      <c r="I130" s="386"/>
      <c r="J130" s="386"/>
      <c r="K130" s="386"/>
      <c r="L130" s="386"/>
      <c r="M130" s="386"/>
      <c r="N130" s="386"/>
      <c r="O130" s="386"/>
      <c r="P130" s="386"/>
      <c r="Q130" s="386"/>
      <c r="R130" s="386"/>
      <c r="S130" s="386"/>
      <c r="T130" s="386"/>
      <c r="U130" s="386"/>
      <c r="V130" s="386"/>
      <c r="W130" s="386"/>
      <c r="X130" s="386"/>
      <c r="Y130" s="386"/>
      <c r="Z130" s="386"/>
      <c r="AA130" s="386"/>
      <c r="AB130" s="334"/>
      <c r="AC130" s="334"/>
      <c r="AD130" s="334"/>
      <c r="AE130" s="334"/>
      <c r="AF130" s="334"/>
      <c r="AG130" s="334"/>
      <c r="AH130" s="334"/>
      <c r="AI130" s="335"/>
      <c r="AJ130" s="352">
        <f t="shared" si="102"/>
        <v>0</v>
      </c>
      <c r="AK130" s="349"/>
      <c r="AL130" s="81"/>
      <c r="AM130" s="136"/>
      <c r="AN130" s="82"/>
      <c r="AO130" s="330"/>
    </row>
    <row r="131" spans="1:41" ht="31.5" thickBot="1" x14ac:dyDescent="0.65">
      <c r="A131" s="886"/>
      <c r="B131" s="744" t="s">
        <v>14</v>
      </c>
      <c r="C131" s="380" t="s">
        <v>490</v>
      </c>
      <c r="D131" s="381"/>
      <c r="E131" s="382"/>
      <c r="F131" s="382"/>
      <c r="G131" s="382"/>
      <c r="H131" s="382"/>
      <c r="I131" s="382"/>
      <c r="J131" s="382"/>
      <c r="K131" s="382"/>
      <c r="L131" s="382"/>
      <c r="M131" s="382"/>
      <c r="N131" s="382"/>
      <c r="O131" s="382"/>
      <c r="P131" s="382"/>
      <c r="Q131" s="382"/>
      <c r="R131" s="382"/>
      <c r="S131" s="382"/>
      <c r="T131" s="382"/>
      <c r="U131" s="382"/>
      <c r="V131" s="382"/>
      <c r="W131" s="382"/>
      <c r="X131" s="382"/>
      <c r="Y131" s="382"/>
      <c r="Z131" s="382"/>
      <c r="AA131" s="382"/>
      <c r="AB131" s="334"/>
      <c r="AC131" s="334"/>
      <c r="AD131" s="334"/>
      <c r="AE131" s="334"/>
      <c r="AF131" s="334"/>
      <c r="AG131" s="334"/>
      <c r="AH131" s="334"/>
      <c r="AI131" s="335"/>
      <c r="AJ131" s="352">
        <f t="shared" si="102"/>
        <v>0</v>
      </c>
      <c r="AK131" s="349"/>
      <c r="AL131" s="81"/>
      <c r="AM131" s="136"/>
      <c r="AN131" s="82"/>
      <c r="AO131" s="330"/>
    </row>
    <row r="132" spans="1:41" ht="48.75" customHeight="1" thickBot="1" x14ac:dyDescent="0.65">
      <c r="A132" s="703" t="s">
        <v>600</v>
      </c>
      <c r="B132" s="743" t="s">
        <v>496</v>
      </c>
      <c r="C132" s="115" t="s">
        <v>497</v>
      </c>
      <c r="D132" s="376"/>
      <c r="E132" s="377"/>
      <c r="F132" s="377"/>
      <c r="G132" s="377"/>
      <c r="H132" s="377"/>
      <c r="I132" s="377"/>
      <c r="J132" s="129"/>
      <c r="K132" s="129"/>
      <c r="L132" s="378"/>
      <c r="M132" s="378"/>
      <c r="N132" s="378"/>
      <c r="O132" s="378"/>
      <c r="P132" s="378"/>
      <c r="Q132" s="378"/>
      <c r="R132" s="378"/>
      <c r="S132" s="378"/>
      <c r="T132" s="378"/>
      <c r="U132" s="378"/>
      <c r="V132" s="378"/>
      <c r="W132" s="378"/>
      <c r="X132" s="378"/>
      <c r="Y132" s="378"/>
      <c r="Z132" s="378"/>
      <c r="AA132" s="378"/>
      <c r="AB132" s="334"/>
      <c r="AC132" s="334"/>
      <c r="AD132" s="334"/>
      <c r="AE132" s="334"/>
      <c r="AF132" s="334"/>
      <c r="AG132" s="334"/>
      <c r="AH132" s="334"/>
      <c r="AI132" s="335"/>
      <c r="AJ132" s="352">
        <f t="shared" si="102"/>
        <v>0</v>
      </c>
      <c r="AK132" s="349" t="str">
        <f>CONCATENATE(IF(D132&gt;D116," * Newly Initiated on Event-Driven Prep For age "&amp;$D$6&amp;" "&amp;$D$7&amp;" Should not be more than Initiated(New) on Prep"&amp;CHAR(10),""),IF(E132&gt;E116," * Newly Initiated on Event-Driven Prep For age "&amp;$D$6&amp;" "&amp;$E$7&amp;" Should not be more than Initiated(New) on Prep"&amp;CHAR(10),""),IF(F132&gt;F116," * Newly Initiated on Event-Driven Prep For age "&amp;$F$6&amp;" "&amp;$F$7&amp;" Should not be more than Initiated(New) on Prep"&amp;CHAR(10),""),IF(G132&gt;G116," * Newly Initiated on Event-Driven Prep For age "&amp;$F$6&amp;" "&amp;$G$7&amp;" Should not be more than Initiated(New) on Prep"&amp;CHAR(10),""),IF(H132&gt;H116," * Newly Initiated on Event-Driven Prep For age "&amp;$H$6&amp;" "&amp;$H$7&amp;" Should not be more than Initiated(New) on Prep"&amp;CHAR(10),""),IF(I132&gt;I116," * Newly Initiated on Event-Driven Prep For age "&amp;$H$6&amp;" "&amp;$I$7&amp;" Should not be more than Initiated(New) on Prep"&amp;CHAR(10),""),IF(J132&gt;J116," * Newly Initiated on Event-Driven Prep For age "&amp;$J$6&amp;" "&amp;$J$7&amp;" Should not be more than Initiated(New) on Prep"&amp;CHAR(10),""),IF(K132&gt;K116," * Newly Initiated on Event-Driven Prep For age "&amp;$J$6&amp;" "&amp;$K$7&amp;" Should not be more than Initiated(New) on Prep"&amp;CHAR(10),""),IF(L132&gt;L116," * Newly Initiated on Event-Driven Prep For age "&amp;$L$6&amp;" "&amp;$L$7&amp;" Should not be more than Initiated(New) on Prep"&amp;CHAR(10),""),IF(M132&gt;M116," * Newly Initiated on Event-Driven Prep For age "&amp;$L$6&amp;" "&amp;$M$7&amp;" Should not be more than Initiated(New) on Prep"&amp;CHAR(10),""),IF(N132&gt;N116," * Newly Initiated on Event-Driven Prep For age "&amp;$N$6&amp;" "&amp;$N$7&amp;" Should not be more than Initiated(New) on Prep"&amp;CHAR(10),""),IF(O132&gt;O116," * Newly Initiated on Event-Driven Prep For age "&amp;$N$6&amp;" "&amp;$O$7&amp;" Should not be more than Initiated(New) on Prep"&amp;CHAR(10),""),IF(P132&gt;P116," * Newly Initiated on Event-Driven Prep For age "&amp;$P$6&amp;" "&amp;$P$7&amp;" Should not be more than Initiated(New) on Prep"&amp;CHAR(10),""),IF(Q132&gt;Q116," * Newly Initiated on Event-Driven Prep For age "&amp;$P$6&amp;" "&amp;$Q$7&amp;" Should not be more than Initiated(New) on Prep"&amp;CHAR(10),""),IF(R132&gt;R116," * Newly Initiated on Event-Driven Prep For age "&amp;$R$6&amp;" "&amp;$R$7&amp;" Should not be more than Initiated(New) on Prep"&amp;CHAR(10),""),IF(S132&gt;S116," * Newly Initiated on Event-Driven Prep For age "&amp;$R$6&amp;" "&amp;$S$7&amp;" Should not be more than Initiated(New) on Prep"&amp;CHAR(10),""),IF(T132&gt;T116," * Newly Initiated on Event-Driven Prep For age "&amp;$T$6&amp;" "&amp;$T$7&amp;" Should not be more than Initiated(New) on Prep"&amp;CHAR(10),""),IF(U132&gt;U116," * Newly Initiated on Event-Driven Prep For age "&amp;$T$6&amp;" "&amp;$U$7&amp;" Should not be more than Initiated(New) on Prep"&amp;CHAR(10),""),IF(V132&gt;V116," * Newly Initiated on Event-Driven Prep For age "&amp;$V$6&amp;" "&amp;$V$7&amp;" Should not be more than Initiated(New) on Prep"&amp;CHAR(10),""),IF(W132&gt;W116," * Newly Initiated on Event-Driven Prep For age "&amp;$V$6&amp;" "&amp;$W$7&amp;" Should not be more than Initiated(New) on Prep"&amp;CHAR(10),""),IF(X132&gt;X116," * Newly Initiated on Event-Driven Prep For age "&amp;$X$6&amp;" "&amp;$X$7&amp;" Should not be more than Initiated(New) on Prep"&amp;CHAR(10),""),IF(Y132&gt;Y116," * Newly Initiated on Event-Driven Prep For age "&amp;$X$6&amp;" "&amp;$Y$7&amp;" Should not be more than Initiated(New) on Prep"&amp;CHAR(10),""),IF(Z132&gt;Z116," * Newly Initiated on Event-Driven Prep For age "&amp;$Z$6&amp;" "&amp;$Z$7&amp;" Should not be more than Initiated(New) on Prep"&amp;CHAR(10),""),IF(AA132&gt;AA116," * Newly Initiated on Event-Driven Prep For age "&amp;$Z$6&amp;" "&amp;$AA$7&amp;" Should not be more than Initiated(New) on Prep"&amp;CHAR(10),""))</f>
        <v/>
      </c>
      <c r="AL132" s="81"/>
      <c r="AM132" s="136"/>
      <c r="AN132" s="82"/>
      <c r="AO132" s="330"/>
    </row>
    <row r="133" spans="1:41" ht="139.5" customHeight="1" thickBot="1" x14ac:dyDescent="0.65">
      <c r="A133" s="704" t="s">
        <v>601</v>
      </c>
      <c r="B133" s="746" t="s">
        <v>716</v>
      </c>
      <c r="C133" s="387" t="s">
        <v>364</v>
      </c>
      <c r="D133" s="388"/>
      <c r="E133" s="389"/>
      <c r="F133" s="389"/>
      <c r="G133" s="389"/>
      <c r="H133" s="389"/>
      <c r="I133" s="389"/>
      <c r="J133" s="389"/>
      <c r="K133" s="389"/>
      <c r="L133" s="390"/>
      <c r="M133" s="390"/>
      <c r="N133" s="390"/>
      <c r="O133" s="390"/>
      <c r="P133" s="390"/>
      <c r="Q133" s="390"/>
      <c r="R133" s="390"/>
      <c r="S133" s="390"/>
      <c r="T133" s="390"/>
      <c r="U133" s="390"/>
      <c r="V133" s="390"/>
      <c r="W133" s="390"/>
      <c r="X133" s="390"/>
      <c r="Y133" s="390"/>
      <c r="Z133" s="390"/>
      <c r="AA133" s="391"/>
      <c r="AB133" s="333"/>
      <c r="AC133" s="334"/>
      <c r="AD133" s="334"/>
      <c r="AE133" s="334"/>
      <c r="AF133" s="334"/>
      <c r="AG133" s="334"/>
      <c r="AH133" s="334"/>
      <c r="AI133" s="335"/>
      <c r="AJ133" s="352">
        <f t="shared" ref="AJ133" si="103">SUM(J133:AA133)</f>
        <v>0</v>
      </c>
      <c r="AK133" s="174"/>
      <c r="AL133" s="81"/>
      <c r="AM133" s="136"/>
      <c r="AN133" s="82"/>
      <c r="AO133" s="330"/>
    </row>
    <row r="134" spans="1:41" x14ac:dyDescent="0.6">
      <c r="A134" s="876" t="s">
        <v>745</v>
      </c>
      <c r="B134" s="747" t="s">
        <v>429</v>
      </c>
      <c r="C134" s="115" t="s">
        <v>86</v>
      </c>
      <c r="D134" s="247"/>
      <c r="E134" s="117"/>
      <c r="F134" s="117"/>
      <c r="G134" s="117"/>
      <c r="H134" s="117"/>
      <c r="I134" s="117"/>
      <c r="J134" s="117"/>
      <c r="K134" s="117"/>
      <c r="L134" s="118"/>
      <c r="M134" s="118"/>
      <c r="N134" s="118"/>
      <c r="O134" s="118"/>
      <c r="P134" s="118"/>
      <c r="Q134" s="118"/>
      <c r="R134" s="118"/>
      <c r="S134" s="118"/>
      <c r="T134" s="118"/>
      <c r="U134" s="118"/>
      <c r="V134" s="118"/>
      <c r="W134" s="118"/>
      <c r="X134" s="118"/>
      <c r="Y134" s="118"/>
      <c r="Z134" s="118"/>
      <c r="AA134" s="369"/>
      <c r="AB134" s="334"/>
      <c r="AC134" s="334"/>
      <c r="AD134" s="334"/>
      <c r="AE134" s="334"/>
      <c r="AF134" s="334"/>
      <c r="AG134" s="334"/>
      <c r="AH134" s="334"/>
      <c r="AI134" s="334"/>
      <c r="AJ134" s="124">
        <f t="shared" ref="AJ134:AJ145" si="104">SUM(D134:AA134)</f>
        <v>0</v>
      </c>
      <c r="AK134" s="966" t="str">
        <f>CONCATENATE(IF(D135&gt;D134," * F02-07 for Age "&amp;D6&amp;" "&amp;D7&amp;" is more than F02-06"&amp;CHAR(10),""),IF(E135&gt;E134," * F02-07 for Age "&amp;D6&amp;" "&amp;E7&amp;" is more than F02-06"&amp;CHAR(10),""),IF(F135&gt;F134," * F02-07 for Age "&amp;F6&amp;" "&amp;F7&amp;" is more than F02-06"&amp;CHAR(10),""),IF(G135&gt;G134," * F02-07 for Age "&amp;F6&amp;" "&amp;G7&amp;" is more than F02-06"&amp;CHAR(10),""),IF(H135&gt;H134," * F02-07 for Age "&amp;H6&amp;" "&amp;H7&amp;" is more than F02-06"&amp;CHAR(10),""),IF(I135&gt;I134," * F02-07 for Age "&amp;H6&amp;" "&amp;I7&amp;" is more than F02-06"&amp;CHAR(10),""),IF(J135&gt;J134," * F02-07 for Age "&amp;J6&amp;" "&amp;J7&amp;" is more than F02-06"&amp;CHAR(10),""),IF(K135&gt;K134," * F02-07 for Age "&amp;J6&amp;" "&amp;K7&amp;" is more than F02-06"&amp;CHAR(10),""),IF(L135&gt;L134," * F02-07 for Age "&amp;L6&amp;" "&amp;L7&amp;" is more than F02-06"&amp;CHAR(10),""),IF(M135&gt;M134," * F02-07 for Age "&amp;L6&amp;" "&amp;M7&amp;" is more than F02-06"&amp;CHAR(10),""),IF(N135&gt;N134," * F02-07 for Age "&amp;N6&amp;" "&amp;N7&amp;" is more than F02-06"&amp;CHAR(10),""),IF(O135&gt;O134," * F02-07 for Age "&amp;N6&amp;" "&amp;O7&amp;" is more than F02-06"&amp;CHAR(10),""),IF(P135&gt;P134," * F02-07 for Age "&amp;P6&amp;" "&amp;P7&amp;" is more than F02-06"&amp;CHAR(10),""),IF(Q135&gt;Q134," * F02-07 for Age "&amp;P6&amp;" "&amp;Q7&amp;" is more than F02-06"&amp;CHAR(10),""),IF(R135&gt;R134," * F02-07 for Age "&amp;R6&amp;" "&amp;R7&amp;" is more than F02-06"&amp;CHAR(10),""),IF(S135&gt;S134," * F02-07 for Age "&amp;R6&amp;" "&amp;S7&amp;" is more than F02-06"&amp;CHAR(10),""),IF(T135&gt;T134," * F02-07 for Age "&amp;T6&amp;" "&amp;T7&amp;" is more than F02-06"&amp;CHAR(10),""),IF(U135&gt;U134," * F02-07 for Age "&amp;T6&amp;" "&amp;U7&amp;" is more than F02-06"&amp;CHAR(10),""),IF(V135&gt;V134," * F02-07 for Age "&amp;V6&amp;" "&amp;V7&amp;" is more than F02-06"&amp;CHAR(10),""),IF(W135&gt;W134," * F02-07 for Age "&amp;V6&amp;" "&amp;W7&amp;" is more than F02-06"&amp;CHAR(10),""),IF(X135&gt;X134," * F02-07 for Age "&amp;X6&amp;" "&amp;X7&amp;" is more than F02-06"&amp;CHAR(10),""),IF(Y135&gt;Y134," * F02-07 for Age "&amp;X6&amp;" "&amp;Y7&amp;" is more than F02-06"&amp;CHAR(10),""),IF(Z135&gt;Z134," * F02-07 for Age "&amp;Z6&amp;" "&amp;Z7&amp;" is more than F02-06"&amp;CHAR(10),""),IF(AA135&gt;AA134," * F02-07 for Age "&amp;Z6&amp;" "&amp;AA7&amp;" is more than F02-06"&amp;CHAR(10),""),IF(AJ135&gt;AJ134," * Total F02-07 is more than Total F02-06"&amp;CHAR(10),""))</f>
        <v/>
      </c>
      <c r="AL134" s="81"/>
      <c r="AM134" s="136"/>
      <c r="AN134" s="82"/>
      <c r="AO134" s="330">
        <v>85</v>
      </c>
    </row>
    <row r="135" spans="1:41" ht="31.5" thickBot="1" x14ac:dyDescent="0.65">
      <c r="A135" s="877"/>
      <c r="B135" s="748" t="s">
        <v>430</v>
      </c>
      <c r="C135" s="337" t="s">
        <v>87</v>
      </c>
      <c r="D135" s="437"/>
      <c r="E135" s="186"/>
      <c r="F135" s="186"/>
      <c r="G135" s="186"/>
      <c r="H135" s="186"/>
      <c r="I135" s="186"/>
      <c r="J135" s="186"/>
      <c r="K135" s="186"/>
      <c r="L135" s="393"/>
      <c r="M135" s="393"/>
      <c r="N135" s="393"/>
      <c r="O135" s="393"/>
      <c r="P135" s="393"/>
      <c r="Q135" s="393"/>
      <c r="R135" s="393"/>
      <c r="S135" s="393"/>
      <c r="T135" s="393"/>
      <c r="U135" s="393"/>
      <c r="V135" s="393"/>
      <c r="W135" s="393"/>
      <c r="X135" s="393"/>
      <c r="Y135" s="393"/>
      <c r="Z135" s="393"/>
      <c r="AA135" s="394"/>
      <c r="AB135" s="334"/>
      <c r="AC135" s="334"/>
      <c r="AD135" s="334"/>
      <c r="AE135" s="334"/>
      <c r="AF135" s="334"/>
      <c r="AG135" s="334"/>
      <c r="AH135" s="334"/>
      <c r="AI135" s="334"/>
      <c r="AJ135" s="395">
        <f t="shared" si="104"/>
        <v>0</v>
      </c>
      <c r="AK135" s="966"/>
      <c r="AL135" s="81"/>
      <c r="AM135" s="136"/>
      <c r="AN135" s="82"/>
      <c r="AO135" s="330">
        <v>86</v>
      </c>
    </row>
    <row r="136" spans="1:41" x14ac:dyDescent="0.6">
      <c r="A136" s="963" t="s">
        <v>742</v>
      </c>
      <c r="B136" s="806" t="s">
        <v>431</v>
      </c>
      <c r="C136" s="365" t="s">
        <v>433</v>
      </c>
      <c r="D136" s="247"/>
      <c r="E136" s="117"/>
      <c r="F136" s="117"/>
      <c r="G136" s="117"/>
      <c r="H136" s="117"/>
      <c r="I136" s="117"/>
      <c r="J136" s="117"/>
      <c r="K136" s="117"/>
      <c r="L136" s="117"/>
      <c r="M136" s="170"/>
      <c r="N136" s="117"/>
      <c r="O136" s="170"/>
      <c r="P136" s="117"/>
      <c r="Q136" s="170"/>
      <c r="R136" s="117"/>
      <c r="S136" s="170"/>
      <c r="T136" s="117"/>
      <c r="U136" s="170"/>
      <c r="V136" s="117"/>
      <c r="W136" s="170"/>
      <c r="X136" s="117"/>
      <c r="Y136" s="170"/>
      <c r="Z136" s="117"/>
      <c r="AA136" s="171"/>
      <c r="AB136" s="334"/>
      <c r="AC136" s="334"/>
      <c r="AD136" s="334"/>
      <c r="AE136" s="334"/>
      <c r="AF136" s="334"/>
      <c r="AG136" s="334"/>
      <c r="AH136" s="334"/>
      <c r="AI136" s="334"/>
      <c r="AJ136" s="395">
        <f t="shared" si="104"/>
        <v>0</v>
      </c>
      <c r="AK136" s="349"/>
      <c r="AL136" s="81"/>
      <c r="AM136" s="136"/>
      <c r="AN136" s="82"/>
      <c r="AO136" s="330"/>
    </row>
    <row r="137" spans="1:41" ht="31.5" thickBot="1" x14ac:dyDescent="0.65">
      <c r="A137" s="863"/>
      <c r="B137" s="749" t="s">
        <v>432</v>
      </c>
      <c r="C137" s="337" t="s">
        <v>434</v>
      </c>
      <c r="D137" s="807"/>
      <c r="E137" s="400"/>
      <c r="F137" s="400"/>
      <c r="G137" s="400"/>
      <c r="H137" s="400"/>
      <c r="I137" s="400"/>
      <c r="J137" s="400"/>
      <c r="K137" s="400"/>
      <c r="L137" s="186"/>
      <c r="M137" s="401"/>
      <c r="N137" s="186"/>
      <c r="O137" s="401"/>
      <c r="P137" s="186"/>
      <c r="Q137" s="401"/>
      <c r="R137" s="186"/>
      <c r="S137" s="401"/>
      <c r="T137" s="186"/>
      <c r="U137" s="401"/>
      <c r="V137" s="186"/>
      <c r="W137" s="401"/>
      <c r="X137" s="186"/>
      <c r="Y137" s="401"/>
      <c r="Z137" s="186"/>
      <c r="AA137" s="402"/>
      <c r="AB137" s="334"/>
      <c r="AC137" s="334"/>
      <c r="AD137" s="334"/>
      <c r="AE137" s="334"/>
      <c r="AF137" s="334"/>
      <c r="AG137" s="334"/>
      <c r="AH137" s="334"/>
      <c r="AI137" s="334"/>
      <c r="AJ137" s="395">
        <f t="shared" si="104"/>
        <v>0</v>
      </c>
      <c r="AK137" s="349"/>
      <c r="AL137" s="81"/>
      <c r="AM137" s="136"/>
      <c r="AN137" s="82"/>
      <c r="AO137" s="330"/>
    </row>
    <row r="138" spans="1:41" x14ac:dyDescent="0.6">
      <c r="A138" s="861" t="s">
        <v>743</v>
      </c>
      <c r="B138" s="750" t="s">
        <v>159</v>
      </c>
      <c r="C138" s="813" t="s">
        <v>461</v>
      </c>
      <c r="D138" s="808"/>
      <c r="E138" s="403"/>
      <c r="F138" s="403"/>
      <c r="G138" s="403"/>
      <c r="H138" s="403"/>
      <c r="I138" s="403"/>
      <c r="J138" s="403"/>
      <c r="K138" s="403"/>
      <c r="L138" s="403"/>
      <c r="M138" s="404"/>
      <c r="N138" s="403"/>
      <c r="O138" s="404"/>
      <c r="P138" s="403"/>
      <c r="Q138" s="404"/>
      <c r="R138" s="403"/>
      <c r="S138" s="404"/>
      <c r="T138" s="403"/>
      <c r="U138" s="404"/>
      <c r="V138" s="403"/>
      <c r="W138" s="404"/>
      <c r="X138" s="403"/>
      <c r="Y138" s="404"/>
      <c r="Z138" s="403"/>
      <c r="AA138" s="405"/>
      <c r="AB138" s="334"/>
      <c r="AC138" s="334"/>
      <c r="AD138" s="334"/>
      <c r="AE138" s="334"/>
      <c r="AF138" s="334"/>
      <c r="AG138" s="334"/>
      <c r="AH138" s="334"/>
      <c r="AI138" s="334"/>
      <c r="AJ138" s="395">
        <f t="shared" si="104"/>
        <v>0</v>
      </c>
      <c r="AK138" s="406"/>
      <c r="AL138" s="81"/>
      <c r="AM138" s="407"/>
      <c r="AN138" s="82"/>
      <c r="AO138" s="330"/>
    </row>
    <row r="139" spans="1:41" ht="31.5" thickBot="1" x14ac:dyDescent="0.65">
      <c r="A139" s="863"/>
      <c r="B139" s="749" t="s">
        <v>158</v>
      </c>
      <c r="C139" s="814" t="s">
        <v>462</v>
      </c>
      <c r="D139" s="809"/>
      <c r="E139" s="408"/>
      <c r="F139" s="408"/>
      <c r="G139" s="408"/>
      <c r="H139" s="408"/>
      <c r="I139" s="408"/>
      <c r="J139" s="408"/>
      <c r="K139" s="408"/>
      <c r="L139" s="409"/>
      <c r="M139" s="408"/>
      <c r="N139" s="409"/>
      <c r="O139" s="408"/>
      <c r="P139" s="409"/>
      <c r="Q139" s="408"/>
      <c r="R139" s="409"/>
      <c r="S139" s="408"/>
      <c r="T139" s="409"/>
      <c r="U139" s="408"/>
      <c r="V139" s="409"/>
      <c r="W139" s="408"/>
      <c r="X139" s="409"/>
      <c r="Y139" s="408"/>
      <c r="Z139" s="409"/>
      <c r="AA139" s="410"/>
      <c r="AB139" s="334"/>
      <c r="AC139" s="334"/>
      <c r="AD139" s="334"/>
      <c r="AE139" s="334"/>
      <c r="AF139" s="334"/>
      <c r="AG139" s="334"/>
      <c r="AH139" s="334"/>
      <c r="AI139" s="334"/>
      <c r="AJ139" s="395">
        <f t="shared" si="104"/>
        <v>0</v>
      </c>
      <c r="AK139" s="406"/>
      <c r="AL139" s="81"/>
      <c r="AM139" s="407"/>
      <c r="AN139" s="82"/>
      <c r="AO139" s="330"/>
    </row>
    <row r="140" spans="1:41" x14ac:dyDescent="0.6">
      <c r="A140" s="997" t="s">
        <v>744</v>
      </c>
      <c r="B140" s="747" t="s">
        <v>482</v>
      </c>
      <c r="C140" s="115" t="s">
        <v>491</v>
      </c>
      <c r="D140" s="810"/>
      <c r="E140" s="377"/>
      <c r="F140" s="377"/>
      <c r="G140" s="377"/>
      <c r="H140" s="377"/>
      <c r="I140" s="377"/>
      <c r="J140" s="377"/>
      <c r="K140" s="377"/>
      <c r="L140" s="378"/>
      <c r="M140" s="378"/>
      <c r="N140" s="378"/>
      <c r="O140" s="378"/>
      <c r="P140" s="378"/>
      <c r="Q140" s="378"/>
      <c r="R140" s="378"/>
      <c r="S140" s="378"/>
      <c r="T140" s="378"/>
      <c r="U140" s="378"/>
      <c r="V140" s="378"/>
      <c r="W140" s="378"/>
      <c r="X140" s="378"/>
      <c r="Y140" s="378"/>
      <c r="Z140" s="378"/>
      <c r="AA140" s="378"/>
      <c r="AB140" s="334"/>
      <c r="AC140" s="334"/>
      <c r="AD140" s="334"/>
      <c r="AE140" s="334"/>
      <c r="AF140" s="334"/>
      <c r="AG140" s="334"/>
      <c r="AH140" s="334"/>
      <c r="AI140" s="335"/>
      <c r="AJ140" s="395">
        <f t="shared" si="104"/>
        <v>0</v>
      </c>
      <c r="AK140" s="349" t="str">
        <f>CONCATENATE(IF(D133&lt;&gt;(D140+D141)," * "&amp;A140&amp;" "&amp;$D$6&amp;" "&amp;$D$7&amp;" should be equal to Total "&amp;A133&amp;""&amp;CHAR(10),""),IF(E133&lt;&gt;(E140+E141)," * "&amp;A140&amp;" "&amp;$D$6&amp;" "&amp;$E$7&amp;" should be equal to Total  "&amp;A133&amp;""&amp;CHAR(10),""),IF(F133&lt;&gt;(F140+F141)," * "&amp;A140&amp;" "&amp;$F$6&amp;" "&amp;$F$7&amp;" should be equal to Total  "&amp;A133&amp;""&amp;CHAR(10),""),IF(G133&lt;&gt;(G140+G141)," * "&amp;A140&amp;" "&amp;$F$6&amp;" "&amp;$G$7&amp;" should be equal to Total  "&amp;A133&amp;""&amp;CHAR(10),""),IF(H133&lt;&gt;(H140+H141)," * "&amp;A140&amp;" "&amp;$H$6&amp;" "&amp;$H$7&amp;" should be equal to Total  "&amp;A133&amp;""&amp;CHAR(10),""),IF(I133&lt;&gt;(I140+I141)," * "&amp;A140&amp;" "&amp;$H$6&amp;" "&amp;$I$7&amp;" should be equal to Total  "&amp;A133&amp;""&amp;CHAR(10),""),IF(J133&lt;&gt;(J140+J141)," * "&amp;A140&amp;" "&amp;$J$6&amp;" "&amp;$J$7&amp;" should be equal to Total  "&amp;A133&amp;""&amp;CHAR(10),""),IF(K133&lt;&gt;(K140+K141)," * "&amp;A140&amp;" "&amp;$J$6&amp;" "&amp;$K$7&amp;" should be equal to Total  "&amp;A133&amp;""&amp;CHAR(10),""),IF(L133&lt;&gt;(L140+L141)," * "&amp;A140&amp;" "&amp;$L$6&amp;" "&amp;$L$7&amp;" should be equal to Total  "&amp;A133&amp;""&amp;CHAR(10),""),IF(M133&lt;&gt;(M140+M141)," * "&amp;A140&amp;" "&amp;$L$6&amp;" "&amp;$M$7&amp;" should be equal to Total  "&amp;A133&amp;""&amp;CHAR(10),""),IF(N133&lt;&gt;(N140+N141)," * "&amp;A140&amp;" "&amp;$N$6&amp;" "&amp;$N$7&amp;" should be equal to Total  "&amp;A133&amp;""&amp;CHAR(10),""),IF(O133&lt;&gt;(O140+O141)," * "&amp;A140&amp;" "&amp;$N$6&amp;" "&amp;$O$7&amp;" should be equal to Total  "&amp;A133&amp;""&amp;CHAR(10),""),IF(P133&lt;&gt;(P140+P141)," * "&amp;A140&amp;" "&amp;$P$6&amp;" "&amp;$P$7&amp;" should be equal to Total  "&amp;A133&amp;""&amp;CHAR(10),""),IF(Q133&lt;&gt;(Q140+Q141)," * "&amp;A140&amp;" "&amp;$P$6&amp;" "&amp;$Q$7&amp;" should be equal to Total  "&amp;A133&amp;""&amp;CHAR(10),""),IF(R133&lt;&gt;(R140+R141)," * "&amp;A140&amp;" "&amp;$R$6&amp;" "&amp;$R$7&amp;" should be equal to Total  "&amp;A133&amp;""&amp;CHAR(10),""),IF(S133&lt;&gt;(S140+S141)," * "&amp;A140&amp;" "&amp;$R$6&amp;" "&amp;$S$7&amp;" should be equal to Total  "&amp;A133&amp;""&amp;CHAR(10),""),IF(T133&lt;&gt;(T140+T141)," * "&amp;A140&amp;" "&amp;$T$6&amp;" "&amp;$T$7&amp;" should be equal to Total  "&amp;A133&amp;""&amp;CHAR(10),""),IF(U133&lt;&gt;(U140+U141)," * "&amp;A140&amp;" "&amp;$T$6&amp;" "&amp;$U$7&amp;" should be equal to Total  "&amp;A133&amp;""&amp;CHAR(10),""),IF(V133&lt;&gt;(V140+V141)," * "&amp;A140&amp;" "&amp;$V$6&amp;" "&amp;$V$7&amp;" should be equal to Total  "&amp;A133&amp;""&amp;CHAR(10),""),IF(W133&lt;&gt;(W140+W141)," * "&amp;A140&amp;" "&amp;$V$6&amp;" "&amp;$W$7&amp;" should be equal to Total  "&amp;A133&amp;""&amp;CHAR(10),""),IF(X133&lt;&gt;(X140+X141)," * "&amp;A140&amp;" "&amp;$X$6&amp;" "&amp;$X$7&amp;" should be equal to Total  "&amp;A133&amp;""&amp;CHAR(10),""),IF(Y133&lt;&gt;(Y140+Y141)," * "&amp;A140&amp;" "&amp;$X$6&amp;" "&amp;$Y$7&amp;" should be equal to Total  "&amp;A133&amp;""&amp;CHAR(10),""),IF(Z133&lt;&gt;(Z140+Z141)," * "&amp;A140&amp;" "&amp;$Z$6&amp;" "&amp;$Z$7&amp;" should be equal to Total  "&amp;A133&amp;""&amp;CHAR(10),""),IF(AA133&lt;&gt;(AA140+AA141)," * "&amp;A140&amp;" "&amp;$Z$6&amp;" "&amp;$AA$7&amp;" should be equal to Total  "&amp;A133&amp;""&amp;CHAR(10),""))</f>
        <v/>
      </c>
      <c r="AL140" s="81"/>
      <c r="AM140" s="136"/>
      <c r="AN140" s="82"/>
      <c r="AO140" s="330"/>
    </row>
    <row r="141" spans="1:41" ht="31.5" thickBot="1" x14ac:dyDescent="0.65">
      <c r="A141" s="998"/>
      <c r="B141" s="748" t="s">
        <v>483</v>
      </c>
      <c r="C141" s="380" t="s">
        <v>492</v>
      </c>
      <c r="D141" s="811"/>
      <c r="E141" s="382"/>
      <c r="F141" s="382"/>
      <c r="G141" s="382"/>
      <c r="H141" s="382"/>
      <c r="I141" s="382"/>
      <c r="J141" s="382"/>
      <c r="K141" s="382"/>
      <c r="L141" s="383"/>
      <c r="M141" s="383"/>
      <c r="N141" s="383"/>
      <c r="O141" s="383"/>
      <c r="P141" s="383"/>
      <c r="Q141" s="383"/>
      <c r="R141" s="383"/>
      <c r="S141" s="383"/>
      <c r="T141" s="383"/>
      <c r="U141" s="383"/>
      <c r="V141" s="383"/>
      <c r="W141" s="383"/>
      <c r="X141" s="383"/>
      <c r="Y141" s="383"/>
      <c r="Z141" s="383"/>
      <c r="AA141" s="383"/>
      <c r="AB141" s="334"/>
      <c r="AC141" s="334"/>
      <c r="AD141" s="334"/>
      <c r="AE141" s="334"/>
      <c r="AF141" s="334"/>
      <c r="AG141" s="334"/>
      <c r="AH141" s="334"/>
      <c r="AI141" s="335"/>
      <c r="AJ141" s="395">
        <f t="shared" si="104"/>
        <v>0</v>
      </c>
      <c r="AK141" s="349"/>
      <c r="AL141" s="81"/>
      <c r="AM141" s="136"/>
      <c r="AN141" s="82"/>
      <c r="AO141" s="330"/>
    </row>
    <row r="142" spans="1:41" x14ac:dyDescent="0.6">
      <c r="A142" s="997" t="s">
        <v>605</v>
      </c>
      <c r="B142" s="747" t="s">
        <v>486</v>
      </c>
      <c r="C142" s="115" t="s">
        <v>493</v>
      </c>
      <c r="D142" s="810"/>
      <c r="E142" s="377"/>
      <c r="F142" s="377"/>
      <c r="G142" s="377"/>
      <c r="H142" s="377"/>
      <c r="I142" s="377"/>
      <c r="J142" s="377"/>
      <c r="K142" s="377"/>
      <c r="L142" s="378"/>
      <c r="M142" s="378"/>
      <c r="N142" s="378"/>
      <c r="O142" s="378"/>
      <c r="P142" s="378"/>
      <c r="Q142" s="378"/>
      <c r="R142" s="378"/>
      <c r="S142" s="378"/>
      <c r="T142" s="378"/>
      <c r="U142" s="378"/>
      <c r="V142" s="378"/>
      <c r="W142" s="378"/>
      <c r="X142" s="378"/>
      <c r="Y142" s="378"/>
      <c r="Z142" s="378"/>
      <c r="AA142" s="378"/>
      <c r="AB142" s="334"/>
      <c r="AC142" s="334"/>
      <c r="AD142" s="334"/>
      <c r="AE142" s="334"/>
      <c r="AF142" s="334"/>
      <c r="AG142" s="334"/>
      <c r="AH142" s="334"/>
      <c r="AI142" s="335"/>
      <c r="AJ142" s="395">
        <f t="shared" si="104"/>
        <v>0</v>
      </c>
      <c r="AK142" s="349" t="str">
        <f>CONCATENATE(IF(D133&lt;&gt;(D142+D143+D144)," * Total "&amp;A142&amp;" "&amp;$D$6&amp;" "&amp;$D$7&amp;" should be equal to Total "&amp;A133&amp;""&amp;CHAR(10),""),IF(E133&lt;&gt;(E142+E143+E144)," * Total "&amp;A142&amp;" "&amp;$D$6&amp;" "&amp;$E$7&amp;" should be equal to Total  "&amp;A133&amp;""&amp;CHAR(10),""),IF(F133&lt;&gt;(F142+F143+F144)," * Total "&amp;A142&amp;" "&amp;$F$6&amp;" "&amp;$F$7&amp;" should be equal to Total  "&amp;A133&amp;""&amp;CHAR(10),""),IF(G133&lt;&gt;(G142+G143+G144)," * Total "&amp;A142&amp;" "&amp;$F$6&amp;" "&amp;$G$7&amp;" should be equal to Total  "&amp;A133&amp;""&amp;CHAR(10),""),IF(H133&lt;&gt;(H142+H143+H144)," * Total "&amp;A142&amp;" "&amp;$H$6&amp;" "&amp;$H$7&amp;" should be equal to Total  "&amp;A133&amp;""&amp;CHAR(10),""),IF(I133&lt;&gt;(I142+I143+I144)," * Total "&amp;A142&amp;" "&amp;$H$6&amp;" "&amp;$I$7&amp;" should be equal to Total  "&amp;A133&amp;""&amp;CHAR(10),""),IF(J133&lt;&gt;(J142+J143+J144)," * Total "&amp;A142&amp;" "&amp;$J$6&amp;" "&amp;$J$7&amp;" should be equal to Total  "&amp;A133&amp;""&amp;CHAR(10),""),IF(K133&lt;&gt;(K142+K143+K144)," * Total "&amp;A142&amp;" "&amp;$J$6&amp;" "&amp;$K$7&amp;" should be equal to Total  "&amp;A133&amp;""&amp;CHAR(10),""),IF(L133&lt;&gt;(L142+L143+L144)," * Total "&amp;A142&amp;" "&amp;$L$6&amp;" "&amp;$L$7&amp;" should be equal to Total  "&amp;A133&amp;""&amp;CHAR(10),""),IF(M133&lt;&gt;(M142+M143+M144)," * Total "&amp;A142&amp;" "&amp;$L$6&amp;" "&amp;$M$7&amp;" should be equal to Total  "&amp;A133&amp;""&amp;CHAR(10),""),IF(N133&lt;&gt;(N142+N143+N144)," * Total "&amp;A142&amp;" "&amp;$N$6&amp;" "&amp;$N$7&amp;" should be equal to Total  "&amp;A133&amp;""&amp;CHAR(10),""),IF(O133&lt;&gt;(O142+O143+O144)," * Total "&amp;A142&amp;" "&amp;$N$6&amp;" "&amp;$O$7&amp;" should be equal to Total  "&amp;A133&amp;""&amp;CHAR(10),""),IF(P133&lt;&gt;(P142+P143+P144)," * Total "&amp;A142&amp;" "&amp;$P$6&amp;" "&amp;$P$7&amp;" should be equal to Total  "&amp;A133&amp;""&amp;CHAR(10),""),IF(Q133&lt;&gt;(Q142+Q143+Q144)," * Total "&amp;A142&amp;" "&amp;$P$6&amp;" "&amp;$Q$7&amp;" should be equal to Total  "&amp;A133&amp;""&amp;CHAR(10),""),IF(R133&lt;&gt;(R142+R143+R144)," * Total "&amp;A142&amp;" "&amp;$R$6&amp;" "&amp;$R$7&amp;" should be equal to Total  "&amp;A133&amp;""&amp;CHAR(10),""),IF(S133&lt;&gt;(S142+S143+S144)," * Total "&amp;A142&amp;" "&amp;$R$6&amp;" "&amp;$S$7&amp;" should be equal to Total  "&amp;A133&amp;""&amp;CHAR(10),""),IF(T133&lt;&gt;(T142+T143+T144)," * Total "&amp;A142&amp;" "&amp;$T$6&amp;" "&amp;$T$7&amp;" should be equal to Total  "&amp;A133&amp;""&amp;CHAR(10),""),IF(U133&lt;&gt;(U142+U143+U144)," * Total "&amp;A142&amp;" "&amp;$T$6&amp;" "&amp;$U$7&amp;" should be equal to Total  "&amp;A133&amp;""&amp;CHAR(10),""),IF(V133&lt;&gt;(V142+V143+V144)," * Total "&amp;A142&amp;" "&amp;$V$6&amp;" "&amp;$V$7&amp;" should be equal to Total  "&amp;A133&amp;""&amp;CHAR(10),""),IF(W133&lt;&gt;(W142+W143+W144)," * Total "&amp;A142&amp;" "&amp;$V$6&amp;" "&amp;$W$7&amp;" should be equal to Total  "&amp;A133&amp;""&amp;CHAR(10),""),IF(X133&lt;&gt;(X142+X143+X144)," * Total "&amp;A142&amp;" "&amp;$X$6&amp;" "&amp;$X$7&amp;" should be equal to Total  "&amp;A133&amp;""&amp;CHAR(10),""),IF(Y133&lt;&gt;(Y142+Y143+Y144)," * Total "&amp;A142&amp;" "&amp;$X$6&amp;" "&amp;$Y$7&amp;" should be equal to Total  "&amp;A133&amp;""&amp;CHAR(10),""),IF(Z133&lt;&gt;(Z142+Z143+Z144)," * Total "&amp;A142&amp;" "&amp;$Z$6&amp;" "&amp;$Z$7&amp;" should be equal to Total  "&amp;A133&amp;""&amp;CHAR(10),""),IF(AA133&lt;&gt;(AA142+AA143+AA144)," * Total "&amp;A142&amp;" "&amp;$Z$6&amp;" "&amp;$AA$7&amp;" should be equal to Total  "&amp;A133&amp;""&amp;CHAR(10),""))</f>
        <v/>
      </c>
      <c r="AL142" s="81"/>
      <c r="AM142" s="136"/>
      <c r="AN142" s="82"/>
      <c r="AO142" s="330"/>
    </row>
    <row r="143" spans="1:41" x14ac:dyDescent="0.6">
      <c r="A143" s="999"/>
      <c r="B143" s="767" t="s">
        <v>487</v>
      </c>
      <c r="C143" s="160" t="s">
        <v>494</v>
      </c>
      <c r="D143" s="812"/>
      <c r="E143" s="386"/>
      <c r="F143" s="386"/>
      <c r="G143" s="386"/>
      <c r="H143" s="386"/>
      <c r="I143" s="386"/>
      <c r="J143" s="386"/>
      <c r="K143" s="386"/>
      <c r="L143" s="386"/>
      <c r="M143" s="386"/>
      <c r="N143" s="386"/>
      <c r="O143" s="386"/>
      <c r="P143" s="386"/>
      <c r="Q143" s="386"/>
      <c r="R143" s="386"/>
      <c r="S143" s="386"/>
      <c r="T143" s="386"/>
      <c r="U143" s="386"/>
      <c r="V143" s="386"/>
      <c r="W143" s="386"/>
      <c r="X143" s="386"/>
      <c r="Y143" s="386"/>
      <c r="Z143" s="386"/>
      <c r="AA143" s="386"/>
      <c r="AB143" s="334"/>
      <c r="AC143" s="334"/>
      <c r="AD143" s="334"/>
      <c r="AE143" s="334"/>
      <c r="AF143" s="334"/>
      <c r="AG143" s="334"/>
      <c r="AH143" s="334"/>
      <c r="AI143" s="335"/>
      <c r="AJ143" s="395">
        <f t="shared" si="104"/>
        <v>0</v>
      </c>
      <c r="AK143" s="349"/>
      <c r="AL143" s="81"/>
      <c r="AM143" s="136"/>
      <c r="AN143" s="82"/>
      <c r="AO143" s="330"/>
    </row>
    <row r="144" spans="1:41" ht="31.5" thickBot="1" x14ac:dyDescent="0.65">
      <c r="A144" s="998"/>
      <c r="B144" s="748" t="s">
        <v>14</v>
      </c>
      <c r="C144" s="380" t="s">
        <v>495</v>
      </c>
      <c r="D144" s="811"/>
      <c r="E144" s="382"/>
      <c r="F144" s="382"/>
      <c r="G144" s="382"/>
      <c r="H144" s="382"/>
      <c r="I144" s="382"/>
      <c r="J144" s="382"/>
      <c r="K144" s="382"/>
      <c r="L144" s="382"/>
      <c r="M144" s="382"/>
      <c r="N144" s="382"/>
      <c r="O144" s="382"/>
      <c r="P144" s="382"/>
      <c r="Q144" s="382"/>
      <c r="R144" s="382"/>
      <c r="S144" s="382"/>
      <c r="T144" s="382"/>
      <c r="U144" s="382"/>
      <c r="V144" s="382"/>
      <c r="W144" s="382"/>
      <c r="X144" s="382"/>
      <c r="Y144" s="382"/>
      <c r="Z144" s="382"/>
      <c r="AA144" s="382"/>
      <c r="AB144" s="334"/>
      <c r="AC144" s="334"/>
      <c r="AD144" s="334"/>
      <c r="AE144" s="334"/>
      <c r="AF144" s="334"/>
      <c r="AG144" s="334"/>
      <c r="AH144" s="334"/>
      <c r="AI144" s="335"/>
      <c r="AJ144" s="395">
        <f t="shared" si="104"/>
        <v>0</v>
      </c>
      <c r="AK144" s="349"/>
      <c r="AL144" s="81"/>
      <c r="AM144" s="136"/>
      <c r="AN144" s="82"/>
      <c r="AO144" s="330"/>
    </row>
    <row r="145" spans="1:41" ht="50.25" customHeight="1" thickBot="1" x14ac:dyDescent="0.65">
      <c r="A145" s="704" t="s">
        <v>746</v>
      </c>
      <c r="B145" s="824" t="s">
        <v>498</v>
      </c>
      <c r="C145" s="387" t="s">
        <v>499</v>
      </c>
      <c r="D145" s="810"/>
      <c r="E145" s="377"/>
      <c r="F145" s="377"/>
      <c r="G145" s="377"/>
      <c r="H145" s="377"/>
      <c r="I145" s="377"/>
      <c r="J145" s="129"/>
      <c r="K145" s="129"/>
      <c r="L145" s="378"/>
      <c r="M145" s="129"/>
      <c r="N145" s="378"/>
      <c r="O145" s="129"/>
      <c r="P145" s="378"/>
      <c r="Q145" s="129"/>
      <c r="R145" s="378"/>
      <c r="S145" s="129"/>
      <c r="T145" s="378"/>
      <c r="U145" s="129"/>
      <c r="V145" s="378"/>
      <c r="W145" s="129"/>
      <c r="X145" s="378"/>
      <c r="Y145" s="129"/>
      <c r="Z145" s="378"/>
      <c r="AA145" s="129"/>
      <c r="AB145" s="334"/>
      <c r="AC145" s="334"/>
      <c r="AD145" s="334"/>
      <c r="AE145" s="334"/>
      <c r="AF145" s="334"/>
      <c r="AG145" s="334"/>
      <c r="AH145" s="334"/>
      <c r="AI145" s="335"/>
      <c r="AJ145" s="395">
        <f t="shared" si="104"/>
        <v>0</v>
      </c>
      <c r="AK145" s="349" t="str">
        <f>CONCATENATE(IF(D145&gt;D133," * PrEP_CT Event-Driven Prep For age "&amp;$D$6&amp;" "&amp;$D$7&amp;" Should not be more than Total PrEP_CT"&amp;CHAR(10),""),IF(E145&gt;E133," * PrEP_CT Event-Driven Prep For age "&amp;$D$6&amp;" "&amp;$E$7&amp;" Should not be more than Total PrEP_CT"&amp;CHAR(10),""),IF(F145&gt;F133," * PrEP_CT Event-Driven Prep For age "&amp;$F$6&amp;" "&amp;$F$7&amp;" Should not be more than Total PrEP_CT"&amp;CHAR(10),""),IF(G145&gt;G133," * PrEP_CT Event-Driven Prep For age "&amp;$F$6&amp;" "&amp;$G$7&amp;" Should not be more than Total PrEP_CT"&amp;CHAR(10),""),IF(H145&gt;H133," * PrEP_CT Event-Driven Prep For age "&amp;$H$6&amp;" "&amp;$H$7&amp;" Should not be more than Total PrEP_CT"&amp;CHAR(10),""),IF(I145&gt;I133," * PrEP_CT Event-Driven Prep For age "&amp;$H$6&amp;" "&amp;$I$7&amp;" Should not be more than Total PrEP_CT"&amp;CHAR(10),""),IF(J145&gt;J133," * PrEP_CT Event-Driven Prep For age "&amp;$J$6&amp;" "&amp;$J$7&amp;" Should not be more than Total PrEP_CT"&amp;CHAR(10),""),IF(K145&gt;K133," * PrEP_CT Event-Driven Prep For age "&amp;$J$6&amp;" "&amp;$K$7&amp;" Should not be more than Total PrEP_CT"&amp;CHAR(10),""),IF(L145&gt;L133," * PrEP_CT Event-Driven Prep For age "&amp;$L$6&amp;" "&amp;$L$7&amp;" Should not be more than Total PrEP_CT"&amp;CHAR(10),""),IF(M145&gt;M133," * PrEP_CT Event-Driven Prep For age "&amp;$L$6&amp;" "&amp;$M$7&amp;" Should not be more than Total PrEP_CT"&amp;CHAR(10),""),IF(N145&gt;N133," * PrEP_CT Event-Driven Prep For age "&amp;$N$6&amp;" "&amp;$N$7&amp;" Should not be more than Total PrEP_CT"&amp;CHAR(10),""),IF(O145&gt;O133," * PrEP_CT Event-Driven Prep For age "&amp;$N$6&amp;" "&amp;$O$7&amp;" Should not be more than Total PrEP_CT"&amp;CHAR(10),""),IF(P145&gt;P133," * PrEP_CT Event-Driven Prep For age "&amp;$P$6&amp;" "&amp;$P$7&amp;" Should not be more than Total PrEP_CT"&amp;CHAR(10),""),IF(Q145&gt;Q133," * PrEP_CT Event-Driven Prep For age "&amp;$P$6&amp;" "&amp;$Q$7&amp;" Should not be more than Total PrEP_CT"&amp;CHAR(10),""),IF(R145&gt;R133," * PrEP_CT Event-Driven Prep For age "&amp;$R$6&amp;" "&amp;$R$7&amp;" Should not be more than Total PrEP_CT"&amp;CHAR(10),""),IF(S145&gt;S133," * PrEP_CT Event-Driven Prep For age "&amp;$R$6&amp;" "&amp;$S$7&amp;" Should not be more than Total PrEP_CT"&amp;CHAR(10),""),IF(T145&gt;T133," * PrEP_CT Event-Driven Prep For age "&amp;$T$6&amp;" "&amp;$T$7&amp;" Should not be more than Total PrEP_CT"&amp;CHAR(10),""),IF(U145&gt;U133," * PrEP_CT Event-Driven Prep For age "&amp;$T$6&amp;" "&amp;$U$7&amp;" Should not be more than Total PrEP_CT"&amp;CHAR(10),""),IF(V145&gt;V133," * PrEP_CT Event-Driven Prep For age "&amp;$V$6&amp;" "&amp;$V$7&amp;" Should not be more than Total PrEP_CT"&amp;CHAR(10),""),IF(W145&gt;W133," * PrEP_CT Event-Driven Prep For age "&amp;$V$6&amp;" "&amp;$W$7&amp;" Should not be more than Total PrEP_CT"&amp;CHAR(10),""),IF(X145&gt;X133," * PrEP_CT Event-Driven Prep For age "&amp;$X$6&amp;" "&amp;$X$7&amp;" Should not be more than Total PrEP_CT"&amp;CHAR(10),""),IF(Y145&gt;Y133," * PrEP_CT Event-Driven Prep For age "&amp;$X$6&amp;" "&amp;$Y$7&amp;" Should not be more than Total PrEP_CT"&amp;CHAR(10),""),IF(Z145&gt;Z133," * PrEP_CT Event-Driven Prep For age "&amp;$Z$6&amp;" "&amp;$Z$7&amp;" Should not be more than Total PrEP_CT"&amp;CHAR(10),""),IF(AA145&gt;AA133," * PrEP_CT Event-Driven Prep For age "&amp;$Z$6&amp;" "&amp;$AA$7&amp;" Should not be more than Total PrEP_CT"&amp;CHAR(10),""))</f>
        <v/>
      </c>
      <c r="AL145" s="83"/>
      <c r="AM145" s="136"/>
      <c r="AN145" s="84"/>
      <c r="AO145" s="330"/>
    </row>
    <row r="146" spans="1:41" ht="31.5" thickBot="1" x14ac:dyDescent="0.65">
      <c r="A146" s="940" t="s">
        <v>636</v>
      </c>
      <c r="B146" s="941"/>
      <c r="C146" s="941"/>
      <c r="D146" s="941"/>
      <c r="E146" s="941"/>
      <c r="F146" s="941"/>
      <c r="G146" s="941"/>
      <c r="H146" s="941"/>
      <c r="I146" s="941"/>
      <c r="J146" s="941"/>
      <c r="K146" s="941"/>
      <c r="L146" s="941"/>
      <c r="M146" s="941"/>
      <c r="N146" s="941"/>
      <c r="O146" s="941"/>
      <c r="P146" s="941"/>
      <c r="Q146" s="941"/>
      <c r="R146" s="941"/>
      <c r="S146" s="941"/>
      <c r="T146" s="941"/>
      <c r="U146" s="941"/>
      <c r="V146" s="941"/>
      <c r="W146" s="941"/>
      <c r="X146" s="941"/>
      <c r="Y146" s="941"/>
      <c r="Z146" s="941"/>
      <c r="AA146" s="941"/>
      <c r="AB146" s="947"/>
      <c r="AC146" s="947"/>
      <c r="AD146" s="947"/>
      <c r="AE146" s="947"/>
      <c r="AF146" s="947"/>
      <c r="AG146" s="947"/>
      <c r="AH146" s="947"/>
      <c r="AI146" s="947"/>
      <c r="AJ146" s="946"/>
      <c r="AK146" s="941"/>
      <c r="AL146" s="941"/>
      <c r="AM146" s="941"/>
      <c r="AN146" s="948"/>
      <c r="AO146" s="330">
        <v>193</v>
      </c>
    </row>
    <row r="147" spans="1:41" ht="31.5" thickBot="1" x14ac:dyDescent="0.65">
      <c r="A147" s="940" t="s">
        <v>637</v>
      </c>
      <c r="B147" s="941"/>
      <c r="C147" s="941"/>
      <c r="D147" s="941"/>
      <c r="E147" s="941"/>
      <c r="F147" s="941"/>
      <c r="G147" s="941"/>
      <c r="H147" s="941"/>
      <c r="I147" s="941"/>
      <c r="J147" s="941"/>
      <c r="K147" s="941"/>
      <c r="L147" s="941"/>
      <c r="M147" s="941"/>
      <c r="N147" s="941"/>
      <c r="O147" s="941"/>
      <c r="P147" s="941"/>
      <c r="Q147" s="941"/>
      <c r="R147" s="941"/>
      <c r="S147" s="941"/>
      <c r="T147" s="941"/>
      <c r="U147" s="941"/>
      <c r="V147" s="941"/>
      <c r="W147" s="941"/>
      <c r="X147" s="941"/>
      <c r="Y147" s="941"/>
      <c r="Z147" s="941"/>
      <c r="AA147" s="941"/>
      <c r="AB147" s="947"/>
      <c r="AC147" s="947"/>
      <c r="AD147" s="947"/>
      <c r="AE147" s="947"/>
      <c r="AF147" s="947"/>
      <c r="AG147" s="947"/>
      <c r="AH147" s="947"/>
      <c r="AI147" s="947"/>
      <c r="AJ147" s="946"/>
      <c r="AK147" s="941"/>
      <c r="AL147" s="941"/>
      <c r="AM147" s="941"/>
      <c r="AN147" s="948"/>
      <c r="AO147" s="330">
        <v>193</v>
      </c>
    </row>
    <row r="148" spans="1:41" ht="26.25" customHeight="1" x14ac:dyDescent="0.6">
      <c r="A148" s="950" t="s">
        <v>18</v>
      </c>
      <c r="B148" s="1020" t="s">
        <v>123</v>
      </c>
      <c r="C148" s="951" t="s">
        <v>122</v>
      </c>
      <c r="D148" s="841" t="s">
        <v>0</v>
      </c>
      <c r="E148" s="849"/>
      <c r="F148" s="849" t="s">
        <v>1</v>
      </c>
      <c r="G148" s="849"/>
      <c r="H148" s="849" t="s">
        <v>2</v>
      </c>
      <c r="I148" s="849"/>
      <c r="J148" s="849" t="s">
        <v>3</v>
      </c>
      <c r="K148" s="849"/>
      <c r="L148" s="849" t="s">
        <v>4</v>
      </c>
      <c r="M148" s="849"/>
      <c r="N148" s="849" t="s">
        <v>5</v>
      </c>
      <c r="O148" s="849"/>
      <c r="P148" s="849" t="s">
        <v>6</v>
      </c>
      <c r="Q148" s="849"/>
      <c r="R148" s="849" t="s">
        <v>7</v>
      </c>
      <c r="S148" s="849"/>
      <c r="T148" s="849" t="s">
        <v>8</v>
      </c>
      <c r="U148" s="849"/>
      <c r="V148" s="849" t="s">
        <v>15</v>
      </c>
      <c r="W148" s="849"/>
      <c r="X148" s="849" t="s">
        <v>16</v>
      </c>
      <c r="Y148" s="849"/>
      <c r="Z148" s="849" t="s">
        <v>9</v>
      </c>
      <c r="AA148" s="840"/>
      <c r="AB148" s="996"/>
      <c r="AC148" s="838"/>
      <c r="AD148" s="838"/>
      <c r="AE148" s="838"/>
      <c r="AF148" s="838"/>
      <c r="AG148" s="838"/>
      <c r="AH148" s="838"/>
      <c r="AI148" s="839"/>
      <c r="AJ148" s="967" t="s">
        <v>13</v>
      </c>
      <c r="AK148" s="881" t="s">
        <v>148</v>
      </c>
      <c r="AL148" s="879" t="s">
        <v>154</v>
      </c>
      <c r="AM148" s="883" t="s">
        <v>155</v>
      </c>
      <c r="AN148" s="943" t="s">
        <v>155</v>
      </c>
      <c r="AO148" s="330">
        <v>194</v>
      </c>
    </row>
    <row r="149" spans="1:41" ht="27" customHeight="1" thickBot="1" x14ac:dyDescent="0.65">
      <c r="A149" s="845"/>
      <c r="B149" s="1021"/>
      <c r="C149" s="952"/>
      <c r="D149" s="360" t="s">
        <v>10</v>
      </c>
      <c r="E149" s="113" t="s">
        <v>11</v>
      </c>
      <c r="F149" s="113" t="s">
        <v>10</v>
      </c>
      <c r="G149" s="113" t="s">
        <v>11</v>
      </c>
      <c r="H149" s="113" t="s">
        <v>10</v>
      </c>
      <c r="I149" s="113" t="s">
        <v>11</v>
      </c>
      <c r="J149" s="113" t="s">
        <v>10</v>
      </c>
      <c r="K149" s="113" t="s">
        <v>11</v>
      </c>
      <c r="L149" s="113" t="s">
        <v>10</v>
      </c>
      <c r="M149" s="113" t="s">
        <v>11</v>
      </c>
      <c r="N149" s="113" t="s">
        <v>10</v>
      </c>
      <c r="O149" s="113" t="s">
        <v>11</v>
      </c>
      <c r="P149" s="113" t="s">
        <v>10</v>
      </c>
      <c r="Q149" s="113" t="s">
        <v>11</v>
      </c>
      <c r="R149" s="113" t="s">
        <v>10</v>
      </c>
      <c r="S149" s="113" t="s">
        <v>11</v>
      </c>
      <c r="T149" s="113" t="s">
        <v>10</v>
      </c>
      <c r="U149" s="113" t="s">
        <v>11</v>
      </c>
      <c r="V149" s="113" t="s">
        <v>10</v>
      </c>
      <c r="W149" s="113" t="s">
        <v>11</v>
      </c>
      <c r="X149" s="113" t="s">
        <v>10</v>
      </c>
      <c r="Y149" s="113" t="s">
        <v>11</v>
      </c>
      <c r="Z149" s="113" t="s">
        <v>10</v>
      </c>
      <c r="AA149" s="361" t="s">
        <v>11</v>
      </c>
      <c r="AB149" s="362"/>
      <c r="AC149" s="363"/>
      <c r="AD149" s="363"/>
      <c r="AE149" s="363"/>
      <c r="AF149" s="363"/>
      <c r="AG149" s="363"/>
      <c r="AH149" s="363"/>
      <c r="AI149" s="364"/>
      <c r="AJ149" s="1000"/>
      <c r="AK149" s="882"/>
      <c r="AL149" s="880"/>
      <c r="AM149" s="883"/>
      <c r="AN149" s="944"/>
      <c r="AO149" s="330">
        <v>195</v>
      </c>
    </row>
    <row r="150" spans="1:41" ht="31.15" customHeight="1" x14ac:dyDescent="0.6">
      <c r="A150" s="977" t="s">
        <v>740</v>
      </c>
      <c r="B150" s="751" t="s">
        <v>283</v>
      </c>
      <c r="C150" s="411" t="s">
        <v>136</v>
      </c>
      <c r="D150" s="116"/>
      <c r="E150" s="117"/>
      <c r="F150" s="117"/>
      <c r="G150" s="117"/>
      <c r="H150" s="117"/>
      <c r="I150" s="117"/>
      <c r="J150" s="117"/>
      <c r="K150" s="412"/>
      <c r="L150" s="117"/>
      <c r="M150" s="412"/>
      <c r="N150" s="117"/>
      <c r="O150" s="412"/>
      <c r="P150" s="117"/>
      <c r="Q150" s="412"/>
      <c r="R150" s="117"/>
      <c r="S150" s="412"/>
      <c r="T150" s="117"/>
      <c r="U150" s="412"/>
      <c r="V150" s="117"/>
      <c r="W150" s="412"/>
      <c r="X150" s="117"/>
      <c r="Y150" s="412"/>
      <c r="Z150" s="117"/>
      <c r="AA150" s="344"/>
      <c r="AB150" s="346"/>
      <c r="AC150" s="346"/>
      <c r="AD150" s="346"/>
      <c r="AE150" s="346"/>
      <c r="AF150" s="346"/>
      <c r="AG150" s="346"/>
      <c r="AH150" s="346"/>
      <c r="AI150" s="347"/>
      <c r="AJ150" s="413">
        <f>SUM(D150:AA150)</f>
        <v>0</v>
      </c>
      <c r="AK150" s="414" t="str">
        <f>CONCATENATE(IF(D150&lt;SUM(D151,D152)," * Sum of (KP at ANC1 and initial test at ANC1) for Age "&amp;D6&amp;" "&amp;D7&amp;" is more than New 1st ANC Clients"&amp;CHAR(10),""),IF(E150&lt;SUM(E151,E152,E317)," * Sum of (KP at ANC1 and initial test at ANC1) for Age "&amp;D6&amp;" "&amp;E7&amp;" is more than New 1st ANC Clients"&amp;CHAR(10),""),IF(F150&lt;SUM(F151,F152)," * Sum of (KP at ANC1 and initial test at ANC1) for Age "&amp;F6&amp;" "&amp;F7&amp;" is more than New 1st ANC Clients"&amp;CHAR(10),""),IF(G150&lt;SUM(G151,G152,G317)," * Sum of (KP at ANC1 and initial test at ANC1) for Age "&amp;F6&amp;" "&amp;G7&amp;" is more than New 1st ANC Clients"&amp;CHAR(10),""),IF(H150&lt;SUM(H151,H152)," * Sum of (KP at ANC1 and initial test at ANC1) for Age "&amp;H6&amp;" "&amp;H7&amp;" is more than New 1st ANC Clients"&amp;CHAR(10),""),IF(I150&lt;SUM(I151,I152,I317)," * Sum of (KP at ANC1 and initial test at ANC1) for Age "&amp;H6&amp;" "&amp;I7&amp;" is more than New 1st ANC Clients"&amp;CHAR(10),""),IF(J150&lt;SUM(J151,J152)," * Sum of (KP at ANC1 and initial test at ANC1) for Age "&amp;J6&amp;" "&amp;J7&amp;" is more than New 1st ANC Clients"&amp;CHAR(10),""),IF(K150&lt;SUM(K151,K152,K317)," * Sum of (KP at ANC1 and initial test at ANC1) for Age "&amp;J6&amp;" "&amp;K7&amp;" is more than New 1st ANC Clients"&amp;CHAR(10),""),IF(L150&lt;SUM(L151,L152)," * Sum of (KP at ANC1 and initial test at ANC1) for Age "&amp;L6&amp;" "&amp;L7&amp;" is more than New 1st ANC Clients"&amp;CHAR(10),""),IF(M150&lt;SUM(M151,M152,M317)," * Sum of (KP at ANC1 and initial test at ANC1) for Age "&amp;L6&amp;" "&amp;M7&amp;" is more than New 1st ANC Clients"&amp;CHAR(10),""),IF(N150&lt;SUM(N151,N152)," * Sum of (KP at ANC1 and initial test at ANC1) for Age "&amp;N6&amp;" "&amp;N7&amp;" is more than New 1st ANC Clients"&amp;CHAR(10),""),IF(O150&lt;SUM(O151,O152,O317)," * Sum of (KP at ANC1 and initial test at ANC1) for Age "&amp;N6&amp;" "&amp;O7&amp;" is more than New 1st ANC Clients"&amp;CHAR(10),""),IF(P150&lt;SUM(P151,P152)," * Sum of (KP at ANC1 and initial test at ANC1) for Age "&amp;P6&amp;" "&amp;P7&amp;" is more than New 1st ANC Clients"&amp;CHAR(10),""),IF(Q150&lt;SUM(Q151,Q152,Q317)," * Sum of (KP at ANC1 and initial test at ANC1) for Age "&amp;P6&amp;" "&amp;Q7&amp;" is more than New 1st ANC Clients"&amp;CHAR(10),""),IF(R150&lt;SUM(R151,R152)," * Sum of (KP at ANC1 and initial test at ANC1) for Age "&amp;R6&amp;" "&amp;R7&amp;" is more than New 1st ANC Clients"&amp;CHAR(10),""),IF(S150&lt;SUM(S151,S152,S317)," * Sum of (KP at ANC1 and initial test at ANC1) for Age "&amp;R6&amp;" "&amp;S7&amp;" is more than New 1st ANC Clients"&amp;CHAR(10),""),IF(T150&lt;SUM(T151,T152)," * Sum of (KP at ANC1 and initial test at ANC1) for Age "&amp;T6&amp;" "&amp;T7&amp;" is more than New 1st ANC Clients"&amp;CHAR(10),""),IF(U150&lt;SUM(U151,U152,U317)," * Sum of (KP at ANC1 and initial test at ANC1) for Age "&amp;T6&amp;" "&amp;U7&amp;" is more than New 1st ANC Clients"&amp;CHAR(10),""),IF(V150&lt;SUM(V151,V152)," * Sum of (KP at ANC1 and initial test at ANC1) for Age "&amp;V6&amp;" "&amp;V7&amp;" is more than New 1st ANC Clients"&amp;CHAR(10),""),IF(W150&lt;SUM(W151,W152,W317)," * Sum of (KP at ANC1 and initial test at ANC1) for Age "&amp;V6&amp;" "&amp;W7&amp;" is more than New 1st ANC Clients"&amp;CHAR(10),""),IF(X150&lt;SUM(X151,X152)," * Sum of (KP at ANC1 and initial test at ANC1) for Age "&amp;X6&amp;" "&amp;X7&amp;" is more than New 1st ANC Clients"&amp;CHAR(10),""),IF(Y150&lt;SUM(Y151,Y152,Y317)," * Sum of (KP at ANC1 and initial test at ANC1) for Age "&amp;X6&amp;" "&amp;Y7&amp;" is more than New 1st ANC Clients"&amp;CHAR(10),""),IF(Z150&lt;SUM(Z151,Z152)," * Sum of (KP at ANC1 and initial test at ANC1) for Age "&amp;Z6&amp;" "&amp;Z7&amp;" is more than New 1st ANC Clients"&amp;CHAR(10),""),IF(AA150&lt;SUM(AA151,AA152,AA317)," * Sum of (KP at ANC1 and initial test at ANC1) for Age "&amp;Z6&amp;" "&amp;AA7&amp;" is more than New 1st ANC Clients"&amp;CHAR(10),""),IF(AJ150&lt;SUM(AJ151,AJ152)," * Total Sum of (KP at ANC1 and initial test at ANC1) is more than New 1st ANC Clients"&amp;CHAR(10),""))</f>
        <v/>
      </c>
      <c r="AL150" s="89" t="str">
        <f>CONCATENATE(AK150,AK151,AK152,AK153,AK160,AK164,AK168,,AK167,AK166,AK158,AK159,AK163,AK170,AK171,AK172,AK173,AK175,AK174,AK162)</f>
        <v/>
      </c>
      <c r="AM150" s="415"/>
      <c r="AN150" s="416" t="str">
        <f>CONCATENATE(AM150,AM151,AM152,AM153,AM160,AM161,AM164,AM165,AM168,AM169,AM158,AM159,AM162,AM163,AM166,AM167,AM170,AM171,AM172,AM173)</f>
        <v/>
      </c>
      <c r="AO150" s="330">
        <v>196</v>
      </c>
    </row>
    <row r="151" spans="1:41" ht="31.15" customHeight="1" x14ac:dyDescent="0.6">
      <c r="A151" s="978"/>
      <c r="B151" s="752" t="s">
        <v>284</v>
      </c>
      <c r="C151" s="127" t="s">
        <v>109</v>
      </c>
      <c r="D151" s="128"/>
      <c r="E151" s="129"/>
      <c r="F151" s="129"/>
      <c r="G151" s="129"/>
      <c r="H151" s="129"/>
      <c r="I151" s="129"/>
      <c r="J151" s="129"/>
      <c r="K151" s="417"/>
      <c r="L151" s="418"/>
      <c r="M151" s="417"/>
      <c r="N151" s="418"/>
      <c r="O151" s="417"/>
      <c r="P151" s="418"/>
      <c r="Q151" s="417"/>
      <c r="R151" s="418"/>
      <c r="S151" s="417"/>
      <c r="T151" s="418"/>
      <c r="U151" s="417"/>
      <c r="V151" s="418"/>
      <c r="W151" s="417"/>
      <c r="X151" s="418"/>
      <c r="Y151" s="417"/>
      <c r="Z151" s="129"/>
      <c r="AA151" s="140"/>
      <c r="AB151" s="334"/>
      <c r="AC151" s="334"/>
      <c r="AD151" s="334"/>
      <c r="AE151" s="334"/>
      <c r="AF151" s="334"/>
      <c r="AG151" s="334"/>
      <c r="AH151" s="334"/>
      <c r="AI151" s="335"/>
      <c r="AJ151" s="419">
        <f t="shared" ref="AJ151:AJ176" si="105">SUM(D151:AA151)</f>
        <v>0</v>
      </c>
      <c r="AK151" s="349" t="str">
        <f>CONCATENATE(IF(D185&gt;D151," * ON HAART at 1st ANC for Age "&amp;D6&amp;" "&amp;D7&amp;" is more than KP at 1st ANC "&amp;CHAR(10),""),IF(E185&gt;E151," * ON HAART at 1st ANC for Age "&amp;D6&amp;" "&amp;E7&amp;" is more than KP at 1st ANC "&amp;CHAR(10),""),IF(F185&gt;F151," * ON HAART at 1st ANC for Age "&amp;F6&amp;" "&amp;F7&amp;" is more than KP at 1st ANC "&amp;CHAR(10),""),IF(G185&gt;G151," * ON HAART at 1st ANC for Age "&amp;F6&amp;" "&amp;G7&amp;" is more than KP at 1st ANC "&amp;CHAR(10),""),IF(H185&gt;H151," * ON HAART at 1st ANC for Age "&amp;H6&amp;" "&amp;H7&amp;" is more than KP at 1st ANC "&amp;CHAR(10),""),IF(I185&gt;I151," * ON HAART at 1st ANC for Age "&amp;H6&amp;" "&amp;I7&amp;" is more than KP at 1st ANC "&amp;CHAR(10),""),IF(J185&gt;J151," * ON HAART at 1st ANC for Age "&amp;J6&amp;" "&amp;J7&amp;" is more than KP at 1st ANC "&amp;CHAR(10),""),IF(K185&gt;K151," * ON HAART at 1st ANC for Age "&amp;J6&amp;" "&amp;K7&amp;" is more than KP at 1st ANC "&amp;CHAR(10),""),IF(L185&gt;L151," * ON HAART at 1st ANC for Age "&amp;L6&amp;" "&amp;L7&amp;" is more than KP at 1st ANC "&amp;CHAR(10),""),IF(M185&gt;M151," * ON HAART at 1st ANC for Age "&amp;L6&amp;" "&amp;M7&amp;" is more than KP at 1st ANC "&amp;CHAR(10),""),IF(N185&gt;N151," * ON HAART at 1st ANC for Age "&amp;N6&amp;" "&amp;N7&amp;" is more than KP at 1st ANC "&amp;CHAR(10),""),IF(O185&gt;O151," * ON HAART at 1st ANC for Age "&amp;N6&amp;" "&amp;O7&amp;" is more than KP at 1st ANC "&amp;CHAR(10),""),IF(P185&gt;P151," * ON HAART at 1st ANC for Age "&amp;P6&amp;" "&amp;P7&amp;" is more than KP at 1st ANC "&amp;CHAR(10),""),IF(Q185&gt;Q151," * ON HAART at 1st ANC for Age "&amp;P6&amp;" "&amp;Q7&amp;" is more than KP at 1st ANC "&amp;CHAR(10),""),IF(R185&gt;R151," * ON HAART at 1st ANC for Age "&amp;R6&amp;" "&amp;R7&amp;" is more than KP at 1st ANC "&amp;CHAR(10),""),IF(S185&gt;S151," * ON HAART at 1st ANC for Age "&amp;R6&amp;" "&amp;S7&amp;" is more than KP at 1st ANC "&amp;CHAR(10),""),IF(T185&gt;T151," * ON HAART at 1st ANC for Age "&amp;T6&amp;" "&amp;T7&amp;" is more than KP at 1st ANC "&amp;CHAR(10),""),IF(U185&gt;U151," * ON HAART at 1st ANC for Age "&amp;T6&amp;" "&amp;U7&amp;" is more than KP at 1st ANC "&amp;CHAR(10),""),IF(V185&gt;V151," * ON HAART at 1st ANC for Age "&amp;V6&amp;" "&amp;V7&amp;" is more than KP at 1st ANC "&amp;CHAR(10),""),IF(W185&gt;W151," * ON HAART at 1st ANC for Age "&amp;V6&amp;" "&amp;W7&amp;" is more than KP at 1st ANC "&amp;CHAR(10),""),IF(X185&gt;X151," * ON HAART at 1st ANC for Age "&amp;X6&amp;" "&amp;X7&amp;" is more than KP at 1st ANC "&amp;CHAR(10),""),IF(Y185&gt;Y151," * ON HAART at 1st ANC for Age "&amp;X6&amp;" "&amp;Y7&amp;" is more than KP at 1st ANC "&amp;CHAR(10),""),IF(Z185&gt;Z151," * ON HAART at 1st ANC for Age "&amp;Z6&amp;" "&amp;Z7&amp;" is more than KP at 1st ANC "&amp;CHAR(10),""),IF(AA185&gt;AA151," * ON HAART at 1st ANC for Age "&amp;Z6&amp;" "&amp;AA7&amp;" is more than KP at 1st ANC "&amp;CHAR(10),""))</f>
        <v/>
      </c>
      <c r="AL151" s="90"/>
      <c r="AM151" s="420" t="str">
        <f>CONCATENATE(IF(D150&gt;SUM(D151,D152)," * Sum of (KP at ANC1 and initial test at ANC1) for Age "&amp;D6&amp;" "&amp;D7&amp;" is less than New 1st ANC Clients"&amp;CHAR(10),""),IF(E150&gt;SUM(E151,E152,E317)," * Sum of (KP at ANC1 and initial test at ANC1) for Age "&amp;D6&amp;" "&amp;E7&amp;" is less than New 1st ANC Clients"&amp;CHAR(10),""),IF(F150&gt;SUM(F151,F152)," * Sum of (KP at ANC1 and initial test at ANC1) for Age "&amp;F6&amp;" "&amp;F7&amp;" is less than New 1st ANC Clients"&amp;CHAR(10),""),IF(G150&gt;SUM(G151,G152,G317)," * Sum of (KP at ANC1 and initial test at ANC1) for Age "&amp;F6&amp;" "&amp;G7&amp;" is less than New 1st ANC Clients"&amp;CHAR(10),""),IF(H150&gt;SUM(H151,H152)," * Sum of (KP at ANC1 and initial test at ANC1) for Age "&amp;H6&amp;" "&amp;H7&amp;" is less than New 1st ANC Clients"&amp;CHAR(10),""),IF(I150&gt;SUM(I151,I152,I317)," * Sum of (KP at ANC1 and initial test at ANC1) for Age "&amp;H6&amp;" "&amp;I7&amp;" is less than New 1st ANC Clients"&amp;CHAR(10),""),IF(J150&gt;SUM(J151,J152)," * Sum of (KP at ANC1 and initial test at ANC1) for Age "&amp;J6&amp;" "&amp;J7&amp;" is less than New 1st ANC Clients"&amp;CHAR(10),""),IF(K150&gt;SUM(K151,K152,K317)," * Sum of (KP at ANC1 and initial test at ANC1) for Age "&amp;J6&amp;" "&amp;K7&amp;" is less than New 1st ANC Clients"&amp;CHAR(10),""),IF(L150&gt;SUM(L151,L152)," * Sum of (KP at ANC1 and initial test at ANC1) for Age "&amp;L6&amp;" "&amp;L7&amp;" is less than New 1st ANC Clients"&amp;CHAR(10),""),IF(M150&gt;SUM(M151,M152,M317)," * Sum of (KP at ANC1 and initial test at ANC1) for Age "&amp;L6&amp;" "&amp;M7&amp;" is less than New 1st ANC Clients"&amp;CHAR(10),""),IF(N150&gt;SUM(N151,N152)," * Sum of (KP at ANC1 and initial test at ANC1) for Age "&amp;N6&amp;" "&amp;N7&amp;" is less than New 1st ANC Clients"&amp;CHAR(10),""),IF(O150&gt;SUM(O151,O152,O317)," * Sum of (KP at ANC1 and initial test at ANC1) for Age "&amp;N6&amp;" "&amp;O7&amp;" is less than New 1st ANC Clients"&amp;CHAR(10),""),IF(P150&gt;SUM(P151,P152)," * Sum of (KP at ANC1 and initial test at ANC1) for Age "&amp;P6&amp;" "&amp;P7&amp;" is less than New 1st ANC Clients"&amp;CHAR(10),""),IF(Q150&gt;SUM(Q151,Q152,Q317)," * Sum of (KP at ANC1 and initial test at ANC1) for Age "&amp;P6&amp;" "&amp;Q7&amp;" is less than New 1st ANC Clients"&amp;CHAR(10),""),IF(R150&gt;SUM(R151,R152)," * Sum of (KP at ANC1 and initial test at ANC1) for Age "&amp;R6&amp;" "&amp;R7&amp;" is less than New 1st ANC Clients"&amp;CHAR(10),""),IF(S150&gt;SUM(S151,S152,S317)," * Sum of (KP at ANC1 and initial test at ANC1) for Age "&amp;R6&amp;" "&amp;S7&amp;" is less than New 1st ANC Clients"&amp;CHAR(10),""),IF(T150&gt;SUM(T151,T152)," * Sum of (KP at ANC1 and initial test at ANC1) for Age "&amp;T6&amp;" "&amp;T7&amp;" is less than New 1st ANC Clients"&amp;CHAR(10),""),IF(U150&gt;SUM(U151,U152,U317)," * Sum of (KP at ANC1 and initial test at ANC1) for Age "&amp;T6&amp;" "&amp;U7&amp;" is less than New 1st ANC Clients"&amp;CHAR(10),""),IF(V150&gt;SUM(V151,V152)," * Sum of (KP at ANC1 and initial test at ANC1) for Age "&amp;V6&amp;" "&amp;V7&amp;" is less than New 1st ANC Clients"&amp;CHAR(10),""),IF(W150&gt;SUM(W151,W152,W317)," * Sum of (KP at ANC1 and initial test at ANC1) for Age "&amp;V6&amp;" "&amp;W7&amp;" is less than New 1st ANC Clients"&amp;CHAR(10),""),IF(X150&gt;SUM(X151,X152)," * Sum of (KP at ANC1 and initial test at ANC1) for Age "&amp;X6&amp;" "&amp;X7&amp;" is less than New 1st ANC Clients"&amp;CHAR(10),""),IF(Y150&gt;SUM(Y151,Y152,Y317)," * Sum of (KP at ANC1 and initial test at ANC1) for Age "&amp;X6&amp;" "&amp;Y7&amp;" is less than New 1st ANC Clients"&amp;CHAR(10),""),IF(Z150&gt;SUM(Z151,Z152)," * Sum of (KP at ANC1 and initial test at ANC1) for Age "&amp;Z6&amp;" "&amp;Z7&amp;" is less than New 1st ANC Clients"&amp;CHAR(10),""),IF(AA150&gt;SUM(AA151,AA152,AA317)," * Sum of (KP at ANC1 and initial test at ANC1) for Age "&amp;Z6&amp;" "&amp;AA7&amp;" is less than New 1st ANC Clients"&amp;CHAR(10),""))</f>
        <v/>
      </c>
      <c r="AN151" s="421"/>
      <c r="AO151" s="330">
        <v>197</v>
      </c>
    </row>
    <row r="152" spans="1:41" x14ac:dyDescent="0.6">
      <c r="A152" s="978"/>
      <c r="B152" s="716" t="s">
        <v>285</v>
      </c>
      <c r="C152" s="127" t="s">
        <v>110</v>
      </c>
      <c r="D152" s="128"/>
      <c r="E152" s="129"/>
      <c r="F152" s="129"/>
      <c r="G152" s="129"/>
      <c r="H152" s="129"/>
      <c r="I152" s="129"/>
      <c r="J152" s="129"/>
      <c r="K152" s="130"/>
      <c r="L152" s="129"/>
      <c r="M152" s="130"/>
      <c r="N152" s="129"/>
      <c r="O152" s="130"/>
      <c r="P152" s="129"/>
      <c r="Q152" s="130"/>
      <c r="R152" s="129"/>
      <c r="S152" s="130"/>
      <c r="T152" s="129"/>
      <c r="U152" s="130"/>
      <c r="V152" s="129"/>
      <c r="W152" s="130"/>
      <c r="X152" s="129"/>
      <c r="Y152" s="130"/>
      <c r="Z152" s="129"/>
      <c r="AA152" s="140"/>
      <c r="AB152" s="334"/>
      <c r="AC152" s="334"/>
      <c r="AD152" s="334"/>
      <c r="AE152" s="334"/>
      <c r="AF152" s="334"/>
      <c r="AG152" s="334"/>
      <c r="AH152" s="334"/>
      <c r="AI152" s="335"/>
      <c r="AJ152" s="419">
        <f t="shared" si="105"/>
        <v>0</v>
      </c>
      <c r="AK152" s="349" t="str">
        <f>CONCATENATE(IF(D152&gt;D150," * F06-03 for Age "&amp;D6&amp;" "&amp;D7&amp;" is more than F06-01"&amp;CHAR(10),""),IF(E152&gt;E150," * F06-03 for Age "&amp;D6&amp;" "&amp;E7&amp;" is more than F06-01"&amp;CHAR(10),""),IF(F152&gt;F150," * F06-03 for Age "&amp;F6&amp;" "&amp;F7&amp;" is more than F06-01"&amp;CHAR(10),""),IF(G152&gt;G150," * F06-03 for Age "&amp;F6&amp;" "&amp;G7&amp;" is more than F06-01"&amp;CHAR(10),""),IF(H152&gt;H150," * F06-03 for Age "&amp;H6&amp;" "&amp;H7&amp;" is more than F06-01"&amp;CHAR(10),""),IF(I152&gt;I150," * F06-03 for Age "&amp;H6&amp;" "&amp;I7&amp;" is more than F06-01"&amp;CHAR(10),""),IF(J152&gt;J150," * F06-03 for Age "&amp;J6&amp;" "&amp;J7&amp;" is more than F06-01"&amp;CHAR(10),""),IF(K152&gt;K150," * F06-03 for Age "&amp;J6&amp;" "&amp;K7&amp;" is more than F06-01"&amp;CHAR(10),""),IF(L152&gt;L150," * F06-03 for Age "&amp;L6&amp;" "&amp;L7&amp;" is more than F06-01"&amp;CHAR(10),""),IF(M152&gt;M150," * F06-03 for Age "&amp;L6&amp;" "&amp;M7&amp;" is more than F06-01"&amp;CHAR(10),""),IF(N152&gt;N150," * F06-03 for Age "&amp;N6&amp;" "&amp;N7&amp;" is more than F06-01"&amp;CHAR(10),""),IF(O152&gt;O150," * F06-03 for Age "&amp;N6&amp;" "&amp;O7&amp;" is more than F06-01"&amp;CHAR(10),""),IF(P152&gt;P150," * F06-03 for Age "&amp;P6&amp;" "&amp;P7&amp;" is more than F06-01"&amp;CHAR(10),""),IF(Q152&gt;Q150," * F06-03 for Age "&amp;P6&amp;" "&amp;Q7&amp;" is more than F06-01"&amp;CHAR(10),""),IF(R152&gt;R150," * F06-03 for Age "&amp;R6&amp;" "&amp;R7&amp;" is more than F06-01"&amp;CHAR(10),""),IF(S152&gt;S150," * F06-03 for Age "&amp;R6&amp;" "&amp;S7&amp;" is more than F06-01"&amp;CHAR(10),""),IF(T152&gt;T150," * F06-03 for Age "&amp;T6&amp;" "&amp;T7&amp;" is more than F06-01"&amp;CHAR(10),""),IF(U152&gt;U150," * F06-03 for Age "&amp;T6&amp;" "&amp;U7&amp;" is more than F06-01"&amp;CHAR(10),""),IF(V152&gt;V150," * F06-03 for Age "&amp;V6&amp;" "&amp;V7&amp;" is more than F06-01"&amp;CHAR(10),""),IF(W152&gt;W150," * F06-03 for Age "&amp;V6&amp;" "&amp;W7&amp;" is more than F06-01"&amp;CHAR(10),""),IF(X152&gt;X150," * F06-03 for Age "&amp;X6&amp;" "&amp;X7&amp;" is more than F06-01"&amp;CHAR(10),""),IF(Y152&gt;Y150," * F06-03 for Age "&amp;X6&amp;" "&amp;Y7&amp;" is more than F06-01"&amp;CHAR(10),""),IF(Z152&gt;Z150," * F06-03 for Age "&amp;Z6&amp;" "&amp;Z7&amp;" is more than F06-01"&amp;CHAR(10),""),IF(AA152&gt;AA150," * F06-03 for Age "&amp;Z6&amp;" "&amp;AA7&amp;" is more than F06-01"&amp;CHAR(10),""),IF(AJ152&gt;AJ150," * Total F06-03 is more than Total F06-01"&amp;CHAR(10),""))</f>
        <v/>
      </c>
      <c r="AL152" s="90"/>
      <c r="AM152" s="136"/>
      <c r="AN152" s="421"/>
      <c r="AO152" s="330">
        <v>198</v>
      </c>
    </row>
    <row r="153" spans="1:41" ht="57" thickBot="1" x14ac:dyDescent="0.65">
      <c r="A153" s="978"/>
      <c r="B153" s="753" t="s">
        <v>638</v>
      </c>
      <c r="C153" s="353" t="s">
        <v>137</v>
      </c>
      <c r="D153" s="208"/>
      <c r="E153" s="209"/>
      <c r="F153" s="209"/>
      <c r="G153" s="209"/>
      <c r="H153" s="209"/>
      <c r="I153" s="209"/>
      <c r="J153" s="209"/>
      <c r="K153" s="422"/>
      <c r="L153" s="209"/>
      <c r="M153" s="422"/>
      <c r="N153" s="209"/>
      <c r="O153" s="422"/>
      <c r="P153" s="209"/>
      <c r="Q153" s="422"/>
      <c r="R153" s="209"/>
      <c r="S153" s="422"/>
      <c r="T153" s="209"/>
      <c r="U153" s="422"/>
      <c r="V153" s="209"/>
      <c r="W153" s="422"/>
      <c r="X153" s="209"/>
      <c r="Y153" s="422"/>
      <c r="Z153" s="209"/>
      <c r="AA153" s="354"/>
      <c r="AB153" s="334"/>
      <c r="AC153" s="334"/>
      <c r="AD153" s="334"/>
      <c r="AE153" s="334"/>
      <c r="AF153" s="334"/>
      <c r="AG153" s="334"/>
      <c r="AH153" s="334"/>
      <c r="AI153" s="335"/>
      <c r="AJ153" s="419">
        <f t="shared" si="105"/>
        <v>0</v>
      </c>
      <c r="AK153" s="137" t="str">
        <f>CONCATENATE(IF((D154+D155+D156+D157)&lt;&gt;D153," * "&amp;$A153&amp;" , "&amp;$B154&amp;" plus "&amp;$B155&amp;" plus "&amp;$B156&amp;" plus "&amp;$B157&amp;" For age "&amp;$D$6&amp;" "&amp;$D$7&amp;" should be equal to "&amp;$B153&amp;""&amp;CHAR(10),""),IF((E154+E155+E156+E157)&lt;&gt;E153," * "&amp;$A153&amp;" , "&amp;$B154&amp;" plus "&amp;$B155&amp;" plus "&amp;$B156&amp;" plus "&amp;$B157&amp;" For age "&amp;$D$6&amp;" "&amp;$E$7&amp;" should be equal to "&amp;$B153&amp;""&amp;CHAR(10),""),IF((F154+F155+F156+F157)&lt;&gt;F153," * "&amp;$A153&amp;" , "&amp;$B154&amp;" plus "&amp;$B155&amp;" plus "&amp;$B156&amp;" plus "&amp;$B157&amp;" For age "&amp;$F$6&amp;" "&amp;$F$7&amp;" should be equal to "&amp;$B153&amp;""&amp;CHAR(10),""),IF((G154+G155+G156+G157)&lt;&gt;G153," * "&amp;$A153&amp;" , "&amp;$B154&amp;" plus "&amp;$B155&amp;" plus "&amp;$B156&amp;" plus "&amp;$B157&amp;" For age "&amp;$F$6&amp;" "&amp;$G$7&amp;" should be equal to "&amp;$B153&amp;""&amp;CHAR(10),""),IF((H154+H155+H156+H157)&lt;&gt;H153," * "&amp;$A153&amp;" , "&amp;$B154&amp;" plus "&amp;$B155&amp;" plus "&amp;$B156&amp;" plus "&amp;$B157&amp;" For age "&amp;$H$6&amp;" "&amp;$H$7&amp;" should be equal to "&amp;$B153&amp;""&amp;CHAR(10),""),IF((I154+I155+I156+I157)&lt;&gt;I153," * "&amp;$A153&amp;" , "&amp;$B154&amp;" plus "&amp;$B155&amp;" plus "&amp;$B156&amp;" plus "&amp;$B157&amp;" For age "&amp;$H$6&amp;" "&amp;$I$7&amp;" should be equal to "&amp;$B153&amp;""&amp;CHAR(10),""),IF((J154+J155+J156+J157)&lt;&gt;J153," * "&amp;$A153&amp;" , "&amp;$B154&amp;" plus "&amp;$B155&amp;" plus "&amp;$B156&amp;" plus "&amp;$B157&amp;" For age "&amp;$J$6&amp;" "&amp;$J$7&amp;" should be equal to "&amp;$B153&amp;""&amp;CHAR(10),""),IF((K154+K155+K156+K157)&lt;&gt;K153," * "&amp;$A153&amp;" , "&amp;$B154&amp;" plus "&amp;$B155&amp;" plus "&amp;$B156&amp;" plus "&amp;$B157&amp;" For age "&amp;$J$6&amp;" "&amp;$K$7&amp;" should be equal to "&amp;$B153&amp;""&amp;CHAR(10),""),IF((L154+L155+L156+L157)&lt;&gt;L153," * "&amp;$A153&amp;" , "&amp;$B154&amp;" plus "&amp;$B155&amp;" plus "&amp;$B156&amp;" plus "&amp;$B157&amp;" For age "&amp;$L$6&amp;" "&amp;$L$7&amp;" should be equal to "&amp;$B153&amp;""&amp;CHAR(10),""),IF((M154+M155+M156+M157)&lt;&gt;M153," * "&amp;$A153&amp;" , "&amp;$B154&amp;" plus "&amp;$B155&amp;" plus "&amp;$B156&amp;" plus "&amp;$B157&amp;" For age "&amp;$L$6&amp;" "&amp;$M$7&amp;" should be equal to "&amp;$B153&amp;""&amp;CHAR(10),""),IF((N154+N155+N156+N157)&lt;&gt;N153," * "&amp;$A153&amp;" , "&amp;$B154&amp;" plus "&amp;$B155&amp;" plus "&amp;$B156&amp;" plus "&amp;$B157&amp;" For age "&amp;$N$6&amp;" "&amp;$N$7&amp;" should be equal to "&amp;$B153&amp;""&amp;CHAR(10),""),IF((O154+O155+O156+O157)&lt;&gt;O153," * "&amp;$A153&amp;" , "&amp;$B154&amp;" plus "&amp;$B155&amp;" plus "&amp;$B156&amp;" plus "&amp;$B157&amp;" For age "&amp;$N$6&amp;" "&amp;$O$7&amp;" should be equal to "&amp;$B153&amp;""&amp;CHAR(10),""),IF((P154+P155+P156+P157)&lt;&gt;P153," * "&amp;$A153&amp;" , "&amp;$B154&amp;" plus "&amp;$B155&amp;" plus "&amp;$B156&amp;" plus "&amp;$B157&amp;" For age "&amp;$P$6&amp;" "&amp;$P$7&amp;" should be equal to "&amp;$B153&amp;""&amp;CHAR(10),""),IF((Q154+Q155+Q156+Q157)&lt;&gt;Q153," * "&amp;$A153&amp;" , "&amp;$B154&amp;" plus "&amp;$B155&amp;" plus "&amp;$B156&amp;" plus "&amp;$B157&amp;" For age "&amp;$P$6&amp;" "&amp;$Q$7&amp;" should be equal to "&amp;$B153&amp;""&amp;CHAR(10),""),IF((R154+R155+R156+R157)&lt;&gt;R153," * "&amp;$A153&amp;" , "&amp;$B154&amp;" plus "&amp;$B155&amp;" plus "&amp;$B156&amp;" plus "&amp;$B157&amp;" For age "&amp;$R$6&amp;" "&amp;$R$7&amp;" should be equal to "&amp;$B153&amp;""&amp;CHAR(10),""),IF((S154+S155+S156+S157)&lt;&gt;S153," * "&amp;$A153&amp;" , "&amp;$B154&amp;" plus "&amp;$B155&amp;" plus "&amp;$B156&amp;" plus "&amp;$B157&amp;" For age "&amp;$R$6&amp;" "&amp;$S$7&amp;" should be equal to "&amp;$B153&amp;""&amp;CHAR(10),""),IF((T154+T155+T156+T157)&lt;&gt;T153," * "&amp;$A153&amp;" , "&amp;$B154&amp;" plus "&amp;$B155&amp;" plus "&amp;$B156&amp;" plus "&amp;$B157&amp;" For age "&amp;$T$6&amp;" "&amp;$T$7&amp;" should be equal to "&amp;$B153&amp;""&amp;CHAR(10),""),IF((U154+U155+U156+U157)&lt;&gt;U153," * "&amp;$A153&amp;" , "&amp;$B154&amp;" plus "&amp;$B155&amp;" plus "&amp;$B156&amp;" plus "&amp;$B157&amp;" For age "&amp;$T$6&amp;" "&amp;$U$7&amp;" should be equal to "&amp;$B153&amp;""&amp;CHAR(10),""),IF((V154+V155+V156+V157)&lt;&gt;V153," * "&amp;$A153&amp;" , "&amp;$B154&amp;" plus "&amp;$B155&amp;" plus "&amp;$B156&amp;" plus "&amp;$B157&amp;" For age "&amp;$V$6&amp;" "&amp;$V$7&amp;" should be equal to "&amp;$B153&amp;""&amp;CHAR(10),""),IF((W154+W155+W156+W157)&lt;&gt;W153," * "&amp;$A153&amp;" , "&amp;$B154&amp;" plus "&amp;$B155&amp;" plus "&amp;$B156&amp;" plus "&amp;$B157&amp;" For age "&amp;$V$6&amp;" "&amp;$W$7&amp;" should be equal to "&amp;$B153&amp;""&amp;CHAR(10),""),IF((X154+X155+X156+X157)&lt;&gt;X153," * "&amp;$A153&amp;" , "&amp;$B154&amp;" plus "&amp;$B155&amp;" plus "&amp;$B156&amp;" plus "&amp;$B157&amp;" For age "&amp;$X$6&amp;" "&amp;$X$7&amp;" should be equal to "&amp;$B153&amp;""&amp;CHAR(10),""),IF((Y154+Y155+Y156+Y157)&lt;&gt;Y153," * "&amp;$A153&amp;" , "&amp;$B154&amp;" plus "&amp;$B155&amp;" plus "&amp;$B156&amp;" plus "&amp;$B157&amp;" For age "&amp;$X$6&amp;" "&amp;$Y$7&amp;" should be equal to "&amp;$B153&amp;""&amp;CHAR(10),""),IF((Z154+Z155+Z156+Z157)&lt;&gt;Z153," * "&amp;$A153&amp;" , "&amp;$B154&amp;" plus "&amp;$B155&amp;" plus "&amp;$B156&amp;" plus "&amp;$B157&amp;" For age "&amp;$Z$6&amp;" "&amp;$Z$7&amp;" should be equal to "&amp;$B153&amp;""&amp;CHAR(10),""),IF((AA154+AA155+AA156+AA157)&lt;&gt;AA153," * "&amp;$A153&amp;" , "&amp;$B154&amp;" plus "&amp;$B155&amp;" plus "&amp;$B156&amp;" plus "&amp;$B157&amp;" For age "&amp;$Z$6&amp;" "&amp;$AA$7&amp;" should be equal to "&amp;$B153&amp;""&amp;CHAR(10),""))</f>
        <v/>
      </c>
      <c r="AL153" s="90"/>
      <c r="AM153" s="136"/>
      <c r="AN153" s="421"/>
      <c r="AO153" s="330">
        <v>199</v>
      </c>
    </row>
    <row r="154" spans="1:41" x14ac:dyDescent="0.6">
      <c r="A154" s="978"/>
      <c r="B154" s="754" t="s">
        <v>389</v>
      </c>
      <c r="C154" s="267" t="s">
        <v>415</v>
      </c>
      <c r="D154" s="116"/>
      <c r="E154" s="117"/>
      <c r="F154" s="117"/>
      <c r="G154" s="117"/>
      <c r="H154" s="117"/>
      <c r="I154" s="117"/>
      <c r="J154" s="117"/>
      <c r="K154" s="423"/>
      <c r="L154" s="424"/>
      <c r="M154" s="423"/>
      <c r="N154" s="424"/>
      <c r="O154" s="423"/>
      <c r="P154" s="424"/>
      <c r="Q154" s="423"/>
      <c r="R154" s="424"/>
      <c r="S154" s="423"/>
      <c r="T154" s="424"/>
      <c r="U154" s="423"/>
      <c r="V154" s="424"/>
      <c r="W154" s="423"/>
      <c r="X154" s="424"/>
      <c r="Y154" s="423"/>
      <c r="Z154" s="424"/>
      <c r="AA154" s="344"/>
      <c r="AB154" s="425"/>
      <c r="AC154" s="334"/>
      <c r="AD154" s="426"/>
      <c r="AE154" s="334"/>
      <c r="AF154" s="426"/>
      <c r="AG154" s="334"/>
      <c r="AH154" s="426"/>
      <c r="AI154" s="335"/>
      <c r="AJ154" s="260">
        <f t="shared" ref="AJ154:AJ157" si="106">SUM(D154:AA154)</f>
        <v>0</v>
      </c>
      <c r="AK154" s="174"/>
      <c r="AL154" s="90"/>
      <c r="AM154" s="136"/>
      <c r="AN154" s="421"/>
      <c r="AO154" s="330"/>
    </row>
    <row r="155" spans="1:41" x14ac:dyDescent="0.6">
      <c r="A155" s="978"/>
      <c r="B155" s="755" t="s">
        <v>373</v>
      </c>
      <c r="C155" s="254" t="s">
        <v>416</v>
      </c>
      <c r="D155" s="128"/>
      <c r="E155" s="129"/>
      <c r="F155" s="129"/>
      <c r="G155" s="129"/>
      <c r="H155" s="129"/>
      <c r="I155" s="129"/>
      <c r="J155" s="129"/>
      <c r="K155" s="148"/>
      <c r="L155" s="426"/>
      <c r="M155" s="148"/>
      <c r="N155" s="426"/>
      <c r="O155" s="148"/>
      <c r="P155" s="426"/>
      <c r="Q155" s="148"/>
      <c r="R155" s="426"/>
      <c r="S155" s="148"/>
      <c r="T155" s="426"/>
      <c r="U155" s="148"/>
      <c r="V155" s="426"/>
      <c r="W155" s="148"/>
      <c r="X155" s="426"/>
      <c r="Y155" s="148"/>
      <c r="Z155" s="426"/>
      <c r="AA155" s="140"/>
      <c r="AB155" s="425"/>
      <c r="AC155" s="334"/>
      <c r="AD155" s="426"/>
      <c r="AE155" s="334"/>
      <c r="AF155" s="426"/>
      <c r="AG155" s="334"/>
      <c r="AH155" s="426"/>
      <c r="AI155" s="335"/>
      <c r="AJ155" s="135">
        <f t="shared" si="106"/>
        <v>0</v>
      </c>
      <c r="AK155" s="174" t="str">
        <f>CONCATENATE(IF(D153&gt;D152," * New positive at ANC1 for Age "&amp;D6&amp;" "&amp;D7&amp;" is more than initial test at ANC1"&amp;CHAR(10),""),IF(E153&gt;E152," * New positive at ANC1 for Age "&amp;D6&amp;" "&amp;E7&amp;" is more than initial test at ANC1"&amp;CHAR(10),""),IF(F153&gt;F152," * New positive at ANC1 for Age "&amp;F6&amp;" "&amp;F7&amp;" is more than initial test at ANC1"&amp;CHAR(10),""),IF(G153&gt;G152," * New positive at ANC1 for Age "&amp;F6&amp;" "&amp;G7&amp;" is more than initial test at ANC1"&amp;CHAR(10),""),IF(H153&gt;H152," * New positive at ANC1 for Age "&amp;H6&amp;" "&amp;H7&amp;" is more than initial test at ANC1"&amp;CHAR(10),""),IF(I153&gt;I152," * New positive at ANC1 for Age "&amp;H6&amp;" "&amp;I7&amp;" is more than initial test at ANC1"&amp;CHAR(10),""),IF(J153&gt;J152," * New positive at ANC1 for Age "&amp;J6&amp;" "&amp;J7&amp;" is more than initial test at ANC1"&amp;CHAR(10),""),IF(K153&gt;K152," * New positive at ANC1 for Age "&amp;J6&amp;" "&amp;K7&amp;" is more than initial test at ANC1"&amp;CHAR(10),""),IF(L153&gt;L152," * New positive at ANC1 for Age "&amp;L6&amp;" "&amp;L7&amp;" is more than initial test at ANC1"&amp;CHAR(10),""),IF(M153&gt;M152," * New positive at ANC1 for Age "&amp;L6&amp;" "&amp;M7&amp;" is more than initial test at ANC1"&amp;CHAR(10),""),IF(N153&gt;N152," * New positive at ANC1 for Age "&amp;N6&amp;" "&amp;N7&amp;" is more than initial test at ANC1"&amp;CHAR(10),""),IF(O153&gt;O152," * New positive at ANC1 for Age "&amp;N6&amp;" "&amp;O7&amp;" is more than initial test at ANC1"&amp;CHAR(10),""),IF(P153&gt;P152," * New positive at ANC1 for Age "&amp;P6&amp;" "&amp;P7&amp;" is more than initial test at ANC1"&amp;CHAR(10),""),IF(Q153&gt;Q152," * New positive at ANC1 for Age "&amp;P6&amp;" "&amp;Q7&amp;" is more than initial test at ANC1"&amp;CHAR(10),""),IF(R153&gt;R152," * New positive at ANC1 for Age "&amp;R6&amp;" "&amp;R7&amp;" is more than initial test at ANC1"&amp;CHAR(10),""),IF(S153&gt;S152," * New positive at ANC1 for Age "&amp;R6&amp;" "&amp;S7&amp;" is more than initial test at ANC1"&amp;CHAR(10),""),IF(T153&gt;T152," * New positive at ANC1 for Age "&amp;T6&amp;" "&amp;T7&amp;" is more than initial test at ANC1"&amp;CHAR(10),""),IF(U153&gt;U152," * New positive at ANC1 for Age "&amp;T6&amp;" "&amp;U7&amp;" is more than initial test at ANC1"&amp;CHAR(10),""),IF(V153&gt;V152," * New positive at ANC1 for Age "&amp;V6&amp;" "&amp;V7&amp;" is more than initial test at ANC1"&amp;CHAR(10),""),IF(W153&gt;W152," * New positive at ANC1 for Age "&amp;V6&amp;" "&amp;W7&amp;" is more than initial test at ANC1"&amp;CHAR(10),""),IF(X153&gt;X152," * New positive at ANC1 for Age "&amp;X6&amp;" "&amp;X7&amp;" is more than initial test at ANC1"&amp;CHAR(10),""),IF(Y153&gt;Y152," * New positive at ANC1 for Age "&amp;X6&amp;" "&amp;Y7&amp;" is more than initial test at ANC1"&amp;CHAR(10),""),IF(Z153&gt;Z152," * New positive at ANC1 for Age "&amp;Z6&amp;" "&amp;Z7&amp;" is more than initial test at ANC1"&amp;CHAR(10),""),IF(AA153&gt;AA152," * New positive at ANC1 for Age "&amp;Z6&amp;" "&amp;AA7&amp;" is more than initial test at ANC1"&amp;CHAR(10),""),IF(AJ153&gt;AJ152," * Total New positive at ANC1 is more than Total initial test at ANC1"&amp;CHAR(10),""))</f>
        <v/>
      </c>
      <c r="AL155" s="90"/>
      <c r="AM155" s="136"/>
      <c r="AN155" s="421"/>
      <c r="AO155" s="330"/>
    </row>
    <row r="156" spans="1:41" x14ac:dyDescent="0.6">
      <c r="A156" s="978"/>
      <c r="B156" s="755" t="s">
        <v>375</v>
      </c>
      <c r="C156" s="254" t="s">
        <v>417</v>
      </c>
      <c r="D156" s="128"/>
      <c r="E156" s="129"/>
      <c r="F156" s="129"/>
      <c r="G156" s="129"/>
      <c r="H156" s="129"/>
      <c r="I156" s="129"/>
      <c r="J156" s="129"/>
      <c r="K156" s="148"/>
      <c r="L156" s="426"/>
      <c r="M156" s="148"/>
      <c r="N156" s="426"/>
      <c r="O156" s="148"/>
      <c r="P156" s="426"/>
      <c r="Q156" s="148"/>
      <c r="R156" s="426"/>
      <c r="S156" s="148"/>
      <c r="T156" s="426"/>
      <c r="U156" s="148"/>
      <c r="V156" s="426"/>
      <c r="W156" s="148"/>
      <c r="X156" s="426"/>
      <c r="Y156" s="148"/>
      <c r="Z156" s="426"/>
      <c r="AA156" s="140"/>
      <c r="AB156" s="425"/>
      <c r="AC156" s="334"/>
      <c r="AD156" s="426"/>
      <c r="AE156" s="334"/>
      <c r="AF156" s="426"/>
      <c r="AG156" s="334"/>
      <c r="AH156" s="426"/>
      <c r="AI156" s="335"/>
      <c r="AJ156" s="135">
        <f t="shared" si="106"/>
        <v>0</v>
      </c>
      <c r="AK156" s="183"/>
      <c r="AL156" s="90"/>
      <c r="AM156" s="136"/>
      <c r="AN156" s="421"/>
      <c r="AO156" s="330"/>
    </row>
    <row r="157" spans="1:41" ht="31.5" thickBot="1" x14ac:dyDescent="0.65">
      <c r="A157" s="978"/>
      <c r="B157" s="756" t="s">
        <v>377</v>
      </c>
      <c r="C157" s="261" t="s">
        <v>418</v>
      </c>
      <c r="D157" s="185"/>
      <c r="E157" s="186"/>
      <c r="F157" s="186"/>
      <c r="G157" s="186"/>
      <c r="H157" s="186"/>
      <c r="I157" s="186"/>
      <c r="J157" s="186"/>
      <c r="K157" s="154"/>
      <c r="L157" s="427"/>
      <c r="M157" s="154"/>
      <c r="N157" s="427"/>
      <c r="O157" s="154"/>
      <c r="P157" s="427"/>
      <c r="Q157" s="154"/>
      <c r="R157" s="427"/>
      <c r="S157" s="154"/>
      <c r="T157" s="427"/>
      <c r="U157" s="154"/>
      <c r="V157" s="427"/>
      <c r="W157" s="154"/>
      <c r="X157" s="427"/>
      <c r="Y157" s="154"/>
      <c r="Z157" s="427"/>
      <c r="AA157" s="428"/>
      <c r="AB157" s="429"/>
      <c r="AC157" s="334"/>
      <c r="AD157" s="430"/>
      <c r="AE157" s="334"/>
      <c r="AF157" s="430"/>
      <c r="AG157" s="334"/>
      <c r="AH157" s="430"/>
      <c r="AI157" s="335"/>
      <c r="AJ157" s="168">
        <f t="shared" si="106"/>
        <v>0</v>
      </c>
      <c r="AK157" s="183"/>
      <c r="AL157" s="90"/>
      <c r="AM157" s="136"/>
      <c r="AN157" s="421"/>
      <c r="AO157" s="330"/>
    </row>
    <row r="158" spans="1:41" x14ac:dyDescent="0.6">
      <c r="A158" s="978"/>
      <c r="B158" s="757" t="s">
        <v>199</v>
      </c>
      <c r="C158" s="411" t="s">
        <v>201</v>
      </c>
      <c r="D158" s="431"/>
      <c r="E158" s="398"/>
      <c r="F158" s="398"/>
      <c r="G158" s="398"/>
      <c r="H158" s="398"/>
      <c r="I158" s="398"/>
      <c r="J158" s="398"/>
      <c r="K158" s="432">
        <f>K152+K151</f>
        <v>0</v>
      </c>
      <c r="L158" s="398"/>
      <c r="M158" s="432">
        <f>M152+M151</f>
        <v>0</v>
      </c>
      <c r="N158" s="398"/>
      <c r="O158" s="432">
        <f>O152+O151</f>
        <v>0</v>
      </c>
      <c r="P158" s="398"/>
      <c r="Q158" s="432">
        <f>Q152+Q151</f>
        <v>0</v>
      </c>
      <c r="R158" s="398"/>
      <c r="S158" s="432">
        <f>S152+S151</f>
        <v>0</v>
      </c>
      <c r="T158" s="398"/>
      <c r="U158" s="432">
        <f>U152+U151</f>
        <v>0</v>
      </c>
      <c r="V158" s="398"/>
      <c r="W158" s="432">
        <f>W152+W151</f>
        <v>0</v>
      </c>
      <c r="X158" s="398"/>
      <c r="Y158" s="432">
        <f>Y152+Y151</f>
        <v>0</v>
      </c>
      <c r="Z158" s="398"/>
      <c r="AA158" s="433"/>
      <c r="AB158" s="334"/>
      <c r="AC158" s="334"/>
      <c r="AD158" s="334"/>
      <c r="AE158" s="334"/>
      <c r="AF158" s="334"/>
      <c r="AG158" s="334"/>
      <c r="AH158" s="334"/>
      <c r="AI158" s="335"/>
      <c r="AJ158" s="419">
        <f t="shared" si="105"/>
        <v>0</v>
      </c>
      <c r="AK158" s="349"/>
      <c r="AL158" s="90"/>
      <c r="AM158" s="136"/>
      <c r="AN158" s="421"/>
      <c r="AO158" s="330">
        <v>200</v>
      </c>
    </row>
    <row r="159" spans="1:41" ht="31.5" thickBot="1" x14ac:dyDescent="0.65">
      <c r="A159" s="979"/>
      <c r="B159" s="758" t="s">
        <v>202</v>
      </c>
      <c r="C159" s="337" t="s">
        <v>213</v>
      </c>
      <c r="D159" s="185"/>
      <c r="E159" s="186"/>
      <c r="F159" s="186"/>
      <c r="G159" s="186"/>
      <c r="H159" s="186"/>
      <c r="I159" s="186"/>
      <c r="J159" s="186"/>
      <c r="K159" s="434">
        <f>K153+K151</f>
        <v>0</v>
      </c>
      <c r="L159" s="186"/>
      <c r="M159" s="434">
        <f>M153+M151</f>
        <v>0</v>
      </c>
      <c r="N159" s="186"/>
      <c r="O159" s="434">
        <f>O153+O151</f>
        <v>0</v>
      </c>
      <c r="P159" s="186"/>
      <c r="Q159" s="434">
        <f>Q153+Q151</f>
        <v>0</v>
      </c>
      <c r="R159" s="186"/>
      <c r="S159" s="434">
        <f>S153+S151</f>
        <v>0</v>
      </c>
      <c r="T159" s="186"/>
      <c r="U159" s="434">
        <f>U153+U151</f>
        <v>0</v>
      </c>
      <c r="V159" s="186"/>
      <c r="W159" s="434">
        <f>W153+W151</f>
        <v>0</v>
      </c>
      <c r="X159" s="186"/>
      <c r="Y159" s="434">
        <f>Y153+Y151</f>
        <v>0</v>
      </c>
      <c r="Z159" s="186"/>
      <c r="AA159" s="428"/>
      <c r="AB159" s="334"/>
      <c r="AC159" s="334"/>
      <c r="AD159" s="334"/>
      <c r="AE159" s="334"/>
      <c r="AF159" s="334"/>
      <c r="AG159" s="334"/>
      <c r="AH159" s="334"/>
      <c r="AI159" s="335"/>
      <c r="AJ159" s="435">
        <f t="shared" si="105"/>
        <v>0</v>
      </c>
      <c r="AK159" s="349"/>
      <c r="AL159" s="90"/>
      <c r="AM159" s="136"/>
      <c r="AN159" s="421"/>
      <c r="AO159" s="330">
        <v>201</v>
      </c>
    </row>
    <row r="160" spans="1:41" x14ac:dyDescent="0.6">
      <c r="A160" s="876" t="s">
        <v>741</v>
      </c>
      <c r="B160" s="759" t="s">
        <v>286</v>
      </c>
      <c r="C160" s="115" t="s">
        <v>111</v>
      </c>
      <c r="D160" s="247"/>
      <c r="E160" s="117"/>
      <c r="F160" s="117"/>
      <c r="G160" s="117"/>
      <c r="H160" s="117"/>
      <c r="I160" s="117"/>
      <c r="J160" s="117"/>
      <c r="K160" s="118"/>
      <c r="L160" s="117"/>
      <c r="M160" s="118"/>
      <c r="N160" s="117"/>
      <c r="O160" s="118"/>
      <c r="P160" s="117"/>
      <c r="Q160" s="118"/>
      <c r="R160" s="117"/>
      <c r="S160" s="118"/>
      <c r="T160" s="117"/>
      <c r="U160" s="118"/>
      <c r="V160" s="117"/>
      <c r="W160" s="118"/>
      <c r="X160" s="117"/>
      <c r="Y160" s="118"/>
      <c r="Z160" s="117"/>
      <c r="AA160" s="212"/>
      <c r="AB160" s="333"/>
      <c r="AC160" s="334"/>
      <c r="AD160" s="334"/>
      <c r="AE160" s="334"/>
      <c r="AF160" s="334"/>
      <c r="AG160" s="334"/>
      <c r="AH160" s="334"/>
      <c r="AI160" s="335"/>
      <c r="AJ160" s="436">
        <f t="shared" si="105"/>
        <v>0</v>
      </c>
      <c r="AK160" s="966" t="str">
        <f>CONCATENATE(IF(D161&gt;D160," * Initial positive results at ANC 2 and above for Age "&amp;D6&amp;" "&amp;D7&amp;" is more than Initial test at ANC 2 and above"&amp;CHAR(10),""),IF(E161&gt;E160," * Initial positive results at ANC 2 and above for Age "&amp;D6&amp;" "&amp;E7&amp;" is more than Initial test at ANC 2 and above"&amp;CHAR(10),""),IF(F161&gt;F160," * Initial positive results at ANC 2 and above for Age "&amp;F6&amp;" "&amp;F7&amp;" is more than Initial test at ANC 2 and above"&amp;CHAR(10),""),IF(G161&gt;G160," * Initial positive results at ANC 2 and above for Age "&amp;F6&amp;" "&amp;G7&amp;" is more than Initial test at ANC 2 and above"&amp;CHAR(10),""),IF(H161&gt;H160," * Initial positive results at ANC 2 and above for Age "&amp;H6&amp;" "&amp;H7&amp;" is more than Initial test at ANC 2 and above"&amp;CHAR(10),""),IF(I161&gt;I160," * Initial positive results at ANC 2 and above for Age "&amp;H6&amp;" "&amp;I7&amp;" is more than Initial test at ANC 2 and above"&amp;CHAR(10),""),IF(J161&gt;J160," * Initial positive results at ANC 2 and above for Age "&amp;J6&amp;" "&amp;J7&amp;" is more than Initial test at ANC 2 and above"&amp;CHAR(10),""),IF(K161&gt;K160," * Initial positive results at ANC 2 and above for Age "&amp;J6&amp;" "&amp;K7&amp;" is more than Initial test at ANC 2 and above"&amp;CHAR(10),""),IF(L161&gt;L160," * Initial positive results at ANC 2 and above for Age "&amp;L6&amp;" "&amp;L7&amp;" is more than Initial test at ANC 2 and above"&amp;CHAR(10),""),IF(M161&gt;M160," * Initial positive results at ANC 2 and above for Age "&amp;L6&amp;" "&amp;M7&amp;" is more than Initial test at ANC 2 and above"&amp;CHAR(10),""),IF(N161&gt;N160," * Initial positive results at ANC 2 and above for Age "&amp;N6&amp;" "&amp;N7&amp;" is more than Initial test at ANC 2 and above"&amp;CHAR(10),""),IF(O161&gt;O160," * Initial positive results at ANC 2 and above for Age "&amp;N6&amp;" "&amp;O7&amp;" is more than Initial test at ANC 2 and above"&amp;CHAR(10),""),IF(P161&gt;P160," * Initial positive results at ANC 2 and above for Age "&amp;P6&amp;" "&amp;P7&amp;" is more than Initial test at ANC 2 and above"&amp;CHAR(10),""),IF(Q161&gt;Q160," * Initial positive results at ANC 2 and above for Age "&amp;P6&amp;" "&amp;Q7&amp;" is more than Initial test at ANC 2 and above"&amp;CHAR(10),""),IF(R161&gt;R160," * Initial positive results at ANC 2 and above for Age "&amp;R6&amp;" "&amp;R7&amp;" is more than Initial test at ANC 2 and above"&amp;CHAR(10),""),IF(S161&gt;S160," * Initial positive results at ANC 2 and above for Age "&amp;R6&amp;" "&amp;S7&amp;" is more than Initial test at ANC 2 and above"&amp;CHAR(10),""),IF(T161&gt;T160," * Initial positive results at ANC 2 and above for Age "&amp;T6&amp;" "&amp;T7&amp;" is more than Initial test at ANC 2 and above"&amp;CHAR(10),""),IF(U161&gt;U160," * Initial positive results at ANC 2 and above for Age "&amp;T6&amp;" "&amp;U7&amp;" is more than Initial test at ANC 2 and above"&amp;CHAR(10),""),IF(V161&gt;V160," * Initial positive results at ANC 2 and above for Age "&amp;V6&amp;" "&amp;V7&amp;" is more than Initial test at ANC 2 and above"&amp;CHAR(10),""),IF(W161&gt;W160," * Initial positive results at ANC 2 and above for Age "&amp;V6&amp;" "&amp;W7&amp;" is more than Initial test at ANC 2 and above"&amp;CHAR(10),""),IF(X161&gt;X160," * Initial positive results at ANC 2 and above for Age "&amp;X6&amp;" "&amp;X7&amp;" is more than Initial test at ANC 2 and above"&amp;CHAR(10),""),IF(Y161&gt;Y160," * Initial positive results at ANC 2 and above for Age "&amp;X6&amp;" "&amp;Y7&amp;" is more than Initial test at ANC 2 and above"&amp;CHAR(10),""),IF(Z161&gt;Z160," * Initial positive results at ANC 2 and above for Age "&amp;Z6&amp;" "&amp;Z7&amp;" is more than Initial test at ANC 2 and above"&amp;CHAR(10),""),IF(AA161&gt;AA160," * Initial positive results at ANC 2 and above for Age "&amp;Z6&amp;" "&amp;AA7&amp;" is more than Initial test at ANC 2 and above"&amp;CHAR(10),""))</f>
        <v/>
      </c>
      <c r="AL160" s="90"/>
      <c r="AM160" s="136"/>
      <c r="AN160" s="421"/>
      <c r="AO160" s="330">
        <v>202</v>
      </c>
    </row>
    <row r="161" spans="1:45" x14ac:dyDescent="0.6">
      <c r="A161" s="877"/>
      <c r="B161" s="760" t="s">
        <v>200</v>
      </c>
      <c r="C161" s="127" t="s">
        <v>112</v>
      </c>
      <c r="D161" s="141"/>
      <c r="E161" s="129"/>
      <c r="F161" s="129"/>
      <c r="G161" s="129"/>
      <c r="H161" s="129"/>
      <c r="I161" s="129"/>
      <c r="J161" s="129"/>
      <c r="K161" s="417"/>
      <c r="L161" s="418"/>
      <c r="M161" s="417"/>
      <c r="N161" s="418"/>
      <c r="O161" s="417"/>
      <c r="P161" s="418"/>
      <c r="Q161" s="417"/>
      <c r="R161" s="418"/>
      <c r="S161" s="417"/>
      <c r="T161" s="418"/>
      <c r="U161" s="417"/>
      <c r="V161" s="418"/>
      <c r="W161" s="417"/>
      <c r="X161" s="418"/>
      <c r="Y161" s="417"/>
      <c r="Z161" s="129"/>
      <c r="AA161" s="139"/>
      <c r="AB161" s="333"/>
      <c r="AC161" s="334"/>
      <c r="AD161" s="334"/>
      <c r="AE161" s="334"/>
      <c r="AF161" s="334"/>
      <c r="AG161" s="334"/>
      <c r="AH161" s="334"/>
      <c r="AI161" s="335"/>
      <c r="AJ161" s="419">
        <f t="shared" si="105"/>
        <v>0</v>
      </c>
      <c r="AK161" s="966"/>
      <c r="AL161" s="90"/>
      <c r="AM161" s="136"/>
      <c r="AN161" s="421"/>
      <c r="AO161" s="330">
        <v>203</v>
      </c>
    </row>
    <row r="162" spans="1:45" ht="31.15" customHeight="1" x14ac:dyDescent="0.6">
      <c r="A162" s="877"/>
      <c r="B162" s="716" t="s">
        <v>203</v>
      </c>
      <c r="C162" s="127" t="s">
        <v>205</v>
      </c>
      <c r="D162" s="141"/>
      <c r="E162" s="129"/>
      <c r="F162" s="129"/>
      <c r="G162" s="129"/>
      <c r="H162" s="129"/>
      <c r="I162" s="129"/>
      <c r="J162" s="129"/>
      <c r="K162" s="130"/>
      <c r="L162" s="129"/>
      <c r="M162" s="130"/>
      <c r="N162" s="129"/>
      <c r="O162" s="130"/>
      <c r="P162" s="129"/>
      <c r="Q162" s="130"/>
      <c r="R162" s="129"/>
      <c r="S162" s="130"/>
      <c r="T162" s="129"/>
      <c r="U162" s="130"/>
      <c r="V162" s="129"/>
      <c r="W162" s="130"/>
      <c r="X162" s="129"/>
      <c r="Y162" s="130"/>
      <c r="Z162" s="129"/>
      <c r="AA162" s="139"/>
      <c r="AB162" s="333"/>
      <c r="AC162" s="334"/>
      <c r="AD162" s="334"/>
      <c r="AE162" s="334"/>
      <c r="AF162" s="334"/>
      <c r="AG162" s="334"/>
      <c r="AH162" s="334"/>
      <c r="AI162" s="335"/>
      <c r="AJ162" s="419">
        <f t="shared" si="105"/>
        <v>0</v>
      </c>
      <c r="AK162" s="174" t="str">
        <f>CONCATENATE(IF(D163&gt;D162," * Retesting at ANC 2 and above For age "&amp;$D$6&amp;" "&amp;$D$7&amp;" is less than  than Retesting positive result at ANC 2 and above"&amp;CHAR(10),""),IF(E163&gt;E162," * Retesting at ANC 2 and above For age "&amp;$D$6&amp;" "&amp;$E$7&amp;" is less than  than Retesting positive result at ANC 2 and above"&amp;CHAR(10),""),IF(F163&gt;F162," * Retesting at ANC 2 and above For age "&amp;$F$6&amp;" "&amp;$F$7&amp;" is less than  than Retesting positive result at ANC 2 and above"&amp;CHAR(10),""),IF(G163&gt;G162," * Retesting at ANC 2 and above For age "&amp;$F$6&amp;" "&amp;$G$7&amp;" is less than  than Retesting positive result at ANC 2 and above"&amp;CHAR(10),""),IF(H163&gt;H162," * Retesting at ANC 2 and above For age "&amp;$H$6&amp;" "&amp;$H$7&amp;" is less than  than Retesting positive result at ANC 2 and above"&amp;CHAR(10),""),IF(I163&gt;I162," * Retesting at ANC 2 and above For age "&amp;$H$6&amp;" "&amp;$I$7&amp;" is less than  than Retesting positive result at ANC 2 and above"&amp;CHAR(10),""),IF(J163&gt;J162," * Retesting at ANC 2 and above For age "&amp;$J$6&amp;" "&amp;$J$7&amp;" is less than  than Retesting positive result at ANC 2 and above"&amp;CHAR(10),""),IF(K163&gt;K162," * Retesting at ANC 2 and above For age "&amp;$J$6&amp;" "&amp;$K$7&amp;" is less than  than Retesting positive result at ANC 2 and above"&amp;CHAR(10),""),IF(L163&gt;L162," * Retesting at ANC 2 and above For age "&amp;$L$6&amp;" "&amp;$L$7&amp;" is less than  than Retesting positive result at ANC 2 and above"&amp;CHAR(10),""),IF(M163&gt;M162," * Retesting at ANC 2 and above For age "&amp;$L$6&amp;" "&amp;$M$7&amp;" is less than  than Retesting positive result at ANC 2 and above"&amp;CHAR(10),""),IF(N163&gt;N162," * Retesting at ANC 2 and above For age "&amp;$N$6&amp;" "&amp;$N$7&amp;" is less than  than Retesting positive result at ANC 2 and above"&amp;CHAR(10),""),IF(O163&gt;O162," * Retesting at ANC 2 and above For age "&amp;$N$6&amp;" "&amp;$O$7&amp;" is less than  than Retesting positive result at ANC 2 and above"&amp;CHAR(10),""),IF(P163&gt;P162," * Retesting at ANC 2 and above For age "&amp;$P$6&amp;" "&amp;$P$7&amp;" is less than  than Retesting positive result at ANC 2 and above"&amp;CHAR(10),""),IF(Q163&gt;Q162," * Retesting at ANC 2 and above For age "&amp;$P$6&amp;" "&amp;$Q$7&amp;" is less than  than Retesting positive result at ANC 2 and above"&amp;CHAR(10),""),IF(R163&gt;R162," * Retesting at ANC 2 and above For age "&amp;$R$6&amp;" "&amp;$R$7&amp;" is less than  than Retesting positive result at ANC 2 and above"&amp;CHAR(10),""),IF(S163&gt;S162," * Retesting at ANC 2 and above For age "&amp;$R$6&amp;" "&amp;$S$7&amp;" is less than  than Retesting positive result at ANC 2 and above"&amp;CHAR(10),""),IF(T163&gt;T162," * Retesting at ANC 2 and above For age "&amp;$T$6&amp;" "&amp;$T$7&amp;" is less than  than Retesting positive result at ANC 2 and above"&amp;CHAR(10),""),IF(U163&gt;U162," * Retesting at ANC 2 and above For age "&amp;$T$6&amp;" "&amp;$U$7&amp;" is less than  than Retesting positive result at ANC 2 and above"&amp;CHAR(10),""),IF(V163&gt;V162," * Retesting at ANC 2 and above For age "&amp;$V$6&amp;" "&amp;$V$7&amp;" is less than  than Retesting positive result at ANC 2 and above"&amp;CHAR(10),""),IF(W163&gt;W162," * Retesting at ANC 2 and above For age "&amp;$V$6&amp;" "&amp;$W$7&amp;" is less than  than Retesting positive result at ANC 2 and above"&amp;CHAR(10),""),IF(X163&gt;X162," * Retesting at ANC 2 and above For age "&amp;$X$6&amp;" "&amp;$X$7&amp;" is less than  than Retesting positive result at ANC 2 and above"&amp;CHAR(10),""),IF(Y163&gt;Y162," * Retesting at ANC 2 and above For age "&amp;$X$6&amp;" "&amp;$Y$7&amp;" is less than  than Retesting positive result at ANC 2 and above"&amp;CHAR(10),""),IF(Z163&gt;Z162," * Retesting at ANC 2 and above For age "&amp;$Z$6&amp;" "&amp;$Z$7&amp;" is less than  than Retesting positive result at ANC 2 and above"&amp;CHAR(10),""),IF(AA163&gt;AA162," * Retesting at ANC 2 and above For age "&amp;$Z$6&amp;" "&amp;$AA$7&amp;" is less than  than Retesting positive result at ANC 2 and above"&amp;CHAR(10),""))</f>
        <v/>
      </c>
      <c r="AL162" s="90"/>
      <c r="AM162" s="136"/>
      <c r="AN162" s="421"/>
      <c r="AO162" s="330">
        <v>204</v>
      </c>
    </row>
    <row r="163" spans="1:45" ht="31.5" thickBot="1" x14ac:dyDescent="0.65">
      <c r="A163" s="878"/>
      <c r="B163" s="739" t="s">
        <v>204</v>
      </c>
      <c r="C163" s="337" t="s">
        <v>206</v>
      </c>
      <c r="D163" s="437"/>
      <c r="E163" s="186"/>
      <c r="F163" s="186"/>
      <c r="G163" s="186"/>
      <c r="H163" s="186"/>
      <c r="I163" s="186"/>
      <c r="J163" s="438"/>
      <c r="K163" s="439"/>
      <c r="L163" s="438"/>
      <c r="M163" s="439"/>
      <c r="N163" s="438"/>
      <c r="O163" s="439"/>
      <c r="P163" s="438"/>
      <c r="Q163" s="439"/>
      <c r="R163" s="438"/>
      <c r="S163" s="439"/>
      <c r="T163" s="438"/>
      <c r="U163" s="439"/>
      <c r="V163" s="438"/>
      <c r="W163" s="439"/>
      <c r="X163" s="438"/>
      <c r="Y163" s="439"/>
      <c r="Z163" s="186"/>
      <c r="AA163" s="220"/>
      <c r="AB163" s="333"/>
      <c r="AC163" s="334"/>
      <c r="AD163" s="334"/>
      <c r="AE163" s="334"/>
      <c r="AF163" s="334"/>
      <c r="AG163" s="334"/>
      <c r="AH163" s="334"/>
      <c r="AI163" s="335"/>
      <c r="AJ163" s="435">
        <f t="shared" si="105"/>
        <v>0</v>
      </c>
      <c r="AK163" s="374"/>
      <c r="AL163" s="90"/>
      <c r="AM163" s="136"/>
      <c r="AN163" s="421"/>
      <c r="AO163" s="330">
        <v>205</v>
      </c>
    </row>
    <row r="164" spans="1:45" x14ac:dyDescent="0.6">
      <c r="A164" s="868" t="s">
        <v>717</v>
      </c>
      <c r="B164" s="720" t="s">
        <v>287</v>
      </c>
      <c r="C164" s="115" t="s">
        <v>138</v>
      </c>
      <c r="D164" s="247"/>
      <c r="E164" s="117"/>
      <c r="F164" s="117"/>
      <c r="G164" s="117"/>
      <c r="H164" s="117"/>
      <c r="I164" s="117"/>
      <c r="J164" s="117"/>
      <c r="K164" s="118"/>
      <c r="L164" s="117"/>
      <c r="M164" s="118"/>
      <c r="N164" s="117"/>
      <c r="O164" s="118"/>
      <c r="P164" s="117"/>
      <c r="Q164" s="118"/>
      <c r="R164" s="117"/>
      <c r="S164" s="118"/>
      <c r="T164" s="117"/>
      <c r="U164" s="118"/>
      <c r="V164" s="117"/>
      <c r="W164" s="118"/>
      <c r="X164" s="117"/>
      <c r="Y164" s="118"/>
      <c r="Z164" s="117"/>
      <c r="AA164" s="212"/>
      <c r="AB164" s="333"/>
      <c r="AC164" s="334"/>
      <c r="AD164" s="334"/>
      <c r="AE164" s="334"/>
      <c r="AF164" s="334"/>
      <c r="AG164" s="334"/>
      <c r="AH164" s="334"/>
      <c r="AI164" s="335"/>
      <c r="AJ164" s="436">
        <f t="shared" si="105"/>
        <v>0</v>
      </c>
      <c r="AK164" s="966" t="str">
        <f>CONCATENATE(IF(D165&gt;D164," * F06-08 for Age "&amp;D6&amp;" "&amp;D7&amp;" is more than F06-07"&amp;CHAR(10),""),IF(E165&gt;E164," * F06-08 for Age "&amp;D6&amp;" "&amp;E7&amp;" is more than F06-07"&amp;CHAR(10),""),IF(F165&gt;F164," * F06-08 for Age "&amp;F6&amp;" "&amp;F7&amp;" is more than F06-07"&amp;CHAR(10),""),IF(G165&gt;G164," * F06-08 for Age "&amp;F6&amp;" "&amp;G7&amp;" is more than F06-07"&amp;CHAR(10),""),IF(H165&gt;H164," * F06-08 for Age "&amp;H6&amp;" "&amp;H7&amp;" is more than F06-07"&amp;CHAR(10),""),IF(I165&gt;I164," * F06-08 for Age "&amp;H6&amp;" "&amp;I7&amp;" is more than F06-07"&amp;CHAR(10),""),IF(J165&gt;J164," * F06-08 for Age "&amp;J6&amp;" "&amp;J7&amp;" is more than F06-07"&amp;CHAR(10),""),IF(K165&gt;K164," * F06-08 for Age "&amp;J6&amp;" "&amp;K7&amp;" is more than F06-07"&amp;CHAR(10),""),IF(L165&gt;L164," * F06-08 for Age "&amp;L6&amp;" "&amp;L7&amp;" is more than F06-07"&amp;CHAR(10),""),IF(M165&gt;M164," * F06-08 for Age "&amp;L6&amp;" "&amp;M7&amp;" is more than F06-07"&amp;CHAR(10),""),IF(N165&gt;N164," * F06-08 for Age "&amp;N6&amp;" "&amp;N7&amp;" is more than F06-07"&amp;CHAR(10),""),IF(O165&gt;O164," * F06-08 for Age "&amp;N6&amp;" "&amp;O7&amp;" is more than F06-07"&amp;CHAR(10),""),IF(P165&gt;P164," * F06-08 for Age "&amp;P6&amp;" "&amp;P7&amp;" is more than F06-07"&amp;CHAR(10),""),IF(Q165&gt;Q164," * F06-08 for Age "&amp;P6&amp;" "&amp;Q7&amp;" is more than F06-07"&amp;CHAR(10),""),IF(R165&gt;R164," * F06-08 for Age "&amp;R6&amp;" "&amp;R7&amp;" is more than F06-07"&amp;CHAR(10),""),IF(S165&gt;S164," * F06-08 for Age "&amp;R6&amp;" "&amp;S7&amp;" is more than F06-07"&amp;CHAR(10),""),IF(T165&gt;T164," * F06-08 for Age "&amp;T6&amp;" "&amp;T7&amp;" is more than F06-07"&amp;CHAR(10),""),IF(U165&gt;U164," * F06-08 for Age "&amp;T6&amp;" "&amp;U7&amp;" is more than F06-07"&amp;CHAR(10),""),IF(V165&gt;V164," * F06-08 for Age "&amp;V6&amp;" "&amp;V7&amp;" is more than F06-07"&amp;CHAR(10),""),IF(W165&gt;W164," * F06-08 for Age "&amp;V6&amp;" "&amp;W7&amp;" is more than F06-07"&amp;CHAR(10),""),IF(X165&gt;X164," * F06-08 for Age "&amp;X6&amp;" "&amp;X7&amp;" is more than F06-07"&amp;CHAR(10),""),IF(Y165&gt;Y164," * F06-08 for Age "&amp;X6&amp;" "&amp;Y7&amp;" is more than F06-07"&amp;CHAR(10),""),IF(Z165&gt;Z164," * F06-08 for Age "&amp;Z6&amp;" "&amp;Z7&amp;" is more than F06-07"&amp;CHAR(10),""),IF(AA165&gt;AA164," * F06-08 for Age "&amp;Z6&amp;" "&amp;AA7&amp;" is more than F06-07"&amp;CHAR(10),""),IF(AJ165&gt;AJ164," * Total F06-08 is more than Total F06-07"&amp;CHAR(10),""))</f>
        <v/>
      </c>
      <c r="AL164" s="90"/>
      <c r="AM164" s="136"/>
      <c r="AN164" s="421"/>
      <c r="AO164" s="330">
        <v>206</v>
      </c>
    </row>
    <row r="165" spans="1:45" x14ac:dyDescent="0.6">
      <c r="A165" s="869"/>
      <c r="B165" s="760" t="s">
        <v>288</v>
      </c>
      <c r="C165" s="127" t="s">
        <v>139</v>
      </c>
      <c r="D165" s="141"/>
      <c r="E165" s="129"/>
      <c r="F165" s="129"/>
      <c r="G165" s="129"/>
      <c r="H165" s="129"/>
      <c r="I165" s="129"/>
      <c r="J165" s="129"/>
      <c r="K165" s="417"/>
      <c r="L165" s="418"/>
      <c r="M165" s="417"/>
      <c r="N165" s="418"/>
      <c r="O165" s="417"/>
      <c r="P165" s="418"/>
      <c r="Q165" s="417"/>
      <c r="R165" s="418"/>
      <c r="S165" s="417"/>
      <c r="T165" s="418"/>
      <c r="U165" s="417"/>
      <c r="V165" s="418"/>
      <c r="W165" s="417"/>
      <c r="X165" s="418"/>
      <c r="Y165" s="417"/>
      <c r="Z165" s="418"/>
      <c r="AA165" s="139"/>
      <c r="AB165" s="333"/>
      <c r="AC165" s="334"/>
      <c r="AD165" s="334"/>
      <c r="AE165" s="334"/>
      <c r="AF165" s="334"/>
      <c r="AG165" s="334"/>
      <c r="AH165" s="334"/>
      <c r="AI165" s="335"/>
      <c r="AJ165" s="419">
        <f t="shared" si="105"/>
        <v>0</v>
      </c>
      <c r="AK165" s="966"/>
      <c r="AL165" s="90"/>
      <c r="AM165" s="136"/>
      <c r="AN165" s="421"/>
      <c r="AO165" s="330">
        <v>207</v>
      </c>
    </row>
    <row r="166" spans="1:45" x14ac:dyDescent="0.6">
      <c r="A166" s="869"/>
      <c r="B166" s="716" t="s">
        <v>289</v>
      </c>
      <c r="C166" s="127" t="s">
        <v>272</v>
      </c>
      <c r="D166" s="141"/>
      <c r="E166" s="129"/>
      <c r="F166" s="129"/>
      <c r="G166" s="129"/>
      <c r="H166" s="129"/>
      <c r="I166" s="129"/>
      <c r="J166" s="129"/>
      <c r="K166" s="130"/>
      <c r="L166" s="129"/>
      <c r="M166" s="130"/>
      <c r="N166" s="129"/>
      <c r="O166" s="130"/>
      <c r="P166" s="129"/>
      <c r="Q166" s="130"/>
      <c r="R166" s="129"/>
      <c r="S166" s="130"/>
      <c r="T166" s="129"/>
      <c r="U166" s="130"/>
      <c r="V166" s="129"/>
      <c r="W166" s="130"/>
      <c r="X166" s="129"/>
      <c r="Y166" s="130"/>
      <c r="Z166" s="129"/>
      <c r="AA166" s="139"/>
      <c r="AB166" s="333"/>
      <c r="AC166" s="334"/>
      <c r="AD166" s="334"/>
      <c r="AE166" s="334"/>
      <c r="AF166" s="334"/>
      <c r="AG166" s="334"/>
      <c r="AH166" s="334"/>
      <c r="AI166" s="335"/>
      <c r="AJ166" s="419">
        <f t="shared" si="105"/>
        <v>0</v>
      </c>
      <c r="AK166" s="174" t="str">
        <f>CONCATENATE(IF(D167&gt;D166," * Retesting at L&amp;D For age "&amp;$D$6&amp;" "&amp;$D$7&amp;" is less than  than Retesting positive result at L&amp;D"&amp;CHAR(10),""),IF(E167&gt;E166," * Retesting at L&amp;D For age "&amp;$D$6&amp;" "&amp;$E$7&amp;" is less than  than Retesting positive result at L&amp;D"&amp;CHAR(10),""),IF(F167&gt;F166," * Retesting at L&amp;D For age "&amp;$F$6&amp;" "&amp;$F$7&amp;" is less than  than Retesting positive result at L&amp;D"&amp;CHAR(10),""),IF(G167&gt;G166," * Retesting at L&amp;D For age "&amp;$F$6&amp;" "&amp;$G$7&amp;" is less than  than Retesting positive result at L&amp;D"&amp;CHAR(10),""),IF(H167&gt;H166," * Retesting at L&amp;D For age "&amp;$H$6&amp;" "&amp;$H$7&amp;" is less than  than Retesting positive result at L&amp;D"&amp;CHAR(10),""),IF(I167&gt;I166," * Retesting at L&amp;D For age "&amp;$H$6&amp;" "&amp;$I$7&amp;" is less than  than Retesting positive result at L&amp;D"&amp;CHAR(10),""),IF(J167&gt;J166," * Retesting at L&amp;D For age "&amp;$J$6&amp;" "&amp;$J$7&amp;" is less than  than Retesting positive result at L&amp;D"&amp;CHAR(10),""),IF(K167&gt;K166," * Retesting at L&amp;D For age "&amp;$J$6&amp;" "&amp;$K$7&amp;" is less than  than Retesting positive result at L&amp;D"&amp;CHAR(10),""),IF(L167&gt;L166," * Retesting at L&amp;D For age "&amp;$L$6&amp;" "&amp;$L$7&amp;" is less than  than Retesting positive result at L&amp;D"&amp;CHAR(10),""),IF(M167&gt;M166," * Retesting at L&amp;D For age "&amp;$L$6&amp;" "&amp;$M$7&amp;" is less than  than Retesting positive result at L&amp;D"&amp;CHAR(10),""),IF(N167&gt;N166," * Retesting at L&amp;D For age "&amp;$N$6&amp;" "&amp;$N$7&amp;" is less than  than Retesting positive result at L&amp;D"&amp;CHAR(10),""),IF(O167&gt;O166," * Retesting at L&amp;D For age "&amp;$N$6&amp;" "&amp;$O$7&amp;" is less than  than Retesting positive result at L&amp;D"&amp;CHAR(10),""),IF(P167&gt;P166," * Retesting at L&amp;D For age "&amp;$P$6&amp;" "&amp;$P$7&amp;" is less than  than Retesting positive result at L&amp;D"&amp;CHAR(10),""),IF(Q167&gt;Q166," * Retesting at L&amp;D For age "&amp;$P$6&amp;" "&amp;$Q$7&amp;" is less than  than Retesting positive result at L&amp;D"&amp;CHAR(10),""),IF(R167&gt;R166," * Retesting at L&amp;D For age "&amp;$R$6&amp;" "&amp;$R$7&amp;" is less than  than Retesting positive result at L&amp;D"&amp;CHAR(10),""),IF(S167&gt;S166," * Retesting at L&amp;D For age "&amp;$R$6&amp;" "&amp;$S$7&amp;" is less than  than Retesting positive result at L&amp;D"&amp;CHAR(10),""),IF(T167&gt;T166," * Retesting at L&amp;D For age "&amp;$T$6&amp;" "&amp;$T$7&amp;" is less than  than Retesting positive result at L&amp;D"&amp;CHAR(10),""),IF(U167&gt;U166," * Retesting at L&amp;D For age "&amp;$T$6&amp;" "&amp;$U$7&amp;" is less than  than Retesting positive result at L&amp;D"&amp;CHAR(10),""),IF(V167&gt;V166," * Retesting at L&amp;D For age "&amp;$V$6&amp;" "&amp;$V$7&amp;" is less than  than Retesting positive result at L&amp;D"&amp;CHAR(10),""),IF(W167&gt;W166," * Retesting at L&amp;D For age "&amp;$V$6&amp;" "&amp;$W$7&amp;" is less than  than Retesting positive result at L&amp;D"&amp;CHAR(10),""),IF(X167&gt;X166," * Retesting at L&amp;D For age "&amp;$X$6&amp;" "&amp;$X$7&amp;" is less than  than Retesting positive result at L&amp;D"&amp;CHAR(10),""),IF(Y167&gt;Y166," * Retesting at L&amp;D For age "&amp;$X$6&amp;" "&amp;$Y$7&amp;" is less than  than Retesting positive result at L&amp;D"&amp;CHAR(10),""),IF(Z167&gt;Z166," * Retesting at L&amp;D For age "&amp;$Z$6&amp;" "&amp;$Z$7&amp;" is less than  than Retesting positive result at L&amp;D"&amp;CHAR(10),""),IF(AA167&gt;AA166," * Retesting at L&amp;D For age "&amp;$Z$6&amp;" "&amp;$AA$7&amp;" is less than  than Retesting positive result at L&amp;D"&amp;CHAR(10),""))</f>
        <v/>
      </c>
      <c r="AL166" s="90"/>
      <c r="AM166" s="136"/>
      <c r="AN166" s="421"/>
      <c r="AO166" s="330">
        <v>208</v>
      </c>
    </row>
    <row r="167" spans="1:45" ht="31.5" thickBot="1" x14ac:dyDescent="0.65">
      <c r="A167" s="870"/>
      <c r="B167" s="739" t="s">
        <v>290</v>
      </c>
      <c r="C167" s="337" t="s">
        <v>273</v>
      </c>
      <c r="D167" s="437"/>
      <c r="E167" s="186"/>
      <c r="F167" s="186"/>
      <c r="G167" s="186"/>
      <c r="H167" s="186"/>
      <c r="I167" s="186"/>
      <c r="J167" s="186"/>
      <c r="K167" s="439"/>
      <c r="L167" s="438"/>
      <c r="M167" s="439"/>
      <c r="N167" s="438"/>
      <c r="O167" s="439"/>
      <c r="P167" s="438"/>
      <c r="Q167" s="439"/>
      <c r="R167" s="438"/>
      <c r="S167" s="439"/>
      <c r="T167" s="438"/>
      <c r="U167" s="439"/>
      <c r="V167" s="438"/>
      <c r="W167" s="439"/>
      <c r="X167" s="438"/>
      <c r="Y167" s="439"/>
      <c r="Z167" s="438"/>
      <c r="AA167" s="220"/>
      <c r="AB167" s="333"/>
      <c r="AC167" s="334"/>
      <c r="AD167" s="334"/>
      <c r="AE167" s="334"/>
      <c r="AF167" s="334"/>
      <c r="AG167" s="334"/>
      <c r="AH167" s="334"/>
      <c r="AI167" s="335"/>
      <c r="AJ167" s="419">
        <f t="shared" si="105"/>
        <v>0</v>
      </c>
      <c r="AK167" s="349"/>
      <c r="AL167" s="90"/>
      <c r="AM167" s="136"/>
      <c r="AN167" s="421"/>
      <c r="AO167" s="330">
        <v>209</v>
      </c>
    </row>
    <row r="168" spans="1:45" x14ac:dyDescent="0.6">
      <c r="A168" s="864" t="s">
        <v>718</v>
      </c>
      <c r="B168" s="720" t="s">
        <v>291</v>
      </c>
      <c r="C168" s="115" t="s">
        <v>113</v>
      </c>
      <c r="D168" s="247"/>
      <c r="E168" s="117"/>
      <c r="F168" s="117"/>
      <c r="G168" s="117"/>
      <c r="H168" s="117"/>
      <c r="I168" s="117"/>
      <c r="J168" s="117"/>
      <c r="K168" s="118"/>
      <c r="L168" s="117"/>
      <c r="M168" s="118"/>
      <c r="N168" s="117"/>
      <c r="O168" s="118"/>
      <c r="P168" s="117"/>
      <c r="Q168" s="118"/>
      <c r="R168" s="117"/>
      <c r="S168" s="118"/>
      <c r="T168" s="117"/>
      <c r="U168" s="118"/>
      <c r="V168" s="117"/>
      <c r="W168" s="118"/>
      <c r="X168" s="117"/>
      <c r="Y168" s="118"/>
      <c r="Z168" s="117"/>
      <c r="AA168" s="212"/>
      <c r="AB168" s="333"/>
      <c r="AC168" s="334"/>
      <c r="AD168" s="334"/>
      <c r="AE168" s="334"/>
      <c r="AF168" s="334"/>
      <c r="AG168" s="334"/>
      <c r="AH168" s="334"/>
      <c r="AI168" s="335"/>
      <c r="AJ168" s="436">
        <f t="shared" si="105"/>
        <v>0</v>
      </c>
      <c r="AK168" s="966" t="str">
        <f>CONCATENATE(IF(D169&gt;D168," * Positive at PNC &lt;=6wks for Age "&amp;D6&amp;" "&amp;D7&amp;" is more than Initial test at PNC &lt;= 6wks"&amp;CHAR(10),""),IF(E169&gt;E168," * Positive at PNC &lt;=6wks for Age "&amp;D6&amp;" "&amp;E7&amp;" is more than Initial test at PNC &lt;= 6wks"&amp;CHAR(10),""),IF(F169&gt;F168," * Positive at PNC &lt;=6wks for Age "&amp;F6&amp;" "&amp;F7&amp;" is more than Initial test at PNC &lt;= 6wks"&amp;CHAR(10),""),IF(G169&gt;G168," * Positive at PNC &lt;=6wks for Age "&amp;F6&amp;" "&amp;G7&amp;" is more than Initial test at PNC &lt;= 6wks"&amp;CHAR(10),""),IF(H169&gt;H168," * Positive at PNC &lt;=6wks for Age "&amp;H6&amp;" "&amp;H7&amp;" is more than Initial test at PNC &lt;= 6wks"&amp;CHAR(10),""),IF(I169&gt;I168," * Positive at PNC &lt;=6wks for Age "&amp;H6&amp;" "&amp;I7&amp;" is more than Initial test at PNC &lt;= 6wks"&amp;CHAR(10),""),IF(J169&gt;J168," * Positive at PNC &lt;=6wks for Age "&amp;J6&amp;" "&amp;J7&amp;" is more than Initial test at PNC &lt;= 6wks"&amp;CHAR(10),""),IF(K169&gt;K168," * Positive at PNC &lt;=6wks for Age "&amp;J6&amp;" "&amp;K7&amp;" is more than Initial test at PNC &lt;= 6wks"&amp;CHAR(10),""),IF(L169&gt;L168," * Positive at PNC &lt;=6wks for Age "&amp;L6&amp;" "&amp;L7&amp;" is more than Initial test at PNC &lt;= 6wks"&amp;CHAR(10),""),IF(M169&gt;M168," * Positive at PNC &lt;=6wks for Age "&amp;L6&amp;" "&amp;M7&amp;" is more than Initial test at PNC &lt;= 6wks"&amp;CHAR(10),""),IF(N169&gt;N168," * Positive at PNC &lt;=6wks for Age "&amp;N6&amp;" "&amp;N7&amp;" is more than Initial test at PNC &lt;= 6wks"&amp;CHAR(10),""),IF(O169&gt;O168," * Positive at PNC &lt;=6wks for Age "&amp;N6&amp;" "&amp;O7&amp;" is more than Initial test at PNC &lt;= 6wks"&amp;CHAR(10),""),IF(P169&gt;P168," * Positive at PNC &lt;=6wks for Age "&amp;P6&amp;" "&amp;P7&amp;" is more than Initial test at PNC &lt;= 6wks"&amp;CHAR(10),""),IF(Q169&gt;Q168," * Positive at PNC &lt;=6wks for Age "&amp;P6&amp;" "&amp;Q7&amp;" is more than Initial test at PNC &lt;= 6wks"&amp;CHAR(10),""),IF(R169&gt;R168," * Positive at PNC &lt;=6wks for Age "&amp;R6&amp;" "&amp;R7&amp;" is more than Initial test at PNC &lt;= 6wks"&amp;CHAR(10),""),IF(S169&gt;S168," * Positive at PNC &lt;=6wks for Age "&amp;R6&amp;" "&amp;S7&amp;" is more than Initial test at PNC &lt;= 6wks"&amp;CHAR(10),""),IF(T169&gt;T168," * Positive at PNC &lt;=6wks for Age "&amp;T6&amp;" "&amp;T7&amp;" is more than Initial test at PNC &lt;= 6wks"&amp;CHAR(10),""),IF(U169&gt;U168," * Positive at PNC &lt;=6wks for Age "&amp;T6&amp;" "&amp;U7&amp;" is more than Initial test at PNC &lt;= 6wks"&amp;CHAR(10),""),IF(V169&gt;V168," * Positive at PNC &lt;=6wks for Age "&amp;V6&amp;" "&amp;V7&amp;" is more than Initial test at PNC &lt;= 6wks"&amp;CHAR(10),""),IF(W169&gt;W168," * Positive at PNC &lt;=6wks for Age "&amp;V6&amp;" "&amp;W7&amp;" is more than Initial test at PNC &lt;= 6wks"&amp;CHAR(10),""),IF(X169&gt;X168," * Positive at PNC &lt;=6wks for Age "&amp;X6&amp;" "&amp;X7&amp;" is more than Initial test at PNC &lt;= 6wks"&amp;CHAR(10),""),IF(Y169&gt;Y168," * Positive at PNC &lt;=6wks for Age "&amp;X6&amp;" "&amp;Y7&amp;" is more than Initial test at PNC &lt;= 6wks"&amp;CHAR(10),""),IF(Z169&gt;Z168," * Positive at PNC &lt;=6wks for Age "&amp;Z6&amp;" "&amp;Z7&amp;" is more than Initial test at PNC &lt;= 6wks"&amp;CHAR(10),""),IF(AA169&gt;AA168," * Positive at PNC &lt;=6wks for Age "&amp;Z6&amp;" "&amp;AA7&amp;" is more than Initial test at PNC &lt;= 6wks"&amp;CHAR(10),""))</f>
        <v/>
      </c>
      <c r="AL168" s="90"/>
      <c r="AM168" s="136"/>
      <c r="AN168" s="421"/>
      <c r="AO168" s="330">
        <v>210</v>
      </c>
    </row>
    <row r="169" spans="1:45" x14ac:dyDescent="0.6">
      <c r="A169" s="865"/>
      <c r="B169" s="760" t="s">
        <v>292</v>
      </c>
      <c r="C169" s="127" t="s">
        <v>114</v>
      </c>
      <c r="D169" s="440"/>
      <c r="E169" s="441"/>
      <c r="F169" s="441"/>
      <c r="G169" s="441"/>
      <c r="H169" s="441"/>
      <c r="I169" s="441"/>
      <c r="J169" s="418"/>
      <c r="K169" s="417"/>
      <c r="L169" s="418"/>
      <c r="M169" s="417"/>
      <c r="N169" s="418"/>
      <c r="O169" s="417"/>
      <c r="P169" s="418"/>
      <c r="Q169" s="417"/>
      <c r="R169" s="418"/>
      <c r="S169" s="417"/>
      <c r="T169" s="418"/>
      <c r="U169" s="417"/>
      <c r="V169" s="418"/>
      <c r="W169" s="417"/>
      <c r="X169" s="418"/>
      <c r="Y169" s="417"/>
      <c r="Z169" s="418"/>
      <c r="AA169" s="139"/>
      <c r="AB169" s="333"/>
      <c r="AC169" s="334"/>
      <c r="AD169" s="334"/>
      <c r="AE169" s="334"/>
      <c r="AF169" s="334"/>
      <c r="AG169" s="334"/>
      <c r="AH169" s="334"/>
      <c r="AI169" s="335"/>
      <c r="AJ169" s="419">
        <f t="shared" si="105"/>
        <v>0</v>
      </c>
      <c r="AK169" s="966"/>
      <c r="AL169" s="90"/>
      <c r="AM169" s="136"/>
      <c r="AN169" s="421"/>
      <c r="AO169" s="330">
        <v>211</v>
      </c>
    </row>
    <row r="170" spans="1:45" s="7" customFormat="1" x14ac:dyDescent="0.6">
      <c r="A170" s="865"/>
      <c r="B170" s="716" t="s">
        <v>207</v>
      </c>
      <c r="C170" s="127" t="s">
        <v>209</v>
      </c>
      <c r="D170" s="141"/>
      <c r="E170" s="129"/>
      <c r="F170" s="129"/>
      <c r="G170" s="129"/>
      <c r="H170" s="129"/>
      <c r="I170" s="129"/>
      <c r="J170" s="129"/>
      <c r="K170" s="130"/>
      <c r="L170" s="129"/>
      <c r="M170" s="130"/>
      <c r="N170" s="129"/>
      <c r="O170" s="130"/>
      <c r="P170" s="129"/>
      <c r="Q170" s="130"/>
      <c r="R170" s="129"/>
      <c r="S170" s="130"/>
      <c r="T170" s="129"/>
      <c r="U170" s="130"/>
      <c r="V170" s="129"/>
      <c r="W170" s="130"/>
      <c r="X170" s="129"/>
      <c r="Y170" s="130"/>
      <c r="Z170" s="129"/>
      <c r="AA170" s="139"/>
      <c r="AB170" s="333"/>
      <c r="AC170" s="334"/>
      <c r="AD170" s="334"/>
      <c r="AE170" s="334"/>
      <c r="AF170" s="334"/>
      <c r="AG170" s="334"/>
      <c r="AH170" s="334"/>
      <c r="AI170" s="335"/>
      <c r="AJ170" s="419">
        <f t="shared" si="105"/>
        <v>0</v>
      </c>
      <c r="AK170" s="174" t="str">
        <f>CONCATENATE(IF(D171&gt;D170," * Retesting at PNC &lt; = 6 weeks For age "&amp;$D$6&amp;" "&amp;$D$7&amp;" is less than  than Retesting positive result at PNC &lt; = 6 weeks"&amp;CHAR(10),""),IF(E171&gt;E170," * Retesting at PNC &lt; = 6 weeks For age "&amp;$D$6&amp;" "&amp;$E$7&amp;" is less than  than Retesting positive result at PNC &lt; = 6 weeks"&amp;CHAR(10),""),IF(F171&gt;F170," * Retesting at PNC &lt; = 6 weeks For age "&amp;$F$6&amp;" "&amp;$F$7&amp;" is less than  than Retesting positive result at PNC &lt; = 6 weeks"&amp;CHAR(10),""),IF(G171&gt;G170," * Retesting at PNC &lt; = 6 weeks For age "&amp;$F$6&amp;" "&amp;$G$7&amp;" is less than  than Retesting positive result at PNC &lt; = 6 weeks"&amp;CHAR(10),""),IF(H171&gt;H170," * Retesting at PNC &lt; = 6 weeks For age "&amp;$H$6&amp;" "&amp;$H$7&amp;" is less than  than Retesting positive result at PNC &lt; = 6 weeks"&amp;CHAR(10),""),IF(I171&gt;I170," * Retesting at PNC &lt; = 6 weeks For age "&amp;$H$6&amp;" "&amp;$I$7&amp;" is less than  than Retesting positive result at PNC &lt; = 6 weeks"&amp;CHAR(10),""),IF(J171&gt;J170," * Retesting at PNC &lt; = 6 weeks For age "&amp;$J$6&amp;" "&amp;$J$7&amp;" is less than  than Retesting positive result at PNC &lt; = 6 weeks"&amp;CHAR(10),""),IF(K171&gt;K170," * Retesting at PNC &lt; = 6 weeks For age "&amp;$J$6&amp;" "&amp;$K$7&amp;" is less than  than Retesting positive result at PNC &lt; = 6 weeks"&amp;CHAR(10),""),IF(L171&gt;L170," * Retesting at PNC &lt; = 6 weeks For age "&amp;$L$6&amp;" "&amp;$L$7&amp;" is less than  than Retesting positive result at PNC &lt; = 6 weeks"&amp;CHAR(10),""),IF(M171&gt;M170," * Retesting at PNC &lt; = 6 weeks For age "&amp;$L$6&amp;" "&amp;$M$7&amp;" is less than  than Retesting positive result at PNC &lt; = 6 weeks"&amp;CHAR(10),""),IF(N171&gt;N170," * Retesting at PNC &lt; = 6 weeks For age "&amp;$N$6&amp;" "&amp;$N$7&amp;" is less than  than Retesting positive result at PNC &lt; = 6 weeks"&amp;CHAR(10),""),IF(O171&gt;O170," * Retesting at PNC &lt; = 6 weeks For age "&amp;$N$6&amp;" "&amp;$O$7&amp;" is less than  than Retesting positive result at PNC &lt; = 6 weeks"&amp;CHAR(10),""),IF(P171&gt;P170," * Retesting at PNC &lt; = 6 weeks For age "&amp;$P$6&amp;" "&amp;$P$7&amp;" is less than  than Retesting positive result at PNC &lt; = 6 weeks"&amp;CHAR(10),""),IF(Q171&gt;Q170," * Retesting at PNC &lt; = 6 weeks For age "&amp;$P$6&amp;" "&amp;$Q$7&amp;" is less than  than Retesting positive result at PNC &lt; = 6 weeks"&amp;CHAR(10),""),IF(R171&gt;R170," * Retesting at PNC &lt; = 6 weeks For age "&amp;$R$6&amp;" "&amp;$R$7&amp;" is less than  than Retesting positive result at PNC &lt; = 6 weeks"&amp;CHAR(10),""),IF(S171&gt;S170," * Retesting at PNC &lt; = 6 weeks For age "&amp;$R$6&amp;" "&amp;$S$7&amp;" is less than  than Retesting positive result at PNC &lt; = 6 weeks"&amp;CHAR(10),""),IF(T171&gt;T170," * Retesting at PNC &lt; = 6 weeks For age "&amp;$T$6&amp;" "&amp;$T$7&amp;" is less than  than Retesting positive result at PNC &lt; = 6 weeks"&amp;CHAR(10),""),IF(U171&gt;U170," * Retesting at PNC &lt; = 6 weeks For age "&amp;$T$6&amp;" "&amp;$U$7&amp;" is less than  than Retesting positive result at PNC &lt; = 6 weeks"&amp;CHAR(10),""),IF(V171&gt;V170," * Retesting at PNC &lt; = 6 weeks For age "&amp;$V$6&amp;" "&amp;$V$7&amp;" is less than  than Retesting positive result at PNC &lt; = 6 weeks"&amp;CHAR(10),""),IF(W171&gt;W170," * Retesting at PNC &lt; = 6 weeks For age "&amp;$V$6&amp;" "&amp;$W$7&amp;" is less than  than Retesting positive result at PNC &lt; = 6 weeks"&amp;CHAR(10),""),IF(X171&gt;X170," * Retesting at PNC &lt; = 6 weeks For age "&amp;$X$6&amp;" "&amp;$X$7&amp;" is less than  than Retesting positive result at PNC &lt; = 6 weeks"&amp;CHAR(10),""),IF(Y171&gt;Y170," * Retesting at PNC &lt; = 6 weeks For age "&amp;$X$6&amp;" "&amp;$Y$7&amp;" is less than  than Retesting positive result at PNC &lt; = 6 weeks"&amp;CHAR(10),""),IF(Z171&gt;Z170," * Retesting at PNC &lt; = 6 weeks For age "&amp;$Z$6&amp;" "&amp;$Z$7&amp;" is less than  than Retesting positive result at PNC &lt; = 6 weeks"&amp;CHAR(10),""),IF(AA171&gt;AA170," * Retesting at PNC &lt; = 6 weeks For age "&amp;$Z$6&amp;" "&amp;$AA$7&amp;" is less than  than Retesting positive result at PNC &lt; = 6 weeks"&amp;CHAR(10),""))</f>
        <v/>
      </c>
      <c r="AL170" s="90"/>
      <c r="AM170" s="138"/>
      <c r="AN170" s="421"/>
      <c r="AO170" s="330">
        <v>212</v>
      </c>
      <c r="AQ170" s="1046"/>
      <c r="AR170" s="1046"/>
      <c r="AS170" s="1046"/>
    </row>
    <row r="171" spans="1:45" ht="31.5" thickBot="1" x14ac:dyDescent="0.65">
      <c r="A171" s="865"/>
      <c r="B171" s="761" t="s">
        <v>208</v>
      </c>
      <c r="C171" s="353" t="s">
        <v>210</v>
      </c>
      <c r="D171" s="262"/>
      <c r="E171" s="209"/>
      <c r="F171" s="209"/>
      <c r="G171" s="209"/>
      <c r="H171" s="442"/>
      <c r="I171" s="442"/>
      <c r="J171" s="442"/>
      <c r="K171" s="422"/>
      <c r="L171" s="442"/>
      <c r="M171" s="422"/>
      <c r="N171" s="442"/>
      <c r="O171" s="422"/>
      <c r="P171" s="442"/>
      <c r="Q171" s="422"/>
      <c r="R171" s="442"/>
      <c r="S171" s="422"/>
      <c r="T171" s="442"/>
      <c r="U171" s="422"/>
      <c r="V171" s="442"/>
      <c r="W171" s="422"/>
      <c r="X171" s="442"/>
      <c r="Y171" s="422"/>
      <c r="Z171" s="442"/>
      <c r="AA171" s="443"/>
      <c r="AB171" s="333"/>
      <c r="AC171" s="334"/>
      <c r="AD171" s="334"/>
      <c r="AE171" s="334"/>
      <c r="AF171" s="334"/>
      <c r="AG171" s="334"/>
      <c r="AH171" s="334"/>
      <c r="AI171" s="335"/>
      <c r="AJ171" s="419">
        <f t="shared" si="105"/>
        <v>0</v>
      </c>
      <c r="AK171" s="349"/>
      <c r="AL171" s="90"/>
      <c r="AM171" s="136"/>
      <c r="AN171" s="421"/>
      <c r="AO171" s="330">
        <v>213</v>
      </c>
    </row>
    <row r="172" spans="1:45" x14ac:dyDescent="0.6">
      <c r="A172" s="866"/>
      <c r="B172" s="747" t="s">
        <v>512</v>
      </c>
      <c r="C172" s="115" t="s">
        <v>211</v>
      </c>
      <c r="D172" s="247"/>
      <c r="E172" s="117"/>
      <c r="F172" s="117"/>
      <c r="G172" s="117"/>
      <c r="H172" s="117"/>
      <c r="I172" s="117"/>
      <c r="J172" s="117"/>
      <c r="K172" s="118"/>
      <c r="L172" s="117"/>
      <c r="M172" s="118"/>
      <c r="N172" s="117"/>
      <c r="O172" s="118"/>
      <c r="P172" s="117"/>
      <c r="Q172" s="118"/>
      <c r="R172" s="117"/>
      <c r="S172" s="118"/>
      <c r="T172" s="117"/>
      <c r="U172" s="118"/>
      <c r="V172" s="117"/>
      <c r="W172" s="118"/>
      <c r="X172" s="117"/>
      <c r="Y172" s="118"/>
      <c r="Z172" s="117"/>
      <c r="AA172" s="344"/>
      <c r="AB172" s="333"/>
      <c r="AC172" s="334"/>
      <c r="AD172" s="334"/>
      <c r="AE172" s="334"/>
      <c r="AF172" s="334"/>
      <c r="AG172" s="334"/>
      <c r="AH172" s="334"/>
      <c r="AI172" s="335"/>
      <c r="AJ172" s="419">
        <f t="shared" si="105"/>
        <v>0</v>
      </c>
      <c r="AK172" s="174" t="str">
        <f>CONCATENATE(IF(D173&gt;D172," * Testing at PNC &gt; 6 weeks For age "&amp;$D$6&amp;" "&amp;$D$7&amp;" is less than Positive result at PNC &gt; 6 weeks"&amp;CHAR(10),""),IF(E173&gt;E172," * Testing at PNC &gt; 6 weeks For age "&amp;$D$6&amp;" "&amp;$E$7&amp;" is less than Positive result at PNC &gt; 6 weeks"&amp;CHAR(10),""),IF(F173&gt;F172," * Testing at PNC &gt; 6 weeks For age "&amp;$F$6&amp;" "&amp;$F$7&amp;" is less than Positive result at PNC &gt; 6 weeks"&amp;CHAR(10),""),IF(G173&gt;G172," * Testing at PNC &gt; 6 weeks For age "&amp;$F$6&amp;" "&amp;$G$7&amp;" is less than Positive result at PNC &gt; 6 weeks"&amp;CHAR(10),""),IF(H173&gt;H172," * Testing at PNC &gt; 6 weeks For age "&amp;$H$6&amp;" "&amp;$H$7&amp;" is less than Positive result at PNC &gt; 6 weeks"&amp;CHAR(10),""),IF(I173&gt;I172," * Testing at PNC &gt; 6 weeks For age "&amp;$H$6&amp;" "&amp;$I$7&amp;" is less than Positive result at PNC &gt; 6 weeks"&amp;CHAR(10),""),IF(J173&gt;J172," * Testing at PNC &gt; 6 weeks For age "&amp;$J$6&amp;" "&amp;$J$7&amp;" is less than Positive result at PNC &gt; 6 weeks"&amp;CHAR(10),""),IF(K173&gt;K172," * Testing at PNC &gt; 6 weeks For age "&amp;$J$6&amp;" "&amp;$K$7&amp;" is less than Positive result at PNC &gt; 6 weeks"&amp;CHAR(10),""),IF(L173&gt;L172," * Testing at PNC &gt; 6 weeks For age "&amp;$L$6&amp;" "&amp;$L$7&amp;" is less than Positive result at PNC &gt; 6 weeks"&amp;CHAR(10),""),IF(M173&gt;M172," * Testing at PNC &gt; 6 weeks For age "&amp;$L$6&amp;" "&amp;$M$7&amp;" is less than Positive result at PNC &gt; 6 weeks"&amp;CHAR(10),""),IF(N173&gt;N172," * Testing at PNC &gt; 6 weeks For age "&amp;$N$6&amp;" "&amp;$N$7&amp;" is less than Positive result at PNC &gt; 6 weeks"&amp;CHAR(10),""),IF(O173&gt;O172," * Testing at PNC &gt; 6 weeks For age "&amp;$N$6&amp;" "&amp;$O$7&amp;" is less than Positive result at PNC &gt; 6 weeks"&amp;CHAR(10),""),IF(P173&gt;P172," * Testing at PNC &gt; 6 weeks For age "&amp;$P$6&amp;" "&amp;$P$7&amp;" is less than Positive result at PNC &gt; 6 weeks"&amp;CHAR(10),""),IF(Q173&gt;Q172," * Testing at PNC &gt; 6 weeks For age "&amp;$P$6&amp;" "&amp;$Q$7&amp;" is less than Positive result at PNC &gt; 6 weeks"&amp;CHAR(10),""),IF(R173&gt;R172," * Testing at PNC &gt; 6 weeks For age "&amp;$R$6&amp;" "&amp;$R$7&amp;" is less than Positive result at PNC &gt; 6 weeks"&amp;CHAR(10),""),IF(S173&gt;S172," * Testing at PNC &gt; 6 weeks For age "&amp;$R$6&amp;" "&amp;$S$7&amp;" is less than Positive result at PNC &gt; 6 weeks"&amp;CHAR(10),""),IF(T173&gt;T172," * Testing at PNC &gt; 6 weeks For age "&amp;$T$6&amp;" "&amp;$T$7&amp;" is less than Positive result at PNC &gt; 6 weeks"&amp;CHAR(10),""),IF(U173&gt;U172," * Testing at PNC &gt; 6 weeks For age "&amp;$T$6&amp;" "&amp;$U$7&amp;" is less than Positive result at PNC &gt; 6 weeks"&amp;CHAR(10),""),IF(V173&gt;V172," * Testing at PNC &gt; 6 weeks For age "&amp;$V$6&amp;" "&amp;$V$7&amp;" is less than Positive result at PNC &gt; 6 weeks"&amp;CHAR(10),""),IF(W173&gt;W172," * Testing at PNC &gt; 6 weeks For age "&amp;$V$6&amp;" "&amp;$W$7&amp;" is less than Positive result at PNC &gt; 6 weeks"&amp;CHAR(10),""),IF(X173&gt;X172," * Testing at PNC &gt; 6 weeks For age "&amp;$X$6&amp;" "&amp;$X$7&amp;" is less than Positive result at PNC &gt; 6 weeks"&amp;CHAR(10),""),IF(Y173&gt;Y172," * Testing at PNC &gt; 6 weeks For age "&amp;$X$6&amp;" "&amp;$Y$7&amp;" is less than Positive result at PNC &gt; 6 weeks"&amp;CHAR(10),""),IF(Z173&gt;Z172," * Testing at PNC &gt; 6 weeks For age "&amp;$Z$6&amp;" "&amp;$Z$7&amp;" is less than Positive result at PNC &gt; 6 weeks"&amp;CHAR(10),""),IF(AA173&gt;AA172," * Testing at PNC &gt; 6 weeks For age "&amp;$Z$6&amp;" "&amp;$AA$7&amp;" is less than Positive result at PNC &gt; 6 weeks"&amp;CHAR(10),""))</f>
        <v/>
      </c>
      <c r="AL172" s="90"/>
      <c r="AM172" s="136"/>
      <c r="AN172" s="421"/>
      <c r="AO172" s="330">
        <v>214</v>
      </c>
    </row>
    <row r="173" spans="1:45" ht="31.5" thickBot="1" x14ac:dyDescent="0.65">
      <c r="A173" s="866"/>
      <c r="B173" s="762" t="s">
        <v>452</v>
      </c>
      <c r="C173" s="337" t="s">
        <v>212</v>
      </c>
      <c r="D173" s="437"/>
      <c r="E173" s="186"/>
      <c r="F173" s="186"/>
      <c r="G173" s="186"/>
      <c r="H173" s="438"/>
      <c r="I173" s="438"/>
      <c r="J173" s="438"/>
      <c r="K173" s="439"/>
      <c r="L173" s="438"/>
      <c r="M173" s="439"/>
      <c r="N173" s="438"/>
      <c r="O173" s="439"/>
      <c r="P173" s="438"/>
      <c r="Q173" s="439"/>
      <c r="R173" s="438"/>
      <c r="S173" s="439"/>
      <c r="T173" s="438"/>
      <c r="U173" s="439"/>
      <c r="V173" s="438"/>
      <c r="W173" s="439"/>
      <c r="X173" s="438"/>
      <c r="Y173" s="439"/>
      <c r="Z173" s="438"/>
      <c r="AA173" s="444"/>
      <c r="AB173" s="445"/>
      <c r="AC173" s="446"/>
      <c r="AD173" s="446"/>
      <c r="AE173" s="446"/>
      <c r="AF173" s="446"/>
      <c r="AG173" s="446"/>
      <c r="AH173" s="446"/>
      <c r="AI173" s="447"/>
      <c r="AJ173" s="435">
        <f t="shared" si="105"/>
        <v>0</v>
      </c>
      <c r="AK173" s="349"/>
      <c r="AL173" s="90"/>
      <c r="AM173" s="136"/>
      <c r="AN173" s="421"/>
      <c r="AO173" s="330">
        <v>215</v>
      </c>
    </row>
    <row r="174" spans="1:45" x14ac:dyDescent="0.6">
      <c r="A174" s="866"/>
      <c r="B174" s="743" t="s">
        <v>453</v>
      </c>
      <c r="C174" s="127" t="s">
        <v>455</v>
      </c>
      <c r="D174" s="141"/>
      <c r="E174" s="129"/>
      <c r="F174" s="129"/>
      <c r="G174" s="129"/>
      <c r="H174" s="129"/>
      <c r="I174" s="129"/>
      <c r="J174" s="129"/>
      <c r="K174" s="130"/>
      <c r="L174" s="129"/>
      <c r="M174" s="130"/>
      <c r="N174" s="129"/>
      <c r="O174" s="130"/>
      <c r="P174" s="129"/>
      <c r="Q174" s="130"/>
      <c r="R174" s="129"/>
      <c r="S174" s="130"/>
      <c r="T174" s="129"/>
      <c r="U174" s="130"/>
      <c r="V174" s="129"/>
      <c r="W174" s="130"/>
      <c r="X174" s="129"/>
      <c r="Y174" s="130"/>
      <c r="Z174" s="129"/>
      <c r="AA174" s="140"/>
      <c r="AB174" s="333"/>
      <c r="AC174" s="334"/>
      <c r="AD174" s="334"/>
      <c r="AE174" s="334"/>
      <c r="AF174" s="334"/>
      <c r="AG174" s="334"/>
      <c r="AH174" s="334"/>
      <c r="AI174" s="335"/>
      <c r="AJ174" s="419">
        <f>SUM(D174:AA174)</f>
        <v>0</v>
      </c>
      <c r="AK174" s="174" t="str">
        <f>CONCATENATE(IF(D175&gt;D174," * Testing at PNC &gt; 6 weeks For age "&amp;$D$6&amp;" "&amp;$D$7&amp;" is less than Positive result at PNC &gt; 6 weeks"&amp;CHAR(10),""),IF(E175&gt;E174," * Testing at PNC &gt; 6 weeks For age "&amp;$D$6&amp;" "&amp;$E$7&amp;" is less than Positive result at PNC &gt; 6 weeks"&amp;CHAR(10),""),IF(F175&gt;F174," * Testing at PNC &gt; 6 weeks For age "&amp;$F$6&amp;" "&amp;$F$7&amp;" is less than Positive result at PNC &gt; 6 weeks"&amp;CHAR(10),""),IF(G175&gt;G174," * Testing at PNC &gt; 6 weeks For age "&amp;$F$6&amp;" "&amp;$G$7&amp;" is less than Positive result at PNC &gt; 6 weeks"&amp;CHAR(10),""),IF(H175&gt;H174," * Testing at PNC &gt; 6 weeks For age "&amp;$H$6&amp;" "&amp;$H$7&amp;" is less than Positive result at PNC &gt; 6 weeks"&amp;CHAR(10),""),IF(I175&gt;I174," * Testing at PNC &gt; 6 weeks For age "&amp;$H$6&amp;" "&amp;$I$7&amp;" is less than Positive result at PNC &gt; 6 weeks"&amp;CHAR(10),""),IF(J175&gt;J174," * Testing at PNC &gt; 6 weeks For age "&amp;$J$6&amp;" "&amp;$J$7&amp;" is less than Positive result at PNC &gt; 6 weeks"&amp;CHAR(10),""),IF(K175&gt;K174," * Testing at PNC &gt; 6 weeks For age "&amp;$J$6&amp;" "&amp;$K$7&amp;" is less than Positive result at PNC &gt; 6 weeks"&amp;CHAR(10),""),IF(L175&gt;L174," * Testing at PNC &gt; 6 weeks For age "&amp;$L$6&amp;" "&amp;$L$7&amp;" is less than Positive result at PNC &gt; 6 weeks"&amp;CHAR(10),""),IF(M175&gt;M174," * Testing at PNC &gt; 6 weeks For age "&amp;$L$6&amp;" "&amp;$M$7&amp;" is less than Positive result at PNC &gt; 6 weeks"&amp;CHAR(10),""),IF(N175&gt;N174," * Testing at PNC &gt; 6 weeks For age "&amp;$N$6&amp;" "&amp;$N$7&amp;" is less than Positive result at PNC &gt; 6 weeks"&amp;CHAR(10),""),IF(O175&gt;O174," * Testing at PNC &gt; 6 weeks For age "&amp;$N$6&amp;" "&amp;$O$7&amp;" is less than Positive result at PNC &gt; 6 weeks"&amp;CHAR(10),""),IF(P175&gt;P174," * Testing at PNC &gt; 6 weeks For age "&amp;$P$6&amp;" "&amp;$P$7&amp;" is less than Positive result at PNC &gt; 6 weeks"&amp;CHAR(10),""),IF(Q175&gt;Q174," * Testing at PNC &gt; 6 weeks For age "&amp;$P$6&amp;" "&amp;$Q$7&amp;" is less than Positive result at PNC &gt; 6 weeks"&amp;CHAR(10),""),IF(R175&gt;R174," * Testing at PNC &gt; 6 weeks For age "&amp;$R$6&amp;" "&amp;$R$7&amp;" is less than Positive result at PNC &gt; 6 weeks"&amp;CHAR(10),""),IF(S175&gt;S174," * Testing at PNC &gt; 6 weeks For age "&amp;$R$6&amp;" "&amp;$S$7&amp;" is less than Positive result at PNC &gt; 6 weeks"&amp;CHAR(10),""),IF(T175&gt;T174," * Testing at PNC &gt; 6 weeks For age "&amp;$T$6&amp;" "&amp;$T$7&amp;" is less than Positive result at PNC &gt; 6 weeks"&amp;CHAR(10),""),IF(U175&gt;U174," * Testing at PNC &gt; 6 weeks For age "&amp;$T$6&amp;" "&amp;$U$7&amp;" is less than Positive result at PNC &gt; 6 weeks"&amp;CHAR(10),""),IF(V175&gt;V174," * Testing at PNC &gt; 6 weeks For age "&amp;$V$6&amp;" "&amp;$V$7&amp;" is less than Positive result at PNC &gt; 6 weeks"&amp;CHAR(10),""),IF(W175&gt;W174," * Testing at PNC &gt; 6 weeks For age "&amp;$V$6&amp;" "&amp;$W$7&amp;" is less than Positive result at PNC &gt; 6 weeks"&amp;CHAR(10),""),IF(X175&gt;X174," * Testing at PNC &gt; 6 weeks For age "&amp;$X$6&amp;" "&amp;$X$7&amp;" is less than Positive result at PNC &gt; 6 weeks"&amp;CHAR(10),""),IF(Y175&gt;Y174," * Testing at PNC &gt; 6 weeks For age "&amp;$X$6&amp;" "&amp;$Y$7&amp;" is less than Positive result at PNC &gt; 6 weeks"&amp;CHAR(10),""),IF(Z175&gt;Z174," * Testing at PNC &gt; 6 weeks For age "&amp;$Z$6&amp;" "&amp;$Z$7&amp;" is less than Positive result at PNC &gt; 6 weeks"&amp;CHAR(10),""),IF(AA175&gt;AA174," * Testing at PNC &gt; 6 weeks For age "&amp;$Z$6&amp;" "&amp;$AA$7&amp;" is less than Positive result at PNC &gt; 6 weeks"&amp;CHAR(10),""))</f>
        <v/>
      </c>
      <c r="AL174" s="90"/>
      <c r="AM174" s="136"/>
      <c r="AN174" s="421"/>
      <c r="AO174" s="330">
        <v>214</v>
      </c>
    </row>
    <row r="175" spans="1:45" ht="31.5" thickBot="1" x14ac:dyDescent="0.65">
      <c r="A175" s="867"/>
      <c r="B175" s="763" t="s">
        <v>454</v>
      </c>
      <c r="C175" s="353" t="s">
        <v>456</v>
      </c>
      <c r="D175" s="262"/>
      <c r="E175" s="209"/>
      <c r="F175" s="209"/>
      <c r="G175" s="209"/>
      <c r="H175" s="442"/>
      <c r="I175" s="442"/>
      <c r="J175" s="442"/>
      <c r="K175" s="422"/>
      <c r="L175" s="442"/>
      <c r="M175" s="422"/>
      <c r="N175" s="442"/>
      <c r="O175" s="422"/>
      <c r="P175" s="442"/>
      <c r="Q175" s="422"/>
      <c r="R175" s="442"/>
      <c r="S175" s="422"/>
      <c r="T175" s="442"/>
      <c r="U175" s="422"/>
      <c r="V175" s="442"/>
      <c r="W175" s="422"/>
      <c r="X175" s="442"/>
      <c r="Y175" s="422"/>
      <c r="Z175" s="442"/>
      <c r="AA175" s="448"/>
      <c r="AB175" s="445"/>
      <c r="AC175" s="446"/>
      <c r="AD175" s="446"/>
      <c r="AE175" s="446"/>
      <c r="AF175" s="446"/>
      <c r="AG175" s="446"/>
      <c r="AH175" s="446"/>
      <c r="AI175" s="447"/>
      <c r="AJ175" s="435">
        <f>SUM(D175:AA175)</f>
        <v>0</v>
      </c>
      <c r="AK175" s="349"/>
      <c r="AL175" s="90"/>
      <c r="AM175" s="136"/>
      <c r="AN175" s="421"/>
      <c r="AO175" s="330">
        <v>215</v>
      </c>
    </row>
    <row r="176" spans="1:45" ht="56.25" x14ac:dyDescent="0.6">
      <c r="A176" s="861" t="s">
        <v>719</v>
      </c>
      <c r="B176" s="764" t="s">
        <v>639</v>
      </c>
      <c r="C176" s="449" t="s">
        <v>703</v>
      </c>
      <c r="D176" s="450"/>
      <c r="E176" s="117"/>
      <c r="F176" s="117"/>
      <c r="G176" s="117"/>
      <c r="H176" s="117"/>
      <c r="I176" s="117"/>
      <c r="J176" s="212"/>
      <c r="K176" s="451">
        <f>K161+K163+K165+K167+K169+K171+K173+K175</f>
        <v>0</v>
      </c>
      <c r="L176" s="247"/>
      <c r="M176" s="451">
        <f>M161+M163+M165+M167+M169+M171+M173+M175</f>
        <v>0</v>
      </c>
      <c r="N176" s="117"/>
      <c r="O176" s="451">
        <f>O161+O163+O165+O167+O169+O171+O173+O175</f>
        <v>0</v>
      </c>
      <c r="P176" s="117"/>
      <c r="Q176" s="451">
        <f>Q161+Q163+Q165+Q167+Q169+Q171+Q173+Q175</f>
        <v>0</v>
      </c>
      <c r="R176" s="117"/>
      <c r="S176" s="451">
        <f>S161+S163+S165+S167+S169+S171+S173+S175</f>
        <v>0</v>
      </c>
      <c r="T176" s="117"/>
      <c r="U176" s="451">
        <f>U161+U163+U165+U167+U169+U171+U173+U175</f>
        <v>0</v>
      </c>
      <c r="V176" s="117"/>
      <c r="W176" s="451">
        <f>W161+W163+W165+W167+W169+W171+W173+W175</f>
        <v>0</v>
      </c>
      <c r="X176" s="117"/>
      <c r="Y176" s="451">
        <f>Y161+Y163+Y165+Y167+Y169+Y171+Y173+Y175</f>
        <v>0</v>
      </c>
      <c r="Z176" s="117"/>
      <c r="AA176" s="452">
        <f>AA161+AA163+AA165+AA167+AA169+AA171+AA173+AA175</f>
        <v>0</v>
      </c>
      <c r="AB176" s="334"/>
      <c r="AC176" s="334"/>
      <c r="AD176" s="334"/>
      <c r="AE176" s="334"/>
      <c r="AF176" s="334"/>
      <c r="AG176" s="334"/>
      <c r="AH176" s="334"/>
      <c r="AI176" s="335"/>
      <c r="AJ176" s="436">
        <f t="shared" si="105"/>
        <v>0</v>
      </c>
      <c r="AK176" s="349"/>
      <c r="AL176" s="91" t="str">
        <f>CONCATENATE(AK178,AK179,AK180,AK162,AK176,AK177)</f>
        <v/>
      </c>
      <c r="AM176" s="136"/>
      <c r="AN176" s="874" t="str">
        <f>CONCATENATE(AM176,AM177,AM178,AM179,AM180)</f>
        <v/>
      </c>
      <c r="AO176" s="330">
        <v>218</v>
      </c>
    </row>
    <row r="177" spans="1:45" s="7" customFormat="1" x14ac:dyDescent="0.6">
      <c r="A177" s="862"/>
      <c r="B177" s="722" t="s">
        <v>389</v>
      </c>
      <c r="C177" s="175" t="s">
        <v>419</v>
      </c>
      <c r="D177" s="453"/>
      <c r="E177" s="129"/>
      <c r="F177" s="129"/>
      <c r="G177" s="129"/>
      <c r="H177" s="129"/>
      <c r="I177" s="129"/>
      <c r="J177" s="139"/>
      <c r="K177" s="148"/>
      <c r="L177" s="425"/>
      <c r="M177" s="148"/>
      <c r="N177" s="426"/>
      <c r="O177" s="148"/>
      <c r="P177" s="426"/>
      <c r="Q177" s="148"/>
      <c r="R177" s="426"/>
      <c r="S177" s="148"/>
      <c r="T177" s="426"/>
      <c r="U177" s="148"/>
      <c r="V177" s="426"/>
      <c r="W177" s="148"/>
      <c r="X177" s="426"/>
      <c r="Y177" s="148"/>
      <c r="Z177" s="426"/>
      <c r="AA177" s="133">
        <f t="shared" ref="AA177:AA180" si="107">SUM(AC177,AE177,AG177,AI177)</f>
        <v>0</v>
      </c>
      <c r="AB177" s="334"/>
      <c r="AC177" s="334"/>
      <c r="AD177" s="334"/>
      <c r="AE177" s="334"/>
      <c r="AF177" s="334"/>
      <c r="AG177" s="334"/>
      <c r="AH177" s="334"/>
      <c r="AI177" s="335"/>
      <c r="AJ177" s="260">
        <f t="shared" ref="AJ177:AJ180" si="108">SUM(D177:AA177)</f>
        <v>0</v>
      </c>
      <c r="AK177" s="990"/>
      <c r="AL177" s="90"/>
      <c r="AM177" s="138"/>
      <c r="AN177" s="875"/>
      <c r="AO177" s="330">
        <v>219</v>
      </c>
      <c r="AQ177" s="1046"/>
      <c r="AR177" s="1046"/>
      <c r="AS177" s="1046"/>
    </row>
    <row r="178" spans="1:45" x14ac:dyDescent="0.6">
      <c r="A178" s="862"/>
      <c r="B178" s="722" t="s">
        <v>373</v>
      </c>
      <c r="C178" s="175" t="s">
        <v>420</v>
      </c>
      <c r="D178" s="453"/>
      <c r="E178" s="129"/>
      <c r="F178" s="129"/>
      <c r="G178" s="129"/>
      <c r="H178" s="129"/>
      <c r="I178" s="129"/>
      <c r="J178" s="139"/>
      <c r="K178" s="148"/>
      <c r="L178" s="425"/>
      <c r="M178" s="148"/>
      <c r="N178" s="426"/>
      <c r="O178" s="148"/>
      <c r="P178" s="426"/>
      <c r="Q178" s="148"/>
      <c r="R178" s="426"/>
      <c r="S178" s="148"/>
      <c r="T178" s="426"/>
      <c r="U178" s="148"/>
      <c r="V178" s="426"/>
      <c r="W178" s="148"/>
      <c r="X178" s="426"/>
      <c r="Y178" s="148"/>
      <c r="Z178" s="426"/>
      <c r="AA178" s="133">
        <f t="shared" si="107"/>
        <v>0</v>
      </c>
      <c r="AB178" s="334"/>
      <c r="AC178" s="334"/>
      <c r="AD178" s="334"/>
      <c r="AE178" s="334"/>
      <c r="AF178" s="334"/>
      <c r="AG178" s="334"/>
      <c r="AH178" s="334"/>
      <c r="AI178" s="335"/>
      <c r="AJ178" s="135">
        <f t="shared" si="108"/>
        <v>0</v>
      </c>
      <c r="AK178" s="990"/>
      <c r="AL178" s="90"/>
      <c r="AM178" s="136" t="str">
        <f>IF(AJ178&gt;SUM(AJ171,AJ169,AJ167,AJ165,AJ163,AJ161,AJ153,AJ151)," EID Testing cannot be more than PMTCT HIV Positive Mothers (ANC 1 Other ANC, L&amp;D and PNC","")</f>
        <v/>
      </c>
      <c r="AN178" s="875"/>
      <c r="AO178" s="330">
        <v>220</v>
      </c>
    </row>
    <row r="179" spans="1:45" x14ac:dyDescent="0.6">
      <c r="A179" s="862"/>
      <c r="B179" s="722" t="s">
        <v>375</v>
      </c>
      <c r="C179" s="175" t="s">
        <v>421</v>
      </c>
      <c r="D179" s="453"/>
      <c r="E179" s="129"/>
      <c r="F179" s="129"/>
      <c r="G179" s="129"/>
      <c r="H179" s="129"/>
      <c r="I179" s="129"/>
      <c r="J179" s="139"/>
      <c r="K179" s="148"/>
      <c r="L179" s="425"/>
      <c r="M179" s="148"/>
      <c r="N179" s="426"/>
      <c r="O179" s="148"/>
      <c r="P179" s="426"/>
      <c r="Q179" s="148"/>
      <c r="R179" s="426"/>
      <c r="S179" s="148"/>
      <c r="T179" s="426"/>
      <c r="U179" s="148"/>
      <c r="V179" s="426"/>
      <c r="W179" s="148"/>
      <c r="X179" s="426"/>
      <c r="Y179" s="148"/>
      <c r="Z179" s="426"/>
      <c r="AA179" s="133">
        <f t="shared" si="107"/>
        <v>0</v>
      </c>
      <c r="AB179" s="334"/>
      <c r="AC179" s="334"/>
      <c r="AD179" s="334"/>
      <c r="AE179" s="334"/>
      <c r="AF179" s="334"/>
      <c r="AG179" s="334"/>
      <c r="AH179" s="334"/>
      <c r="AI179" s="335"/>
      <c r="AJ179" s="135">
        <f t="shared" si="108"/>
        <v>0</v>
      </c>
      <c r="AK179" s="183"/>
      <c r="AL179" s="90"/>
      <c r="AM179" s="349"/>
      <c r="AN179" s="875"/>
      <c r="AO179" s="330">
        <v>221</v>
      </c>
    </row>
    <row r="180" spans="1:45" s="7" customFormat="1" ht="31.5" thickBot="1" x14ac:dyDescent="0.65">
      <c r="A180" s="863"/>
      <c r="B180" s="723" t="s">
        <v>377</v>
      </c>
      <c r="C180" s="184" t="s">
        <v>422</v>
      </c>
      <c r="D180" s="454"/>
      <c r="E180" s="186"/>
      <c r="F180" s="186"/>
      <c r="G180" s="186"/>
      <c r="H180" s="186"/>
      <c r="I180" s="186"/>
      <c r="J180" s="220"/>
      <c r="K180" s="154"/>
      <c r="L180" s="455"/>
      <c r="M180" s="154"/>
      <c r="N180" s="427"/>
      <c r="O180" s="154"/>
      <c r="P180" s="427"/>
      <c r="Q180" s="154"/>
      <c r="R180" s="427"/>
      <c r="S180" s="154"/>
      <c r="T180" s="427"/>
      <c r="U180" s="154"/>
      <c r="V180" s="427"/>
      <c r="W180" s="154"/>
      <c r="X180" s="427"/>
      <c r="Y180" s="154"/>
      <c r="Z180" s="427"/>
      <c r="AA180" s="166">
        <f t="shared" si="107"/>
        <v>0</v>
      </c>
      <c r="AB180" s="334"/>
      <c r="AC180" s="334"/>
      <c r="AD180" s="334"/>
      <c r="AE180" s="334"/>
      <c r="AF180" s="334"/>
      <c r="AG180" s="334"/>
      <c r="AH180" s="334"/>
      <c r="AI180" s="335"/>
      <c r="AJ180" s="168">
        <f t="shared" si="108"/>
        <v>0</v>
      </c>
      <c r="AK180" s="183"/>
      <c r="AL180" s="90"/>
      <c r="AM180" s="349"/>
      <c r="AN180" s="875"/>
      <c r="AO180" s="330">
        <v>222</v>
      </c>
      <c r="AQ180" s="1046"/>
      <c r="AR180" s="1046"/>
      <c r="AS180" s="1046"/>
    </row>
    <row r="181" spans="1:45" ht="31.5" thickBot="1" x14ac:dyDescent="0.65">
      <c r="A181" s="940" t="s">
        <v>640</v>
      </c>
      <c r="B181" s="941"/>
      <c r="C181" s="941"/>
      <c r="D181" s="941"/>
      <c r="E181" s="941"/>
      <c r="F181" s="941"/>
      <c r="G181" s="941"/>
      <c r="H181" s="941"/>
      <c r="I181" s="941"/>
      <c r="J181" s="941"/>
      <c r="K181" s="941"/>
      <c r="L181" s="941"/>
      <c r="M181" s="941"/>
      <c r="N181" s="941"/>
      <c r="O181" s="941"/>
      <c r="P181" s="941"/>
      <c r="Q181" s="941"/>
      <c r="R181" s="941"/>
      <c r="S181" s="941"/>
      <c r="T181" s="941"/>
      <c r="U181" s="941"/>
      <c r="V181" s="941"/>
      <c r="W181" s="941"/>
      <c r="X181" s="941"/>
      <c r="Y181" s="941"/>
      <c r="Z181" s="941"/>
      <c r="AA181" s="941"/>
      <c r="AB181" s="947"/>
      <c r="AC181" s="947"/>
      <c r="AD181" s="947"/>
      <c r="AE181" s="947"/>
      <c r="AF181" s="947"/>
      <c r="AG181" s="947"/>
      <c r="AH181" s="947"/>
      <c r="AI181" s="947"/>
      <c r="AJ181" s="941"/>
      <c r="AK181" s="941"/>
      <c r="AL181" s="941"/>
      <c r="AM181" s="941"/>
      <c r="AN181" s="948"/>
      <c r="AO181" s="330">
        <v>227</v>
      </c>
    </row>
    <row r="182" spans="1:45" ht="31.5" thickBot="1" x14ac:dyDescent="0.65">
      <c r="A182" s="705" t="s">
        <v>641</v>
      </c>
      <c r="B182" s="765"/>
      <c r="C182" s="456"/>
      <c r="D182" s="457"/>
      <c r="E182" s="458"/>
      <c r="F182" s="458"/>
      <c r="G182" s="458"/>
      <c r="H182" s="458"/>
      <c r="I182" s="458"/>
      <c r="J182" s="458"/>
      <c r="K182" s="458"/>
      <c r="L182" s="458"/>
      <c r="M182" s="458"/>
      <c r="N182" s="458"/>
      <c r="O182" s="458"/>
      <c r="P182" s="458"/>
      <c r="Q182" s="458"/>
      <c r="R182" s="458"/>
      <c r="S182" s="458"/>
      <c r="T182" s="458"/>
      <c r="U182" s="458"/>
      <c r="V182" s="458"/>
      <c r="W182" s="458"/>
      <c r="X182" s="458"/>
      <c r="Y182" s="458"/>
      <c r="Z182" s="458"/>
      <c r="AA182" s="459"/>
      <c r="AB182" s="460"/>
      <c r="AC182" s="461"/>
      <c r="AD182" s="460"/>
      <c r="AE182" s="461"/>
      <c r="AF182" s="460"/>
      <c r="AG182" s="461"/>
      <c r="AH182" s="460"/>
      <c r="AI182" s="461"/>
      <c r="AJ182" s="457"/>
      <c r="AK182" s="458"/>
      <c r="AL182" s="456"/>
      <c r="AM182" s="462"/>
      <c r="AN182" s="456"/>
      <c r="AO182" s="330"/>
    </row>
    <row r="183" spans="1:45" x14ac:dyDescent="0.6">
      <c r="A183" s="950" t="s">
        <v>18</v>
      </c>
      <c r="B183" s="964" t="s">
        <v>123</v>
      </c>
      <c r="C183" s="951" t="s">
        <v>122</v>
      </c>
      <c r="D183" s="841" t="s">
        <v>0</v>
      </c>
      <c r="E183" s="849"/>
      <c r="F183" s="849" t="s">
        <v>1</v>
      </c>
      <c r="G183" s="849"/>
      <c r="H183" s="849" t="s">
        <v>2</v>
      </c>
      <c r="I183" s="849"/>
      <c r="J183" s="849" t="s">
        <v>3</v>
      </c>
      <c r="K183" s="849"/>
      <c r="L183" s="849" t="s">
        <v>4</v>
      </c>
      <c r="M183" s="849"/>
      <c r="N183" s="849" t="s">
        <v>5</v>
      </c>
      <c r="O183" s="849"/>
      <c r="P183" s="849" t="s">
        <v>6</v>
      </c>
      <c r="Q183" s="849"/>
      <c r="R183" s="849" t="s">
        <v>7</v>
      </c>
      <c r="S183" s="849"/>
      <c r="T183" s="849" t="s">
        <v>8</v>
      </c>
      <c r="U183" s="849"/>
      <c r="V183" s="849" t="s">
        <v>15</v>
      </c>
      <c r="W183" s="849"/>
      <c r="X183" s="849" t="s">
        <v>16</v>
      </c>
      <c r="Y183" s="849"/>
      <c r="Z183" s="849" t="s">
        <v>9</v>
      </c>
      <c r="AA183" s="840"/>
      <c r="AB183" s="840" t="s">
        <v>365</v>
      </c>
      <c r="AC183" s="841"/>
      <c r="AD183" s="840" t="s">
        <v>366</v>
      </c>
      <c r="AE183" s="841"/>
      <c r="AF183" s="840" t="s">
        <v>427</v>
      </c>
      <c r="AG183" s="841"/>
      <c r="AH183" s="840" t="s">
        <v>428</v>
      </c>
      <c r="AI183" s="841"/>
      <c r="AJ183" s="967" t="s">
        <v>13</v>
      </c>
      <c r="AK183" s="881" t="s">
        <v>148</v>
      </c>
      <c r="AL183" s="879" t="s">
        <v>154</v>
      </c>
      <c r="AM183" s="883" t="s">
        <v>155</v>
      </c>
      <c r="AN183" s="943" t="s">
        <v>155</v>
      </c>
      <c r="AO183" s="330">
        <v>228</v>
      </c>
    </row>
    <row r="184" spans="1:45" ht="31.5" thickBot="1" x14ac:dyDescent="0.65">
      <c r="A184" s="845"/>
      <c r="B184" s="971"/>
      <c r="C184" s="969"/>
      <c r="D184" s="463" t="s">
        <v>10</v>
      </c>
      <c r="E184" s="114" t="s">
        <v>11</v>
      </c>
      <c r="F184" s="114" t="s">
        <v>10</v>
      </c>
      <c r="G184" s="114" t="s">
        <v>11</v>
      </c>
      <c r="H184" s="114" t="s">
        <v>10</v>
      </c>
      <c r="I184" s="114" t="s">
        <v>11</v>
      </c>
      <c r="J184" s="114" t="s">
        <v>10</v>
      </c>
      <c r="K184" s="114" t="s">
        <v>11</v>
      </c>
      <c r="L184" s="114" t="s">
        <v>10</v>
      </c>
      <c r="M184" s="114" t="s">
        <v>11</v>
      </c>
      <c r="N184" s="114" t="s">
        <v>10</v>
      </c>
      <c r="O184" s="114" t="s">
        <v>11</v>
      </c>
      <c r="P184" s="114" t="s">
        <v>10</v>
      </c>
      <c r="Q184" s="114" t="s">
        <v>11</v>
      </c>
      <c r="R184" s="114" t="s">
        <v>10</v>
      </c>
      <c r="S184" s="114" t="s">
        <v>11</v>
      </c>
      <c r="T184" s="114" t="s">
        <v>10</v>
      </c>
      <c r="U184" s="114" t="s">
        <v>11</v>
      </c>
      <c r="V184" s="114" t="s">
        <v>10</v>
      </c>
      <c r="W184" s="114" t="s">
        <v>11</v>
      </c>
      <c r="X184" s="114" t="s">
        <v>10</v>
      </c>
      <c r="Y184" s="114" t="s">
        <v>11</v>
      </c>
      <c r="Z184" s="114" t="s">
        <v>10</v>
      </c>
      <c r="AA184" s="464" t="s">
        <v>11</v>
      </c>
      <c r="AB184" s="114" t="s">
        <v>10</v>
      </c>
      <c r="AC184" s="114" t="s">
        <v>11</v>
      </c>
      <c r="AD184" s="114" t="s">
        <v>10</v>
      </c>
      <c r="AE184" s="114" t="s">
        <v>11</v>
      </c>
      <c r="AF184" s="114" t="s">
        <v>10</v>
      </c>
      <c r="AG184" s="114" t="s">
        <v>11</v>
      </c>
      <c r="AH184" s="114" t="s">
        <v>10</v>
      </c>
      <c r="AI184" s="465" t="s">
        <v>11</v>
      </c>
      <c r="AJ184" s="968"/>
      <c r="AK184" s="882"/>
      <c r="AL184" s="880"/>
      <c r="AM184" s="883"/>
      <c r="AN184" s="944"/>
      <c r="AO184" s="330">
        <v>229</v>
      </c>
    </row>
    <row r="185" spans="1:45" x14ac:dyDescent="0.6">
      <c r="A185" s="871" t="s">
        <v>642</v>
      </c>
      <c r="B185" s="747" t="s">
        <v>214</v>
      </c>
      <c r="C185" s="115" t="s">
        <v>140</v>
      </c>
      <c r="D185" s="466"/>
      <c r="E185" s="306"/>
      <c r="F185" s="306"/>
      <c r="G185" s="306"/>
      <c r="H185" s="306"/>
      <c r="I185" s="306"/>
      <c r="J185" s="467"/>
      <c r="K185" s="252"/>
      <c r="L185" s="306"/>
      <c r="M185" s="248"/>
      <c r="N185" s="306"/>
      <c r="O185" s="248"/>
      <c r="P185" s="306"/>
      <c r="Q185" s="248"/>
      <c r="R185" s="306"/>
      <c r="S185" s="248"/>
      <c r="T185" s="306"/>
      <c r="U185" s="248"/>
      <c r="V185" s="306"/>
      <c r="W185" s="248"/>
      <c r="X185" s="306"/>
      <c r="Y185" s="248"/>
      <c r="Z185" s="306"/>
      <c r="AA185" s="271">
        <f>SUM(AC185,AE185,AG185,AI185)</f>
        <v>0</v>
      </c>
      <c r="AB185" s="468"/>
      <c r="AC185" s="469"/>
      <c r="AD185" s="248"/>
      <c r="AE185" s="469"/>
      <c r="AF185" s="248"/>
      <c r="AG185" s="469"/>
      <c r="AH185" s="249"/>
      <c r="AI185" s="470"/>
      <c r="AJ185" s="250">
        <f>SUM(D185:AA185)</f>
        <v>0</v>
      </c>
      <c r="AK185" s="414" t="str">
        <f>CONCATENATE(IF(D186&gt;SUM(D224)," * Start HAART at ANC 1 for Age "&amp;D6&amp;" "&amp;D7&amp;" is more than Starting ART"&amp;CHAR(10),""),IF(E186&gt;SUM(E224)," * Start HAART at ANC 1  for Age "&amp;D6&amp;" "&amp;E7&amp;" is more than Starting ART"&amp;CHAR(10),""),IF(F186&gt;SUM(F224)," * Start HAART at ANC 1  for Age "&amp;F6&amp;" "&amp;F7&amp;" is more than Starting ART"&amp;CHAR(10),""),IF(G186&gt;SUM(G224)," * Start HAART at ANC 1  for Age "&amp;F6&amp;" "&amp;G7&amp;" is more than Starting ART"&amp;CHAR(10),""),IF(H186&gt;SUM(H224)," * Start HAART at ANC 1  for Age "&amp;H6&amp;" "&amp;H7&amp;" is more than Starting ART"&amp;CHAR(10),""),IF(I186&gt;SUM(I224)," * Start HAART at ANC 1  for Age "&amp;H6&amp;" "&amp;I7&amp;" is more than Starting ART"&amp;CHAR(10),""),IF(J186&gt;SUM(J224)," * Start HAART at ANC 1  for Age "&amp;J6&amp;" "&amp;J7&amp;" is more than Starting ART"&amp;CHAR(10),""),IF(K186&gt;SUM(K224)," * Start HAART at ANC 1  for Age "&amp;J6&amp;" "&amp;K7&amp;" is more than Starting ART"&amp;CHAR(10),""),IF(L186&gt;SUM(L224)," * Start HAART at ANC 1  for Age "&amp;L6&amp;" "&amp;L7&amp;" is more than Starting ART"&amp;CHAR(10),""),IF(M186&gt;SUM(M224)," * Start HAART at ANC 1  for Age "&amp;L6&amp;" "&amp;M7&amp;" is more than Starting ART"&amp;CHAR(10),""),IF(N186&gt;SUM(N224)," * Start HAART at ANC 1  for Age "&amp;N6&amp;" "&amp;N7&amp;" is more than Starting ART"&amp;CHAR(10),""),IF(O186&gt;SUM(O224)," * Start HAART at ANC 1  for Age "&amp;N6&amp;" "&amp;O7&amp;" is more than Starting ART"&amp;CHAR(10),""),IF(P186&gt;SUM(P224)," * Start HAART at ANC 1  for Age "&amp;P6&amp;" "&amp;P7&amp;" is more than Starting ART"&amp;CHAR(10),""),IF(Q186&gt;SUM(Q224)," * Start HAART at ANC 1  for Age "&amp;P6&amp;" "&amp;Q7&amp;" is more than Starting ART"&amp;CHAR(10),""),IF(R186&gt;SUM(R224)," * Start HAART at ANC 1  for Age "&amp;R6&amp;" "&amp;R7&amp;" is more than Starting ART"&amp;CHAR(10),""),IF(S186&gt;SUM(S224)," * Start HAART at ANC 1  for Age "&amp;R6&amp;" "&amp;S7&amp;" is more than Starting ART"&amp;CHAR(10),""),IF(T186&gt;SUM(T224)," * Start HAART at ANC 1  for Age "&amp;T6&amp;" "&amp;T7&amp;" is more than Starting ART"&amp;CHAR(10),""),IF(U186&gt;SUM(U224)," * Start HAART at ANC 1  for Age "&amp;T6&amp;" "&amp;U7&amp;" is more than Starting ART"&amp;CHAR(10),""),IF(V186&gt;SUM(V224)," * Start HAART at ANC 1  for Age "&amp;V6&amp;" "&amp;V7&amp;" is more than Starting ART"&amp;CHAR(10),""),IF(W186&gt;SUM(W224)," * Start HAART at ANC 1  for Age "&amp;V6&amp;" "&amp;W7&amp;" is more than Starting ART"&amp;CHAR(10),""),IF(X186&gt;SUM(X224)," * Start HAART at ANC 1  for Age "&amp;X6&amp;" "&amp;X7&amp;" is more than Starting ART"&amp;CHAR(10),""),IF(Y186&gt;SUM(Y224)," * Start HAART at ANC 1  for Age "&amp;X6&amp;" "&amp;Y7&amp;" is more than Starting ART"&amp;CHAR(10),""),IF(Z186&gt;SUM(Z224)," * Start HAART at ANC 1  for Age "&amp;Z6&amp;" "&amp;Z7&amp;" is more than Starting ART"&amp;CHAR(10),""),IF(AA186&gt;SUM(AA224)," * Start HAART at ANC 1  for Age "&amp;Z6&amp;" "&amp;AA7&amp;" is more than Starting ART"&amp;CHAR(10),""))</f>
        <v/>
      </c>
      <c r="AL185" s="92" t="str">
        <f>CONCATENATE(AK185,AK186,AK190,AK192,AK197,AK199,AK200,AK191,AK193,AK194,AK188,AK187,AK189,AK195)</f>
        <v/>
      </c>
      <c r="AM185" s="125" t="str">
        <f>CONCATENATE(IF(D185&lt;D151," * ON HAART at 1st ANC for Age "&amp;D6&amp;" "&amp;D7&amp;" is less than KP at 1st ANC "&amp;CHAR(10),""),IF(E185&lt;E151," * ON HAART at 1st ANC for Age "&amp;D6&amp;" "&amp;E7&amp;" is less than KP at 1st ANC "&amp;CHAR(10),""),IF(F185&lt;F151," * ON HAART at 1st ANC for Age "&amp;F6&amp;" "&amp;F7&amp;" is less than KP at 1st ANC "&amp;CHAR(10),""),IF(G185&lt;G151," * ON HAART at 1st ANC for Age "&amp;F6&amp;" "&amp;G7&amp;" is less than KP at 1st ANC "&amp;CHAR(10),""),IF(H185&lt;H151," * ON HAART at 1st ANC for Age "&amp;H6&amp;" "&amp;H7&amp;" is less than KP at 1st ANC "&amp;CHAR(10),""),IF(I185&lt;I151," * ON HAART at 1st ANC for Age "&amp;H6&amp;" "&amp;I7&amp;" is less than KP at 1st ANC "&amp;CHAR(10),""),IF(J185&lt;J151," * ON HAART at 1st ANC for Age "&amp;J6&amp;" "&amp;J7&amp;" is less than KP at 1st ANC "&amp;CHAR(10),""),IF(K185&lt;K151," * ON HAART at 1st ANC for Age "&amp;J6&amp;" "&amp;K7&amp;" is less than KP at 1st ANC "&amp;CHAR(10),""),IF(L185&lt;L151," * ON HAART at 1st ANC for Age "&amp;L6&amp;" "&amp;L7&amp;" is less than KP at 1st ANC "&amp;CHAR(10),""),IF(M185&lt;M151," * ON HAART at 1st ANC for Age "&amp;L6&amp;" "&amp;M7&amp;" is less than KP at 1st ANC "&amp;CHAR(10),""),IF(N185&lt;N151," * ON HAART at 1st ANC for Age "&amp;N6&amp;" "&amp;N7&amp;" is less than KP at 1st ANC "&amp;CHAR(10),""),IF(O185&lt;O151," * ON HAART at 1st ANC for Age "&amp;N6&amp;" "&amp;O7&amp;" is less than KP at 1st ANC "&amp;CHAR(10),""),IF(P185&lt;P151," * ON HAART at 1st ANC for Age "&amp;P6&amp;" "&amp;P7&amp;" is less than KP at 1st ANC "&amp;CHAR(10),""),IF(Q185&lt;Q151," * ON HAART at 1st ANC for Age "&amp;P6&amp;" "&amp;Q7&amp;" is less than KP at 1st ANC "&amp;CHAR(10),""),IF(R185&lt;R151," * ON HAART at 1st ANC for Age "&amp;R6&amp;" "&amp;R7&amp;" is less than KP at 1st ANC "&amp;CHAR(10),""),IF(S185&lt;S151," * ON HAART at 1st ANC for Age "&amp;R6&amp;" "&amp;S7&amp;" is less than KP at 1st ANC "&amp;CHAR(10),""),IF(T185&lt;T151," * ON HAART at 1st ANC for Age "&amp;T6&amp;" "&amp;T7&amp;" is less than KP at 1st ANC "&amp;CHAR(10),""),IF(U185&lt;U151," * ON HAART at 1st ANC for Age "&amp;T6&amp;" "&amp;U7&amp;" is less than KP at 1st ANC "&amp;CHAR(10),""),IF(V185&lt;V151," * ON HAART at 1st ANC for Age "&amp;V6&amp;" "&amp;V7&amp;" is less than KP at 1st ANC "&amp;CHAR(10),""),IF(W185&lt;W151," * ON HAART at 1st ANC for Age "&amp;V6&amp;" "&amp;W7&amp;" is less than KP at 1st ANC "&amp;CHAR(10),""),IF(X185&lt;X151," * ON HAART at 1st ANC for Age "&amp;X6&amp;" "&amp;X7&amp;" is less than KP at 1st ANC "&amp;CHAR(10),""),IF(Y185&lt;Y151," * ON HAART at 1st ANC for Age "&amp;X6&amp;" "&amp;Y7&amp;" is less than KP at 1st ANC "&amp;CHAR(10),""),IF(Z185&lt;Z151," * ON HAART at 1st ANC for Age "&amp;Z6&amp;" "&amp;Z7&amp;" is less than KP at 1st ANC "&amp;CHAR(10),""),IF(AA185&lt;AA151," * ON HAART at 1st ANC for Age "&amp;Z6&amp;" "&amp;AA7&amp;" is less than KP at 1st ANC "&amp;CHAR(10),""))</f>
        <v/>
      </c>
      <c r="AN185" s="471" t="str">
        <f>CONCATENATE(AM185,AM186,AM190,AM192,AM197,AM199,AM200,AM187,AM188,AM189,AM193,AM194)</f>
        <v/>
      </c>
      <c r="AO185" s="330">
        <v>230</v>
      </c>
    </row>
    <row r="186" spans="1:45" x14ac:dyDescent="0.6">
      <c r="A186" s="872"/>
      <c r="B186" s="766" t="s">
        <v>215</v>
      </c>
      <c r="C186" s="127" t="s">
        <v>141</v>
      </c>
      <c r="D186" s="472"/>
      <c r="E186" s="473"/>
      <c r="F186" s="473"/>
      <c r="G186" s="473"/>
      <c r="H186" s="473"/>
      <c r="I186" s="473"/>
      <c r="J186" s="474"/>
      <c r="K186" s="278"/>
      <c r="L186" s="473"/>
      <c r="M186" s="274"/>
      <c r="N186" s="473"/>
      <c r="O186" s="274"/>
      <c r="P186" s="473"/>
      <c r="Q186" s="274"/>
      <c r="R186" s="473"/>
      <c r="S186" s="274"/>
      <c r="T186" s="473"/>
      <c r="U186" s="274"/>
      <c r="V186" s="473"/>
      <c r="W186" s="274"/>
      <c r="X186" s="473"/>
      <c r="Y186" s="274"/>
      <c r="Z186" s="473"/>
      <c r="AA186" s="277">
        <f t="shared" ref="AA186:AA195" si="109">SUM(AC186,AE186,AG186,AI186)</f>
        <v>0</v>
      </c>
      <c r="AB186" s="475"/>
      <c r="AC186" s="476"/>
      <c r="AD186" s="274"/>
      <c r="AE186" s="476"/>
      <c r="AF186" s="274"/>
      <c r="AG186" s="476"/>
      <c r="AH186" s="275"/>
      <c r="AI186" s="477"/>
      <c r="AJ186" s="250">
        <f t="shared" ref="AJ186:AJ200" si="110">SUM(D186:AA186)</f>
        <v>0</v>
      </c>
      <c r="AK186" s="349" t="str">
        <f>CONCATENATE(IF(D186&gt;SUM(D153)," * Start HAART at ANC 1 for Age "&amp;D6&amp;" "&amp;D7&amp;" is more than Positive Test at ANC 1"&amp;CHAR(10),""),IF(E186&gt;SUM(E153)," * Start HAART at ANC 1  for Age "&amp;D6&amp;" "&amp;E7&amp;" is more than Positive Test at ANC 1"&amp;CHAR(10),""),IF(F186&gt;SUM(F153)," * Start HAART at ANC 1  for Age "&amp;F6&amp;" "&amp;F7&amp;" is more than Positive Test at ANC 1"&amp;CHAR(10),""),IF(G186&gt;SUM(G153)," * Start HAART at ANC 1  for Age "&amp;F6&amp;" "&amp;G7&amp;" is more than Positive Test at ANC 1"&amp;CHAR(10),""),IF(H186&gt;SUM(H153)," * Start HAART at ANC 1  for Age "&amp;H6&amp;" "&amp;H7&amp;" is more than Positive Test at ANC 1"&amp;CHAR(10),""),IF(I186&gt;SUM(I153)," * Start HAART at ANC 1  for Age "&amp;H6&amp;" "&amp;I7&amp;" is more than Positive Test at ANC 1"&amp;CHAR(10),""),IF(J186&gt;SUM(J153)," * Start HAART at ANC 1  for Age "&amp;J6&amp;" "&amp;J7&amp;" is more than Positive Test at ANC 1"&amp;CHAR(10),""),IF(K186&gt;SUM(K153)," * Start HAART at ANC 1  for Age "&amp;J6&amp;" "&amp;K7&amp;" is more than Positive Test at ANC 1"&amp;CHAR(10),""),IF(L186&gt;SUM(L153)," * Start HAART at ANC 1  for Age "&amp;L6&amp;" "&amp;L7&amp;" is more than Positive Test at ANC 1"&amp;CHAR(10),""),IF(M186&gt;SUM(M153)," * Start HAART at ANC 1  for Age "&amp;L6&amp;" "&amp;M7&amp;" is more than Positive Test at ANC 1"&amp;CHAR(10),""),IF(N186&gt;SUM(N153)," * Start HAART at ANC 1  for Age "&amp;N6&amp;" "&amp;N7&amp;" is more than Positive Test at ANC 1"&amp;CHAR(10),""),IF(O186&gt;SUM(O153)," * Start HAART at ANC 1  for Age "&amp;N6&amp;" "&amp;O7&amp;" is more than Positive Test at ANC 1"&amp;CHAR(10),""),IF(P186&gt;SUM(P153)," * Start HAART at ANC 1  for Age "&amp;P6&amp;" "&amp;P7&amp;" is more than Positive Test at ANC 1"&amp;CHAR(10),""),IF(Q186&gt;SUM(Q153)," * Start HAART at ANC 1  for Age "&amp;P6&amp;" "&amp;Q7&amp;" is more than Positive Test at ANC 1"&amp;CHAR(10),""),IF(R186&gt;SUM(R153)," * Start HAART at ANC 1  for Age "&amp;R6&amp;" "&amp;R7&amp;" is more than Positive Test at ANC 1"&amp;CHAR(10),""),IF(S186&gt;SUM(S153)," * Start HAART at ANC 1  for Age "&amp;R6&amp;" "&amp;S7&amp;" is more than Positive Test at ANC 1"&amp;CHAR(10),""),IF(T186&gt;SUM(T153)," * Start HAART at ANC 1  for Age "&amp;T6&amp;" "&amp;T7&amp;" is more than Positive Test at ANC 1"&amp;CHAR(10),""),IF(U186&gt;SUM(U153)," * Start HAART at ANC 1  for Age "&amp;T6&amp;" "&amp;U7&amp;" is more than Positive Test at ANC 1"&amp;CHAR(10),""),IF(V186&gt;SUM(V153)," * Start HAART at ANC 1  for Age "&amp;V6&amp;" "&amp;V7&amp;" is more than Positive Test at ANC 1"&amp;CHAR(10),""),IF(W186&gt;SUM(W153)," * Start HAART at ANC 1  for Age "&amp;V6&amp;" "&amp;W7&amp;" is more than Positive Test at ANC 1"&amp;CHAR(10),""),IF(X186&gt;SUM(X153)," * Start HAART at ANC 1  for Age "&amp;X6&amp;" "&amp;X7&amp;" is more than Positive Test at ANC 1"&amp;CHAR(10),""),IF(Y186&gt;SUM(Y153)," * Start HAART at ANC 1  for Age "&amp;X6&amp;" "&amp;Y7&amp;" is more than Positive Test at ANC 1"&amp;CHAR(10),""),IF(Z186&gt;SUM(Z153)," * Start HAART at ANC 1  for Age "&amp;Z6&amp;" "&amp;Z7&amp;" is more than Positive Test at ANC 1"&amp;CHAR(10),""),IF(AA186&gt;SUM(AA153)," * Start HAART at ANC 1  for Age "&amp;Z6&amp;" "&amp;AA7&amp;" is more than Positive Test at ANC 1"&amp;CHAR(10),""),IF(AJ186&gt;SUM(AJ153)," * Total Start HAART at ANC 1  is more than Positive Test at ANC 1"&amp;CHAR(10),""))</f>
        <v/>
      </c>
      <c r="AL186" s="93"/>
      <c r="AM186" s="136" t="str">
        <f>CONCATENATE(IF(D186&lt;SUM(D153)," * New positive at ANC1 for Age "&amp;D6&amp;" "&amp;D7&amp;" is greater than Start HAART ANC1"&amp;CHAR(10),""),IF(E186&lt;SUM(E153)," * New positive at ANC1 for Age "&amp;D6&amp;" "&amp;E7&amp;" is greater than Start HAART ANC1"&amp;CHAR(10),""),IF(F186&lt;SUM(F153)," * New positive at ANC1 for Age "&amp;F6&amp;" "&amp;F7&amp;" is greater than Start HAART ANC1"&amp;CHAR(10),""),IF(G186&lt;SUM(G153)," * New positive at ANC1 for Age "&amp;F6&amp;" "&amp;G7&amp;" is greater than Start HAART ANC1"&amp;CHAR(10),""),IF(H186&lt;SUM(H153)," * New positive at ANC1 for Age "&amp;H6&amp;" "&amp;H7&amp;" is greater than Start HAART ANC1"&amp;CHAR(10),""),IF(I186&lt;SUM(I153)," * New positive at ANC1 for Age "&amp;H6&amp;" "&amp;I7&amp;" is greater than Start HAART ANC1"&amp;CHAR(10),""),IF(J186&lt;SUM(J153)," * New positive at ANC1 for Age "&amp;J6&amp;" "&amp;J7&amp;" is greater than Start HAART ANC1"&amp;CHAR(10),""),IF(K186&lt;SUM(K153)," * New positive at ANC1 for Age "&amp;J6&amp;" "&amp;K7&amp;" is greater than Start HAART ANC1"&amp;CHAR(10),""),IF(L186&lt;SUM(L153)," * New positive at ANC1 for Age "&amp;L6&amp;" "&amp;L7&amp;" is greater than Start HAART ANC1"&amp;CHAR(10),""),IF(M186&lt;SUM(M153)," * New positive at ANC1 for Age "&amp;L6&amp;" "&amp;M7&amp;" is greater than Start HAART ANC1"&amp;CHAR(10),""),IF(N186&lt;SUM(N153)," * New positive at ANC1 for Age "&amp;N6&amp;" "&amp;N7&amp;" is greater than Start HAART ANC1"&amp;CHAR(10),""),IF(O186&lt;SUM(O153)," * New positive at ANC1 for Age "&amp;N6&amp;" "&amp;O7&amp;" is greater than Start HAART ANC1"&amp;CHAR(10),""),IF(P186&lt;SUM(P153)," * New positive at ANC1 for Age "&amp;P6&amp;" "&amp;P7&amp;" is greater than Start HAART ANC1"&amp;CHAR(10),""),IF(Q186&lt;SUM(Q153)," * New positive at ANC1 for Age "&amp;P6&amp;" "&amp;Q7&amp;" is greater than Start HAART ANC1"&amp;CHAR(10),""),IF(R186&lt;SUM(R153)," * New positive at ANC1 for Age "&amp;R6&amp;" "&amp;R7&amp;" is greater than Start HAART ANC1"&amp;CHAR(10),""),IF(S186&lt;SUM(S153)," * New positive at ANC1 for Age "&amp;R6&amp;" "&amp;S7&amp;" is greater than Start HAART ANC1"&amp;CHAR(10),""),IF(T186&lt;SUM(T153)," * New positive at ANC1 for Age "&amp;T6&amp;" "&amp;T7&amp;" is greater than Start HAART ANC1"&amp;CHAR(10),""),IF(U186&lt;SUM(U153)," * New positive at ANC1 for Age "&amp;T6&amp;" "&amp;U7&amp;" is greater than Start HAART ANC1"&amp;CHAR(10),""),IF(V186&lt;SUM(V153)," * New positive at ANC1 for Age "&amp;V6&amp;" "&amp;V7&amp;" is greater than Start HAART ANC1"&amp;CHAR(10),""),IF(W186&lt;SUM(W153)," * New positive at ANC1 for Age "&amp;V6&amp;" "&amp;W7&amp;" is greater than Start HAART ANC1"&amp;CHAR(10),""),IF(X186&lt;SUM(X153)," * New positive at ANC1 for Age "&amp;X6&amp;" "&amp;X7&amp;" is greater than Start HAART ANC1"&amp;CHAR(10),""),IF(Y186&lt;SUM(Y153)," * New positive at ANC1 for Age "&amp;X6&amp;" "&amp;Y7&amp;" is greater than Start HAART ANC1"&amp;CHAR(10),""),IF(Z186&lt;SUM(Z153)," * New positive at ANC1 for Age "&amp;Z6&amp;" "&amp;Z7&amp;" is greater than Start HAART ANC1"&amp;CHAR(10),""),IF(AA186&lt;SUM(AA153)," * New positive at ANC1 for Age "&amp;Z6&amp;" "&amp;AA7&amp;" is greater than Start HAART ANC1"&amp;CHAR(10),""))</f>
        <v/>
      </c>
      <c r="AN186" s="478"/>
      <c r="AO186" s="330">
        <v>231</v>
      </c>
    </row>
    <row r="187" spans="1:45" ht="31.5" thickBot="1" x14ac:dyDescent="0.65">
      <c r="A187" s="873"/>
      <c r="B187" s="715" t="s">
        <v>216</v>
      </c>
      <c r="C187" s="337" t="s">
        <v>220</v>
      </c>
      <c r="D187" s="479"/>
      <c r="E187" s="309"/>
      <c r="F187" s="309"/>
      <c r="G187" s="309"/>
      <c r="H187" s="309"/>
      <c r="I187" s="309"/>
      <c r="J187" s="480"/>
      <c r="K187" s="481">
        <f>SUM(K185:K186)</f>
        <v>0</v>
      </c>
      <c r="L187" s="309"/>
      <c r="M187" s="482">
        <f>SUM(M185:M186)</f>
        <v>0</v>
      </c>
      <c r="N187" s="309"/>
      <c r="O187" s="482">
        <f>SUM(O185:O186)</f>
        <v>0</v>
      </c>
      <c r="P187" s="309"/>
      <c r="Q187" s="482">
        <f>SUM(Q185:Q186)</f>
        <v>0</v>
      </c>
      <c r="R187" s="309"/>
      <c r="S187" s="482">
        <f>SUM(S185:S186)</f>
        <v>0</v>
      </c>
      <c r="T187" s="309"/>
      <c r="U187" s="482">
        <f>SUM(U185:U186)</f>
        <v>0</v>
      </c>
      <c r="V187" s="309"/>
      <c r="W187" s="482">
        <f>SUM(W185:W186)</f>
        <v>0</v>
      </c>
      <c r="X187" s="309"/>
      <c r="Y187" s="482">
        <f>SUM(Y185:Y186)</f>
        <v>0</v>
      </c>
      <c r="Z187" s="309"/>
      <c r="AA187" s="483">
        <f t="shared" si="109"/>
        <v>0</v>
      </c>
      <c r="AB187" s="484">
        <f>SUM(AB185:AB186)</f>
        <v>0</v>
      </c>
      <c r="AC187" s="309"/>
      <c r="AD187" s="482">
        <f>SUM(AD185:AD186)</f>
        <v>0</v>
      </c>
      <c r="AE187" s="309"/>
      <c r="AF187" s="482">
        <f>SUM(AF185:AF186)</f>
        <v>0</v>
      </c>
      <c r="AG187" s="309"/>
      <c r="AH187" s="485">
        <f>SUM(AH185:AH186)</f>
        <v>0</v>
      </c>
      <c r="AI187" s="486"/>
      <c r="AJ187" s="250">
        <f t="shared" si="110"/>
        <v>0</v>
      </c>
      <c r="AK187" s="349"/>
      <c r="AL187" s="93"/>
      <c r="AM187" s="136"/>
      <c r="AN187" s="478"/>
      <c r="AO187" s="330">
        <v>232</v>
      </c>
    </row>
    <row r="188" spans="1:45" ht="26.25" customHeight="1" x14ac:dyDescent="0.6">
      <c r="A188" s="876" t="s">
        <v>720</v>
      </c>
      <c r="B188" s="747" t="s">
        <v>293</v>
      </c>
      <c r="C188" s="115" t="s">
        <v>221</v>
      </c>
      <c r="D188" s="466"/>
      <c r="E188" s="306"/>
      <c r="F188" s="306"/>
      <c r="G188" s="306"/>
      <c r="H188" s="306"/>
      <c r="I188" s="306"/>
      <c r="J188" s="467"/>
      <c r="K188" s="252"/>
      <c r="L188" s="306"/>
      <c r="M188" s="248"/>
      <c r="N188" s="306"/>
      <c r="O188" s="248"/>
      <c r="P188" s="306"/>
      <c r="Q188" s="248"/>
      <c r="R188" s="306"/>
      <c r="S188" s="248"/>
      <c r="T188" s="306"/>
      <c r="U188" s="248"/>
      <c r="V188" s="306"/>
      <c r="W188" s="248"/>
      <c r="X188" s="306"/>
      <c r="Y188" s="248"/>
      <c r="Z188" s="306"/>
      <c r="AA188" s="271">
        <f t="shared" si="109"/>
        <v>0</v>
      </c>
      <c r="AB188" s="468"/>
      <c r="AC188" s="469"/>
      <c r="AD188" s="248"/>
      <c r="AE188" s="469"/>
      <c r="AF188" s="248"/>
      <c r="AG188" s="469"/>
      <c r="AH188" s="249"/>
      <c r="AI188" s="487"/>
      <c r="AJ188" s="488">
        <f t="shared" si="110"/>
        <v>0</v>
      </c>
      <c r="AK188" s="349"/>
      <c r="AL188" s="93"/>
      <c r="AM188" s="138" t="str">
        <f>CONCATENATE(IF(D189&lt;&gt;SUM(D163)," * Retest Positive Result at ANC 2 and above for Age "&amp;D6&amp;" "&amp;D7&amp;" is not equal to Initial start HAART at ANC2 and above"&amp;CHAR(10),""),IF(E189&lt;&gt;SUM(E163)," * Retest Positive Result at ANC 2 and above for Age "&amp;D6&amp;" "&amp;E7&amp;" is not equal to Initial start HAART at ANC2 and above"&amp;CHAR(10),""),IF(F189&lt;&gt;SUM(F163)," * Retest Positive Result at ANC 2 and above for Age "&amp;F6&amp;" "&amp;F7&amp;" is not equal to Initial start HAART at ANC2 and above"&amp;CHAR(10),""),IF(G189&lt;&gt;SUM(G163)," * Retest Positive Result at ANC 2 and above for Age "&amp;F6&amp;" "&amp;G7&amp;" is not equal to Initial start HAART at ANC2 and above"&amp;CHAR(10),""),IF(H189&lt;&gt;SUM(H163)," * Retest Positive Result at ANC 2 and above for Age "&amp;H6&amp;" "&amp;H7&amp;" is not equal to Initial start HAART at ANC2 and above"&amp;CHAR(10),""),IF(I189&lt;&gt;SUM(I163)," * Retest Positive Result at ANC 2 and above for Age "&amp;H6&amp;" "&amp;I7&amp;" is not equal to Initial start HAART at ANC2 and above"&amp;CHAR(10),""),IF(J189&lt;&gt;SUM(J163)," * Retest Positive Result at ANC 2 and above for Age "&amp;J6&amp;" "&amp;J7&amp;" is not equal to Initial start HAART at ANC2 and above"&amp;CHAR(10),""),IF(K189&lt;&gt;K163," * Retest Positive Result at ANC 2 and above for Age "&amp;J6&amp;" "&amp;K7&amp;" is not equal to Initial start HAART at ANC2 and above"&amp;CHAR(10),""),IF(L189&lt;&gt;SUM(L163)," * Retest Positive Result at ANC 2 and above for Age "&amp;L6&amp;" "&amp;L7&amp;" is not equal to Initial start HAART at ANC2 and above"&amp;CHAR(10),""),IF(M189&lt;&gt;SUM(M163)," * Retest Positive Result at ANC 2 and above for Age "&amp;L6&amp;" "&amp;M7&amp;" is not equal to Initial start HAART at ANC2 and above"&amp;CHAR(10),""),IF(N189&lt;&gt;SUM(N163)," * Retest Positive Result at ANC 2 and above for Age "&amp;N6&amp;" "&amp;N7&amp;" is not equal to Initial start HAART at ANC2 and above"&amp;CHAR(10),""),IF(O189&lt;&gt;SUM(O163)," * Retest Positive Result at ANC 2 and above for Age "&amp;N6&amp;" "&amp;O7&amp;" is not equal to Initial start HAART at ANC2 and above"&amp;CHAR(10),""),IF(P189&lt;&gt;SUM(P163)," * Retest Positive Result at ANC 2 and above for Age "&amp;P6&amp;" "&amp;P7&amp;" is not equal to Initial start HAART at ANC2 and above"&amp;CHAR(10),""),IF(Q189&lt;&gt;SUM(Q163)," * Retest Positive Result at ANC 2 and above for Age "&amp;P6&amp;" "&amp;Q7&amp;" is not equal to Initial start HAART at ANC2 and above"&amp;CHAR(10),""),IF(R189&lt;&gt;SUM(R163)," * Retest Positive Result at ANC 2 and above for Age "&amp;R6&amp;" "&amp;R7&amp;" is not equal to Initial start HAART at ANC2 and above"&amp;CHAR(10),""),IF(S189&lt;&gt;SUM(S163)," * Retest Positive Result at ANC 2 and above for Age "&amp;R6&amp;" "&amp;S7&amp;" is not equal to Initial start HAART at ANC2 and above"&amp;CHAR(10),""),IF(T189&lt;&gt;SUM(T163)," * Retest Positive Result at ANC 2 and above for Age "&amp;T6&amp;" "&amp;T7&amp;" is not equal to Initial start HAART at ANC2 and above"&amp;CHAR(10),""),IF(U189&lt;&gt;SUM(U163)," * Retest Positive Result at ANC 2 and above for Age "&amp;T6&amp;" "&amp;U7&amp;" is not equal to Initial start HAART at ANC2 and above"&amp;CHAR(10),""),IF(V189&lt;&gt;SUM(V163)," * Retest Positive Result at ANC 2 and above for Age "&amp;V6&amp;" "&amp;V7&amp;" is not equal to Initial start HAART at ANC2 and above"&amp;CHAR(10),""),IF(W189&lt;&gt;SUM(W163)," * Retest Positive Result at ANC 2 and above for Age "&amp;V6&amp;" "&amp;W7&amp;" is not equal to Initial start HAART at ANC2 and above"&amp;CHAR(10),""),IF(X189&lt;&gt;SUM(X163)," * Retest Positive Result at ANC 2 and above for Age "&amp;X6&amp;" "&amp;X7&amp;" is not equal to Initial start HAART at ANC2 and above"&amp;CHAR(10),""),IF(Y189&lt;&gt;SUM(Y163)," * Retest Positive Result at ANC 2 and above for Age "&amp;X6&amp;" "&amp;Y7&amp;" is not equal to Initial start HAART at ANC2 and above"&amp;CHAR(10),""),IF(Z189&lt;&gt;SUM(Z163)," * Retest Positive Result at ANC 2 and above for Age "&amp;Z6&amp;" "&amp;Z7&amp;" is not equal to Initial start HAART at ANC2 and above"&amp;CHAR(10),""),IF(AA189&lt;&gt;SUM(AA163)," * Retest Positive Result at ANC 2 and above for Age "&amp;Z6&amp;" "&amp;AA7&amp;" is not equal to Initial start HAART at ANC2 and above"&amp;CHAR(10),""))</f>
        <v/>
      </c>
      <c r="AN188" s="478"/>
      <c r="AO188" s="330">
        <v>233</v>
      </c>
    </row>
    <row r="189" spans="1:45" ht="31.5" thickBot="1" x14ac:dyDescent="0.65">
      <c r="A189" s="878"/>
      <c r="B189" s="748" t="s">
        <v>217</v>
      </c>
      <c r="C189" s="337" t="s">
        <v>222</v>
      </c>
      <c r="D189" s="479"/>
      <c r="E189" s="309"/>
      <c r="F189" s="309"/>
      <c r="G189" s="309"/>
      <c r="H189" s="309"/>
      <c r="I189" s="309"/>
      <c r="J189" s="480"/>
      <c r="K189" s="489"/>
      <c r="L189" s="309"/>
      <c r="M189" s="490"/>
      <c r="N189" s="309"/>
      <c r="O189" s="490"/>
      <c r="P189" s="309"/>
      <c r="Q189" s="490"/>
      <c r="R189" s="309"/>
      <c r="S189" s="490"/>
      <c r="T189" s="309"/>
      <c r="U189" s="490"/>
      <c r="V189" s="309"/>
      <c r="W189" s="490"/>
      <c r="X189" s="309"/>
      <c r="Y189" s="490"/>
      <c r="Z189" s="309"/>
      <c r="AA189" s="483">
        <f t="shared" si="109"/>
        <v>0</v>
      </c>
      <c r="AB189" s="491"/>
      <c r="AC189" s="492"/>
      <c r="AD189" s="490"/>
      <c r="AE189" s="492"/>
      <c r="AF189" s="490"/>
      <c r="AG189" s="492"/>
      <c r="AH189" s="493"/>
      <c r="AI189" s="472"/>
      <c r="AJ189" s="488">
        <f t="shared" si="110"/>
        <v>0</v>
      </c>
      <c r="AK189" s="349"/>
      <c r="AL189" s="93"/>
      <c r="AM189" s="138" t="str">
        <f>CONCATENATE(IF(D189&lt;&gt;SUM(D163)," * Retest Positive Result at ANC 2 and above for Age "&amp;D6&amp;" "&amp;D7&amp;" is not equal to Retest start HAART at ANC2 and above"&amp;CHAR(10),""),IF(E189&lt;&gt;SUM(E163)," * Retest Positive Result at ANC 2 and above for Age "&amp;D6&amp;" "&amp;E7&amp;" is not equal to Retest start HAART at ANC2 and above"&amp;CHAR(10),""),IF(F189&lt;&gt;SUM(F163)," * Retest Positive Result at ANC 2 and above for Age "&amp;F6&amp;" "&amp;F7&amp;" is not equal to Retest start HAART at ANC2 and above"&amp;CHAR(10),""),IF(G189&lt;&gt;SUM(G163)," * Retest Positive Result at ANC 2 and above for Age "&amp;F6&amp;" "&amp;G7&amp;" is not equal to Retest start HAART at ANC2 and above"&amp;CHAR(10),""),IF(H189&lt;&gt;SUM(H163)," * Retest Positive Result at ANC 2 and above for Age "&amp;H6&amp;" "&amp;H7&amp;" is not equal to Retest start HAART at ANC2 and above"&amp;CHAR(10),""),IF(I189&lt;&gt;SUM(I163)," * Retest Positive Result at ANC 2 and above for Age "&amp;H6&amp;" "&amp;I7&amp;" is not equal to Retest start HAART at ANC2 and above"&amp;CHAR(10),""),IF(J189&lt;&gt;SUM(J163)," * Retest Positive Result at ANC 2 and above for Age "&amp;J6&amp;" "&amp;J7&amp;" is not equal to Retest start HAART at ANC2 and above"&amp;CHAR(10),""),IF(K189&lt;&gt;K163," * Retest Positive Result at ANC 2 and above for Age "&amp;J6&amp;" "&amp;K7&amp;" is not equal to Retest start HAART at ANC2 and above"&amp;CHAR(10),""),IF(L189&lt;&gt;SUM(L163)," * Retest Positive Result at ANC 2 and above for Age "&amp;L6&amp;" "&amp;L7&amp;" is not equal to Retest start HAART at ANC2 and above"&amp;CHAR(10),""),IF(M189&lt;&gt;SUM(M163)," * Retest Positive Result at ANC 2 and above for Age "&amp;L6&amp;" "&amp;M7&amp;" is not equal to Retest start HAART at ANC2 and above"&amp;CHAR(10),""),IF(N189&lt;&gt;SUM(N163)," * Retest Positive Result at ANC 2 and above for Age "&amp;N6&amp;" "&amp;N7&amp;" is not equal to Retest start HAART at ANC2 and above"&amp;CHAR(10),""),IF(O189&lt;&gt;SUM(O163)," * Retest Positive Result at ANC 2 and above for Age "&amp;N6&amp;" "&amp;O7&amp;" is not equal to Retest start HAART at ANC2 and above"&amp;CHAR(10),""),IF(P189&lt;&gt;SUM(P163)," * Retest Positive Result at ANC 2 and above for Age "&amp;P6&amp;" "&amp;P7&amp;" is not equal to Retest start HAART at ANC2 and above"&amp;CHAR(10),""),IF(Q189&lt;&gt;SUM(Q163)," * Retest Positive Result at ANC 2 and above for Age "&amp;P6&amp;" "&amp;Q7&amp;" is not equal to Retest start HAART at ANC2 and above"&amp;CHAR(10),""),IF(R189&lt;&gt;SUM(R163)," * Retest Positive Result at ANC 2 and above for Age "&amp;R6&amp;" "&amp;R7&amp;" is not equal to Retest start HAART at ANC2 and above"&amp;CHAR(10),""),IF(S189&lt;&gt;SUM(S163)," * Retest Positive Result at ANC 2 and above for Age "&amp;R6&amp;" "&amp;S7&amp;" is not equal to Retest start HAART at ANC2 and above"&amp;CHAR(10),""),IF(T189&lt;&gt;SUM(T163)," * Retest Positive Result at ANC 2 and above for Age "&amp;T6&amp;" "&amp;T7&amp;" is not equal to Retest start HAART at ANC2 and above"&amp;CHAR(10),""),IF(U189&lt;&gt;SUM(U163)," * Retest Positive Result at ANC 2 and above for Age "&amp;T6&amp;" "&amp;U7&amp;" is not equal to Retest start HAART at ANC2 and above"&amp;CHAR(10),""),IF(V189&lt;&gt;SUM(V163)," * Retest Positive Result at ANC 2 and above for Age "&amp;V6&amp;" "&amp;V7&amp;" is not equal to Retest start HAART at ANC2 and above"&amp;CHAR(10),""),IF(W189&lt;&gt;SUM(W163)," * Retest Positive Result at ANC 2 and above for Age "&amp;V6&amp;" "&amp;W7&amp;" is not equal to Retest start HAART at ANC2 and above"&amp;CHAR(10),""),IF(X189&lt;&gt;SUM(X163)," * Retest Positive Result at ANC 2 and above for Age "&amp;X6&amp;" "&amp;X7&amp;" is not equal to Retest start HAART at ANC2 and above"&amp;CHAR(10),""),IF(Y189&lt;&gt;SUM(Y163)," * Retest Positive Result at ANC 2 and above for Age "&amp;X6&amp;" "&amp;Y7&amp;" is not equal to Retest start HAART at ANC2 and above"&amp;CHAR(10),""),IF(Z189&lt;&gt;SUM(Z163)," * Retest Positive Result at ANC 2 and above for Age "&amp;Z6&amp;" "&amp;Z7&amp;" is not equal to Retest start HAART at ANC2 and above"&amp;CHAR(10),""),IF(AA189&lt;&gt;SUM(AA163)," * Retest Positive Result at ANC 2 and above for Age "&amp;Z6&amp;" "&amp;AA7&amp;" is not equal to Retest start HAART at ANC2 and above"&amp;CHAR(10),""))</f>
        <v/>
      </c>
      <c r="AN189" s="478"/>
      <c r="AO189" s="330">
        <v>234</v>
      </c>
    </row>
    <row r="190" spans="1:45" s="7" customFormat="1" x14ac:dyDescent="0.6">
      <c r="A190" s="868" t="s">
        <v>643</v>
      </c>
      <c r="B190" s="747" t="s">
        <v>510</v>
      </c>
      <c r="C190" s="115" t="s">
        <v>142</v>
      </c>
      <c r="D190" s="466"/>
      <c r="E190" s="306"/>
      <c r="F190" s="306"/>
      <c r="G190" s="306"/>
      <c r="H190" s="306"/>
      <c r="I190" s="306"/>
      <c r="J190" s="467"/>
      <c r="K190" s="252"/>
      <c r="L190" s="306"/>
      <c r="M190" s="248"/>
      <c r="N190" s="306"/>
      <c r="O190" s="248"/>
      <c r="P190" s="306"/>
      <c r="Q190" s="248"/>
      <c r="R190" s="306"/>
      <c r="S190" s="248"/>
      <c r="T190" s="306"/>
      <c r="U190" s="248"/>
      <c r="V190" s="306"/>
      <c r="W190" s="248"/>
      <c r="X190" s="306"/>
      <c r="Y190" s="248"/>
      <c r="Z190" s="306"/>
      <c r="AA190" s="271">
        <f t="shared" si="109"/>
        <v>0</v>
      </c>
      <c r="AB190" s="468"/>
      <c r="AC190" s="469"/>
      <c r="AD190" s="248"/>
      <c r="AE190" s="469"/>
      <c r="AF190" s="248"/>
      <c r="AG190" s="469"/>
      <c r="AH190" s="249"/>
      <c r="AI190" s="472"/>
      <c r="AJ190" s="488">
        <f t="shared" si="110"/>
        <v>0</v>
      </c>
      <c r="AK190" s="494" t="str">
        <f>CONCATENATE(IF(D190&gt;D165," * start HAART L&amp;D  for Age "&amp;D6&amp;" "&amp;D7&amp;" is more than Positive Result L&amp;D "&amp;CHAR(10),""),IF(E190&gt;E165," * start HAART L&amp;D  for Age "&amp;D6&amp;" "&amp;E7&amp;" is more than Positive Result L&amp;D "&amp;CHAR(10),""),IF(F190&gt;F165," * start HAART L&amp;D  for Age "&amp;F6&amp;" "&amp;F7&amp;" is more than Positive Result L&amp;D "&amp;CHAR(10),""),IF(G190&gt;G165," * start HAART L&amp;D  for Age "&amp;F6&amp;" "&amp;G7&amp;" is more than Positive Result L&amp;D "&amp;CHAR(10),""),IF(H190&gt;H165," * start HAART L&amp;D  for Age "&amp;H6&amp;" "&amp;H7&amp;" is more than Positive Result L&amp;D "&amp;CHAR(10),""),IF(I190&gt;I165," * start HAART L&amp;D  for Age "&amp;H6&amp;" "&amp;I7&amp;" is more than Positive Result L&amp;D "&amp;CHAR(10),""),IF(J190&gt;J165," * start HAART L&amp;D  for Age "&amp;J6&amp;" "&amp;J7&amp;" is more than Positive Result L&amp;D "&amp;CHAR(10),""),IF(K190&gt;K165," * start HAART L&amp;D  for Age "&amp;J6&amp;" "&amp;K7&amp;" is more than Positive Result L&amp;D "&amp;CHAR(10),""),IF(L190&gt;L165," * start HAART L&amp;D  for Age "&amp;L6&amp;" "&amp;L7&amp;" is more than Positive Result L&amp;D "&amp;CHAR(10),""),IF(M190&gt;M165," * start HAART L&amp;D  for Age "&amp;L6&amp;" "&amp;M7&amp;" is more than Positive Result L&amp;D "&amp;CHAR(10),""),IF(N190&gt;N165," * start HAART L&amp;D  for Age "&amp;N6&amp;" "&amp;N7&amp;" is more than Positive Result L&amp;D "&amp;CHAR(10),""),IF(O190&gt;O165," * start HAART L&amp;D  for Age "&amp;N6&amp;" "&amp;O7&amp;" is more than Positive Result L&amp;D "&amp;CHAR(10),""),IF(P190&gt;P165," * start HAART L&amp;D  for Age "&amp;P6&amp;" "&amp;P7&amp;" is more than Positive Result L&amp;D "&amp;CHAR(10),""),IF(Q190&gt;Q165," * start HAART L&amp;D  for Age "&amp;P6&amp;" "&amp;Q7&amp;" is more than Positive Result L&amp;D "&amp;CHAR(10),""),IF(R190&gt;R165," * start HAART L&amp;D  for Age "&amp;R6&amp;" "&amp;R7&amp;" is more than Positive Result L&amp;D "&amp;CHAR(10),""),IF(S190&gt;S165," * start HAART L&amp;D  for Age "&amp;R6&amp;" "&amp;S7&amp;" is more than Positive Result L&amp;D "&amp;CHAR(10),""),IF(T190&gt;T165," * start HAART L&amp;D  for Age "&amp;T6&amp;" "&amp;T7&amp;" is more than Positive Result L&amp;D "&amp;CHAR(10),""),IF(U190&gt;U165," * start HAART L&amp;D  for Age "&amp;T6&amp;" "&amp;U7&amp;" is more than Positive Result L&amp;D "&amp;CHAR(10),""),IF(V190&gt;V165," * start HAART L&amp;D  for Age "&amp;V6&amp;" "&amp;V7&amp;" is more than Positive Result L&amp;D "&amp;CHAR(10),""),IF(W190&gt;W165," * start HAART L&amp;D  for Age "&amp;V6&amp;" "&amp;W7&amp;" is more than Positive Result L&amp;D "&amp;CHAR(10),""),IF(X190&gt;X165," * start HAART L&amp;D  for Age "&amp;X6&amp;" "&amp;X7&amp;" is more than Positive Result L&amp;D "&amp;CHAR(10),""),IF(Y190&gt;Y165," * start HAART L&amp;D  for Age "&amp;X6&amp;" "&amp;Y7&amp;" is more than Positive Result L&amp;D "&amp;CHAR(10),""),IF(Z190&gt;Z165," * start HAART L&amp;D  for Age "&amp;Z6&amp;" "&amp;Z7&amp;" is more than Positive Result L&amp;D "&amp;CHAR(10),""),IF(AA190&gt;AA165," * start HAART L&amp;D  for Age "&amp;Z6&amp;" "&amp;AA7&amp;" is more than Positive Result L&amp;D "&amp;CHAR(10),"")
)</f>
        <v/>
      </c>
      <c r="AL190" s="93"/>
      <c r="AM190" s="138" t="str">
        <f>CONCATENATE(IF(D190&lt;D165," * start HAART L&amp;D  for Age "&amp;D6&amp;" "&amp;D7&amp;" is less than Positive Result L&amp;D "&amp;CHAR(10),""),IF(E190&lt;E165," * start HAART L&amp;D  for Age "&amp;D6&amp;" "&amp;E7&amp;" is less than Positive Result L&amp;D "&amp;CHAR(10),""),IF(F190&lt;F165," * start HAART L&amp;D  for Age "&amp;F6&amp;" "&amp;F7&amp;" is less than Positive Result L&amp;D "&amp;CHAR(10),""),IF(G190&lt;G165," * start HAART L&amp;D  for Age "&amp;F6&amp;" "&amp;G7&amp;" is less than Positive Result L&amp;D "&amp;CHAR(10),""),IF(H190&lt;H165," * start HAART L&amp;D  for Age "&amp;H6&amp;" "&amp;H7&amp;" is less than Positive Result L&amp;D "&amp;CHAR(10),""),IF(I190&lt;I165," * start HAART L&amp;D  for Age "&amp;H6&amp;" "&amp;I7&amp;" is less than Positive Result L&amp;D "&amp;CHAR(10),""),IF(J190&lt;J165," * start HAART L&amp;D  for Age "&amp;J6&amp;" "&amp;J7&amp;" is less than Positive Result L&amp;D "&amp;CHAR(10),""),IF(K190&lt;K165," * start HAART L&amp;D  for Age "&amp;J6&amp;" "&amp;K7&amp;" is less than Positive Result L&amp;D "&amp;CHAR(10),""),IF(L190&lt;L165," * start HAART L&amp;D  for Age "&amp;L6&amp;" "&amp;L7&amp;" is less than Positive Result L&amp;D "&amp;CHAR(10),""),IF(M190&lt;M165," * start HAART L&amp;D  for Age "&amp;L6&amp;" "&amp;M7&amp;" is less than Positive Result L&amp;D "&amp;CHAR(10),""),IF(N190&lt;N165," * start HAART L&amp;D  for Age "&amp;N6&amp;" "&amp;N7&amp;" is less than Positive Result L&amp;D "&amp;CHAR(10),""),IF(O190&lt;O165," * start HAART L&amp;D  for Age "&amp;N6&amp;" "&amp;O7&amp;" is less than Positive Result L&amp;D "&amp;CHAR(10),""),IF(P190&lt;P165," * start HAART L&amp;D  for Age "&amp;P6&amp;" "&amp;P7&amp;" is less than Positive Result L&amp;D "&amp;CHAR(10),""),IF(Q190&lt;Q165," * start HAART L&amp;D  for Age "&amp;P6&amp;" "&amp;Q7&amp;" is less than Positive Result L&amp;D "&amp;CHAR(10),""),IF(R190&lt;R165," * start HAART L&amp;D  for Age "&amp;R6&amp;" "&amp;R7&amp;" is less than Positive Result L&amp;D "&amp;CHAR(10),""),IF(S190&lt;S165," * start HAART L&amp;D  for Age "&amp;R6&amp;" "&amp;S7&amp;" is less than Positive Result L&amp;D "&amp;CHAR(10),""),IF(T190&lt;T165," * start HAART L&amp;D  for Age "&amp;T6&amp;" "&amp;T7&amp;" is less than Positive Result L&amp;D "&amp;CHAR(10),""),IF(U190&lt;U165," * start HAART L&amp;D  for Age "&amp;T6&amp;" "&amp;U7&amp;" is less than Positive Result L&amp;D "&amp;CHAR(10),""),IF(V190&lt;V165," * start HAART L&amp;D  for Age "&amp;V6&amp;" "&amp;V7&amp;" is less than Positive Result L&amp;D "&amp;CHAR(10),""),IF(W190&lt;W165," * start HAART L&amp;D  for Age "&amp;V6&amp;" "&amp;W7&amp;" is less than Positive Result L&amp;D "&amp;CHAR(10),""),IF(X190&lt;X165," * start HAART L&amp;D  for Age "&amp;X6&amp;" "&amp;X7&amp;" is less than Positive Result L&amp;D "&amp;CHAR(10),""),IF(Y190&lt;Y165," * start HAART L&amp;D  for Age "&amp;X6&amp;" "&amp;Y7&amp;" is less than Positive Result L&amp;D "&amp;CHAR(10),""),IF(Z190&lt;Z165," * start HAART L&amp;D  for Age "&amp;Z6&amp;" "&amp;Z7&amp;" is less than Positive Result L&amp;D "&amp;CHAR(10),""),IF(AA190&lt;AA165," * start HAART L&amp;D  for Age "&amp;Z6&amp;" "&amp;AA7&amp;" is less than Positive Result L&amp;D "&amp;CHAR(10),""))</f>
        <v/>
      </c>
      <c r="AN190" s="478"/>
      <c r="AO190" s="330">
        <v>235</v>
      </c>
      <c r="AQ190" s="1046"/>
      <c r="AR190" s="1046"/>
      <c r="AS190" s="1046"/>
    </row>
    <row r="191" spans="1:45" s="7" customFormat="1" ht="31.5" thickBot="1" x14ac:dyDescent="0.65">
      <c r="A191" s="870"/>
      <c r="B191" s="748" t="s">
        <v>270</v>
      </c>
      <c r="C191" s="337" t="s">
        <v>271</v>
      </c>
      <c r="D191" s="479"/>
      <c r="E191" s="309"/>
      <c r="F191" s="309"/>
      <c r="G191" s="309"/>
      <c r="H191" s="309"/>
      <c r="I191" s="309"/>
      <c r="J191" s="480"/>
      <c r="K191" s="489"/>
      <c r="L191" s="309"/>
      <c r="M191" s="490"/>
      <c r="N191" s="309"/>
      <c r="O191" s="490"/>
      <c r="P191" s="309"/>
      <c r="Q191" s="490"/>
      <c r="R191" s="309"/>
      <c r="S191" s="490"/>
      <c r="T191" s="309"/>
      <c r="U191" s="490"/>
      <c r="V191" s="309"/>
      <c r="W191" s="490"/>
      <c r="X191" s="309"/>
      <c r="Y191" s="490"/>
      <c r="Z191" s="309"/>
      <c r="AA191" s="483">
        <f t="shared" si="109"/>
        <v>0</v>
      </c>
      <c r="AB191" s="491"/>
      <c r="AC191" s="492"/>
      <c r="AD191" s="490"/>
      <c r="AE191" s="492"/>
      <c r="AF191" s="490"/>
      <c r="AG191" s="492"/>
      <c r="AH191" s="493"/>
      <c r="AI191" s="472"/>
      <c r="AJ191" s="488">
        <f t="shared" si="110"/>
        <v>0</v>
      </c>
      <c r="AK191" s="494" t="str">
        <f>CONCATENATE(IF(D191&gt;D167," * Retested start HAART L&amp;D  for Age "&amp;D6&amp;" "&amp;D7&amp;" is more than Retested Positive Result L&amp;D "&amp;CHAR(10),""),IF(E191&gt;E167," * Retested start HAART L&amp;D  for Age "&amp;D6&amp;" "&amp;E7&amp;" is more than Retested Positive Result L&amp;D "&amp;CHAR(10),""),IF(F191&gt;F167," * Retested start HAART L&amp;D  for Age "&amp;F6&amp;" "&amp;F7&amp;" is more than Retested Positive Result L&amp;D "&amp;CHAR(10),""),IF(G191&gt;G167," * Retested start HAART L&amp;D  for Age "&amp;F6&amp;" "&amp;G7&amp;" is more than Retested Positive Result L&amp;D "&amp;CHAR(10),""),IF(H191&gt;H167," * Retested start HAART L&amp;D  for Age "&amp;H6&amp;" "&amp;H7&amp;" is more than Retested Positive Result L&amp;D "&amp;CHAR(10),""),IF(I191&gt;I167," * Retested start HAART L&amp;D  for Age "&amp;H6&amp;" "&amp;I7&amp;" is more than Retested Positive Result L&amp;D "&amp;CHAR(10),""),IF(J191&gt;J167," * Retested start HAART L&amp;D  for Age "&amp;J6&amp;" "&amp;J7&amp;" is more than Retested Positive Result L&amp;D "&amp;CHAR(10),""),IF(K191&gt;K167," * Retested start HAART L&amp;D  for Age "&amp;J6&amp;" "&amp;K7&amp;" is more than Retested Positive Result L&amp;D "&amp;CHAR(10),""),IF(L191&gt;L167," * Retested start HAART L&amp;D  for Age "&amp;L6&amp;" "&amp;L7&amp;" is more than Retested Positive Result L&amp;D "&amp;CHAR(10),""),IF(M191&gt;M167," * Retested start HAART L&amp;D  for Age "&amp;L6&amp;" "&amp;M7&amp;" is more than Retested Positive Result L&amp;D "&amp;CHAR(10),""),IF(N191&gt;N167," * Retested start HAART L&amp;D  for Age "&amp;N6&amp;" "&amp;N7&amp;" is more than Retested Positive Result L&amp;D "&amp;CHAR(10),""),IF(O191&gt;O167," * Retested start HAART L&amp;D  for Age "&amp;N6&amp;" "&amp;O7&amp;" is more than Retested Positive Result L&amp;D "&amp;CHAR(10),""),IF(P191&gt;P167," * Retested start HAART L&amp;D  for Age "&amp;P6&amp;" "&amp;P7&amp;" is more than Retested Positive Result L&amp;D "&amp;CHAR(10),""),IF(Q191&gt;Q167," * Retested start HAART L&amp;D  for Age "&amp;P6&amp;" "&amp;Q7&amp;" is more than Retested Positive Result L&amp;D "&amp;CHAR(10),""),IF(R191&gt;R167," * Retested start HAART L&amp;D  for Age "&amp;R6&amp;" "&amp;R7&amp;" is more than Retested Positive Result L&amp;D "&amp;CHAR(10),""),IF(S191&gt;S167," * Retested start HAART L&amp;D  for Age "&amp;R6&amp;" "&amp;S7&amp;" is more than Retested Positive Result L&amp;D "&amp;CHAR(10),""),IF(T191&gt;T167," * Retested start HAART L&amp;D  for Age "&amp;T6&amp;" "&amp;T7&amp;" is more than Retested Positive Result L&amp;D "&amp;CHAR(10),""),IF(U191&gt;U167," * Retested start HAART L&amp;D  for Age "&amp;T6&amp;" "&amp;U7&amp;" is more than Retested Positive Result L&amp;D "&amp;CHAR(10),""),IF(V191&gt;V167," * Retested start HAART L&amp;D  for Age "&amp;V6&amp;" "&amp;V7&amp;" is more than Retested Positive Result L&amp;D "&amp;CHAR(10),""),IF(W191&gt;W167," * Retested start HAART L&amp;D  for Age "&amp;V6&amp;" "&amp;W7&amp;" is more than Retested Positive Result L&amp;D "&amp;CHAR(10),""),IF(X191&gt;X167," * Retested start HAART L&amp;D  for Age "&amp;X6&amp;" "&amp;X7&amp;" is more than Retested Positive Result L&amp;D "&amp;CHAR(10),""),IF(Y191&gt;Y167," * Retested start HAART L&amp;D  for Age "&amp;X6&amp;" "&amp;Y7&amp;" is more than Retested Positive Result L&amp;D "&amp;CHAR(10),""),IF(Z191&gt;Z167," * Retested start HAART L&amp;D  for Age "&amp;Z6&amp;" "&amp;Z7&amp;" is more than Retested Positive Result L&amp;D "&amp;CHAR(10),""),IF(AA191&gt;AA167," * Retested start HAART L&amp;D  for Age "&amp;Z6&amp;" "&amp;AA7&amp;" is more than Retested Positive Result L&amp;D "&amp;CHAR(10),"")
)</f>
        <v/>
      </c>
      <c r="AL191" s="93"/>
      <c r="AM191" s="138"/>
      <c r="AN191" s="478"/>
      <c r="AO191" s="330">
        <v>236</v>
      </c>
      <c r="AQ191" s="1046"/>
      <c r="AR191" s="1046"/>
      <c r="AS191" s="1046"/>
    </row>
    <row r="192" spans="1:45" x14ac:dyDescent="0.6">
      <c r="A192" s="864" t="s">
        <v>644</v>
      </c>
      <c r="B192" s="747" t="s">
        <v>218</v>
      </c>
      <c r="C192" s="115" t="s">
        <v>143</v>
      </c>
      <c r="D192" s="466"/>
      <c r="E192" s="306"/>
      <c r="F192" s="306"/>
      <c r="G192" s="306"/>
      <c r="H192" s="306"/>
      <c r="I192" s="306"/>
      <c r="J192" s="467"/>
      <c r="K192" s="252"/>
      <c r="L192" s="306"/>
      <c r="M192" s="248"/>
      <c r="N192" s="306"/>
      <c r="O192" s="248"/>
      <c r="P192" s="306"/>
      <c r="Q192" s="248"/>
      <c r="R192" s="306"/>
      <c r="S192" s="248"/>
      <c r="T192" s="306"/>
      <c r="U192" s="248"/>
      <c r="V192" s="306"/>
      <c r="W192" s="248"/>
      <c r="X192" s="306"/>
      <c r="Y192" s="248"/>
      <c r="Z192" s="306"/>
      <c r="AA192" s="271">
        <f t="shared" si="109"/>
        <v>0</v>
      </c>
      <c r="AB192" s="468"/>
      <c r="AC192" s="469"/>
      <c r="AD192" s="248"/>
      <c r="AE192" s="469"/>
      <c r="AF192" s="248"/>
      <c r="AG192" s="469"/>
      <c r="AH192" s="249"/>
      <c r="AI192" s="472"/>
      <c r="AJ192" s="488">
        <f t="shared" si="110"/>
        <v>0</v>
      </c>
      <c r="AK192" s="349" t="str">
        <f>CONCATENATE(IF(D192&gt;D169," * F06-16 for Age "&amp;D6&amp;" "&amp;D7&amp;" is more than F06-10"&amp;CHAR(10),""),IF(E192&gt;E169," * F06-16 for Age "&amp;D6&amp;" "&amp;E7&amp;" is more than F06-10"&amp;CHAR(10),""),IF(F192&gt;F169," * F06-16 for Age "&amp;F6&amp;" "&amp;F7&amp;" is more than F06-10"&amp;CHAR(10),""),IF(G192&gt;G169," * F06-16 for Age "&amp;F6&amp;" "&amp;G7&amp;" is more than F06-10"&amp;CHAR(10),""),IF(H192&gt;H169," * F06-16 for Age "&amp;H6&amp;" "&amp;H7&amp;" is more than F06-10"&amp;CHAR(10),""),IF(I192&gt;I169," * F06-16 for Age "&amp;H6&amp;" "&amp;I7&amp;" is more than F06-10"&amp;CHAR(10),""),IF(J192&gt;J169," * F06-16 for Age "&amp;J6&amp;" "&amp;J7&amp;" is more than F06-10"&amp;CHAR(10),""),IF(K192&gt;K169," * F06-16 for Age "&amp;J6&amp;" "&amp;K7&amp;" is more than F06-10"&amp;CHAR(10),""),IF(L192&gt;L169," * F06-16 for Age "&amp;L6&amp;" "&amp;L7&amp;" is more than F06-10"&amp;CHAR(10),""),IF(M192&gt;M169," * F06-16 for Age "&amp;L6&amp;" "&amp;M7&amp;" is more than F06-10"&amp;CHAR(10),""),IF(N192&gt;N169," * F06-16 for Age "&amp;N6&amp;" "&amp;N7&amp;" is more than F06-10"&amp;CHAR(10),""),IF(O192&gt;O169," * F06-16 for Age "&amp;N6&amp;" "&amp;O7&amp;" is more than F06-10"&amp;CHAR(10),""),IF(P192&gt;P169," * F06-16 for Age "&amp;P6&amp;" "&amp;P7&amp;" is more than F06-10"&amp;CHAR(10),""),IF(Q192&gt;Q169," * F06-16 for Age "&amp;P6&amp;" "&amp;Q7&amp;" is more than F06-10"&amp;CHAR(10),""),IF(R192&gt;R169," * F06-16 for Age "&amp;R6&amp;" "&amp;R7&amp;" is more than F06-10"&amp;CHAR(10),""),IF(S192&gt;S169," * F06-16 for Age "&amp;R6&amp;" "&amp;S7&amp;" is more than F06-10"&amp;CHAR(10),""),IF(T192&gt;T169," * F06-16 for Age "&amp;T6&amp;" "&amp;T7&amp;" is more than F06-10"&amp;CHAR(10),""),IF(U192&gt;U169," * F06-16 for Age "&amp;T6&amp;" "&amp;U7&amp;" is more than F06-10"&amp;CHAR(10),""),IF(V192&gt;V169," * F06-16 for Age "&amp;V6&amp;" "&amp;V7&amp;" is more than F06-10"&amp;CHAR(10),""),IF(W192&gt;W169," * F06-16 for Age "&amp;V6&amp;" "&amp;W7&amp;" is more than F06-10"&amp;CHAR(10),""),IF(X192&gt;X169," * F06-16 for Age "&amp;X6&amp;" "&amp;X7&amp;" is more than F06-10"&amp;CHAR(10),""),IF(Y192&gt;Y169," * F06-16 for Age "&amp;X6&amp;" "&amp;Y7&amp;" is more than F06-10"&amp;CHAR(10),""),IF(Z192&gt;Z169," * F06-16 for Age "&amp;Z6&amp;" "&amp;Z7&amp;" is more than F06-10"&amp;CHAR(10),""),IF(AA192&gt;AA169," * F06-16 for Age "&amp;Z6&amp;" "&amp;AA7&amp;" is more than F06-10"&amp;CHAR(10),""),IF(AJ192&gt;AJ169," * Total F06-16 is more than Total F06-10"&amp;CHAR(10),""))</f>
        <v/>
      </c>
      <c r="AL192" s="93"/>
      <c r="AM192" s="136" t="str">
        <f>CONCATENATE(IF(D192&lt;D169," * F06-16 for Age "&amp;D6&amp;" "&amp;D7&amp;" is less than F06-10"&amp;CHAR(10),""),IF(E192&lt;E169," * F06-16 for Age "&amp;D6&amp;" "&amp;E7&amp;" is less than F06-10"&amp;CHAR(10),""),IF(F192&lt;F169," * F06-16 for Age "&amp;F6&amp;" "&amp;F7&amp;" is less than F06-10"&amp;CHAR(10),""),IF(G192&lt;G169," * F06-16 for Age "&amp;F6&amp;" "&amp;G7&amp;" is less than F06-10"&amp;CHAR(10),""),IF(H192&lt;H169," * F06-16 for Age "&amp;H6&amp;" "&amp;H7&amp;" is less than F06-10"&amp;CHAR(10),""),IF(I192&lt;I169," * F06-16 for Age "&amp;H6&amp;" "&amp;I7&amp;" is less than F06-10"&amp;CHAR(10),""),IF(J192&lt;J169," * F06-16 for Age "&amp;J6&amp;" "&amp;J7&amp;" is less than F06-10"&amp;CHAR(10),""),IF(K192&lt;K169," * F06-16 for Age "&amp;J6&amp;" "&amp;K7&amp;" is less than F06-10"&amp;CHAR(10),""),IF(L192&lt;L169," * F06-16 for Age "&amp;L6&amp;" "&amp;L7&amp;" is less than F06-10"&amp;CHAR(10),""),IF(M192&lt;M169," * F06-16 for Age "&amp;L6&amp;" "&amp;M7&amp;" is less than F06-10"&amp;CHAR(10),""),IF(N192&lt;N169," * F06-16 for Age "&amp;N6&amp;" "&amp;N7&amp;" is less than F06-10"&amp;CHAR(10),""),IF(O192&lt;O169," * F06-16 for Age "&amp;N6&amp;" "&amp;O7&amp;" is less than F06-10"&amp;CHAR(10),""),IF(P192&lt;P169," * F06-16 for Age "&amp;P6&amp;" "&amp;P7&amp;" is less than F06-10"&amp;CHAR(10),""),IF(Q192&lt;Q169," * F06-16 for Age "&amp;P6&amp;" "&amp;Q7&amp;" is less than F06-10"&amp;CHAR(10),""),IF(R192&lt;R169," * F06-16 for Age "&amp;R6&amp;" "&amp;R7&amp;" is less than F06-10"&amp;CHAR(10),""),IF(S192&lt;S169," * F06-16 for Age "&amp;R6&amp;" "&amp;S7&amp;" is less than F06-10"&amp;CHAR(10),""),IF(T192&lt;T169," * F06-16 for Age "&amp;T6&amp;" "&amp;T7&amp;" is less than F06-10"&amp;CHAR(10),""),IF(U192&lt;U169," * F06-16 for Age "&amp;T6&amp;" "&amp;U7&amp;" is less than F06-10"&amp;CHAR(10),""),IF(V192&lt;V169," * F06-16 for Age "&amp;V6&amp;" "&amp;V7&amp;" is less than F06-10"&amp;CHAR(10),""),IF(W192&lt;W169," * F06-16 for Age "&amp;V6&amp;" "&amp;W7&amp;" is less than F06-10"&amp;CHAR(10),""),IF(X192&lt;X169," * F06-16 for Age "&amp;X6&amp;" "&amp;X7&amp;" is less than F06-10"&amp;CHAR(10),""),IF(Y192&lt;Y169," * F06-16 for Age "&amp;X6&amp;" "&amp;Y7&amp;" is less than F06-10"&amp;CHAR(10),""),IF(Z192&lt;Z169," * F06-16 for Age "&amp;Z6&amp;" "&amp;Z7&amp;" is less than F06-10"&amp;CHAR(10),""),IF(AA192&lt;AA169," * F06-16 for Age "&amp;Z6&amp;" "&amp;AA7&amp;" is less than F06-10"&amp;CHAR(10),""),IF(AJ192&lt;AJ169," * Total F06-16 is less than Total F06-10"&amp;CHAR(10),""))</f>
        <v/>
      </c>
      <c r="AN192" s="478"/>
      <c r="AO192" s="330">
        <v>237</v>
      </c>
    </row>
    <row r="193" spans="1:45" ht="31.5" thickBot="1" x14ac:dyDescent="0.65">
      <c r="A193" s="865"/>
      <c r="B193" s="748" t="s">
        <v>219</v>
      </c>
      <c r="C193" s="337" t="s">
        <v>223</v>
      </c>
      <c r="D193" s="479"/>
      <c r="E193" s="309"/>
      <c r="F193" s="309"/>
      <c r="G193" s="309"/>
      <c r="H193" s="309"/>
      <c r="I193" s="309"/>
      <c r="J193" s="480"/>
      <c r="K193" s="489"/>
      <c r="L193" s="309"/>
      <c r="M193" s="490"/>
      <c r="N193" s="309"/>
      <c r="O193" s="490"/>
      <c r="P193" s="309"/>
      <c r="Q193" s="490"/>
      <c r="R193" s="309"/>
      <c r="S193" s="490"/>
      <c r="T193" s="309"/>
      <c r="U193" s="490"/>
      <c r="V193" s="309"/>
      <c r="W193" s="490"/>
      <c r="X193" s="309"/>
      <c r="Y193" s="490"/>
      <c r="Z193" s="309"/>
      <c r="AA193" s="483">
        <f t="shared" si="109"/>
        <v>0</v>
      </c>
      <c r="AB193" s="491"/>
      <c r="AC193" s="492"/>
      <c r="AD193" s="490"/>
      <c r="AE193" s="492"/>
      <c r="AF193" s="490"/>
      <c r="AG193" s="492"/>
      <c r="AH193" s="493"/>
      <c r="AI193" s="472"/>
      <c r="AJ193" s="488">
        <f t="shared" si="110"/>
        <v>0</v>
      </c>
      <c r="AK193" s="349" t="str">
        <f>CONCATENATE(IF(D193&gt;D171," * Retest Start HAART at PNC &lt; = 6 weeks for Age "&amp;D6&amp;" "&amp;D7&amp;" is more than Retesting positive result at PNC &lt; = 6 weeks"&amp;CHAR(10),""),IF(E193&gt;E171," * Retest Start HAART at PNC &lt; = 6 weeks for Age "&amp;D6&amp;" "&amp;E7&amp;" is more than Retesting positive result at PNC &lt; = 6 weeks"&amp;CHAR(10),""),IF(F193&gt;F171," * Retest Start HAART at PNC &lt; = 6 weeks for Age "&amp;F6&amp;" "&amp;F7&amp;" is more than Retesting positive result at PNC &lt; = 6 weeks"&amp;CHAR(10),""),IF(G193&gt;G171," * Retest Start HAART at PNC &lt; = 6 weeks for Age "&amp;F6&amp;" "&amp;G7&amp;" is more than Retesting positive result at PNC &lt; = 6 weeks"&amp;CHAR(10),""),IF(H193&gt;H171," * Retest Start HAART at PNC &lt; = 6 weeks for Age "&amp;H6&amp;" "&amp;H7&amp;" is more than Retesting positive result at PNC &lt; = 6 weeks"&amp;CHAR(10),""),IF(I193&gt;I171," * Retest Start HAART at PNC &lt; = 6 weeks for Age "&amp;H6&amp;" "&amp;I7&amp;" is more than Retesting positive result at PNC &lt; = 6 weeks"&amp;CHAR(10),""),IF(J193&gt;J171," * Retest Start HAART at PNC &lt; = 6 weeks for Age "&amp;J6&amp;" "&amp;J7&amp;" is more than Retesting positive result at PNC &lt; = 6 weeks"&amp;CHAR(10),""),IF(K193&gt;K171," * Retest Start HAART at PNC &lt; = 6 weeks for Age "&amp;J6&amp;" "&amp;K7&amp;" is more than Retesting positive result at PNC &lt; = 6 weeks"&amp;CHAR(10),""),IF(L193&gt;L171," * Retest Start HAART at PNC &lt; = 6 weeks for Age "&amp;L6&amp;" "&amp;L7&amp;" is more than Retesting positive result at PNC &lt; = 6 weeks"&amp;CHAR(10),""),IF(M193&gt;M171," * Retest Start HAART at PNC &lt; = 6 weeks for Age "&amp;L6&amp;" "&amp;M7&amp;" is more than Retesting positive result at PNC &lt; = 6 weeks"&amp;CHAR(10),""),IF(N193&gt;N171," * Retest Start HAART at PNC &lt; = 6 weeks for Age "&amp;N6&amp;" "&amp;N7&amp;" is more than Retesting positive result at PNC &lt; = 6 weeks"&amp;CHAR(10),""),IF(O193&gt;O171," * Retest Start HAART at PNC &lt; = 6 weeks for Age "&amp;N6&amp;" "&amp;O7&amp;" is more than Retesting positive result at PNC &lt; = 6 weeks"&amp;CHAR(10),""),IF(P193&gt;P171," * Retest Start HAART at PNC &lt; = 6 weeks for Age "&amp;P6&amp;" "&amp;P7&amp;" is more than Retesting positive result at PNC &lt; = 6 weeks"&amp;CHAR(10),""),IF(Q193&gt;Q171," * Retest Start HAART at PNC &lt; = 6 weeks for Age "&amp;P6&amp;" "&amp;Q7&amp;" is more than Retesting positive result at PNC &lt; = 6 weeks"&amp;CHAR(10),""),IF(R193&gt;R171," * Retest Start HAART at PNC &lt; = 6 weeks for Age "&amp;R6&amp;" "&amp;R7&amp;" is more than Retesting positive result at PNC &lt; = 6 weeks"&amp;CHAR(10),""),IF(S193&gt;S171," * Retest Start HAART at PNC &lt; = 6 weeks for Age "&amp;R6&amp;" "&amp;S7&amp;" is more than Retesting positive result at PNC &lt; = 6 weeks"&amp;CHAR(10),""),IF(T193&gt;T171," * Retest Start HAART at PNC &lt; = 6 weeks for Age "&amp;T6&amp;" "&amp;T7&amp;" is more than Retesting positive result at PNC &lt; = 6 weeks"&amp;CHAR(10),""),IF(U193&gt;U171," * Retest Start HAART at PNC &lt; = 6 weeks for Age "&amp;T6&amp;" "&amp;U7&amp;" is more than Retesting positive result at PNC &lt; = 6 weeks"&amp;CHAR(10),""),IF(V193&gt;V171," * Retest Start HAART at PNC &lt; = 6 weeks for Age "&amp;V6&amp;" "&amp;V7&amp;" is more than Retesting positive result at PNC &lt; = 6 weeks"&amp;CHAR(10),""),IF(W193&gt;W171," * Retest Start HAART at PNC &lt; = 6 weeks for Age "&amp;V6&amp;" "&amp;W7&amp;" is more than Retesting positive result at PNC &lt; = 6 weeks"&amp;CHAR(10),""),IF(X193&gt;X171," * Retest Start HAART at PNC &lt; = 6 weeks for Age "&amp;X6&amp;" "&amp;X7&amp;" is more than Retesting positive result at PNC &lt; = 6 weeks"&amp;CHAR(10),""),IF(Y193&gt;Y171," * Retest Start HAART at PNC &lt; = 6 weeks for Age "&amp;X6&amp;" "&amp;Y7&amp;" is more than Retesting positive result at PNC &lt; = 6 weeks"&amp;CHAR(10),""),IF(Z193&gt;Z171," * Retest Start HAART at PNC &lt; = 6 weeks for Age "&amp;Z6&amp;" "&amp;Z7&amp;" is more than Retesting positive result at PNC &lt; = 6 weeks"&amp;CHAR(10),""),IF(AA193&gt;AA171," * Retest Start HAART at PNC &lt; = 6 weeks for Age "&amp;Z6&amp;" "&amp;AA7&amp;" is more than Retesting positive result at PNC &lt; = 6 weeks"&amp;CHAR(10),""))</f>
        <v/>
      </c>
      <c r="AL193" s="93"/>
      <c r="AM193" s="136"/>
      <c r="AN193" s="478"/>
      <c r="AO193" s="330">
        <v>238</v>
      </c>
    </row>
    <row r="194" spans="1:45" s="7" customFormat="1" x14ac:dyDescent="0.6">
      <c r="A194" s="865"/>
      <c r="B194" s="767" t="s">
        <v>511</v>
      </c>
      <c r="C194" s="115" t="s">
        <v>224</v>
      </c>
      <c r="D194" s="487"/>
      <c r="E194" s="495"/>
      <c r="F194" s="495"/>
      <c r="G194" s="495"/>
      <c r="H194" s="495"/>
      <c r="I194" s="495"/>
      <c r="J194" s="496"/>
      <c r="K194" s="497"/>
      <c r="L194" s="495"/>
      <c r="M194" s="498"/>
      <c r="N194" s="495"/>
      <c r="O194" s="498"/>
      <c r="P194" s="495"/>
      <c r="Q194" s="498"/>
      <c r="R194" s="495"/>
      <c r="S194" s="498"/>
      <c r="T194" s="495"/>
      <c r="U194" s="498"/>
      <c r="V194" s="495"/>
      <c r="W194" s="498"/>
      <c r="X194" s="495"/>
      <c r="Y194" s="498"/>
      <c r="Z194" s="495"/>
      <c r="AA194" s="499">
        <f t="shared" si="109"/>
        <v>0</v>
      </c>
      <c r="AB194" s="468"/>
      <c r="AC194" s="469"/>
      <c r="AD194" s="248"/>
      <c r="AE194" s="469"/>
      <c r="AF194" s="248"/>
      <c r="AG194" s="469"/>
      <c r="AH194" s="249"/>
      <c r="AI194" s="472"/>
      <c r="AJ194" s="488">
        <f t="shared" si="110"/>
        <v>0</v>
      </c>
      <c r="AK194" s="349" t="str">
        <f>CONCATENATE(IF(D194&gt;D173," * Initial Start HAART at PNC  &gt; 6 weeks for Age "&amp;D6&amp;" "&amp;D7&amp;" is more than Initial Tested Positive  at PNC  &gt; 6 weeks"&amp;CHAR(10),""),IF(E194&gt;E173," * Initial Start HAART at PNC  &gt; 6 weeks for Age "&amp;D6&amp;" "&amp;E7&amp;" is more than Initial Tested Positive  at PNC  &gt; 6 weeks"&amp;CHAR(10),""),IF(F194&gt;F173," * Initial Start HAART at PNC  &gt; 6 weeks for Age "&amp;F6&amp;" "&amp;F7&amp;" is more than Initial Tested Positive  at PNC  &gt; 6 weeks"&amp;CHAR(10),""),IF(G194&gt;G173," * Initial Start HAART at PNC  &gt; 6 weeks for Age "&amp;F6&amp;" "&amp;G7&amp;" is more than Initial Tested Positive  at PNC  &gt; 6 weeks"&amp;CHAR(10),""),IF(H194&gt;H173," * Initial Start HAART at PNC  &gt; 6 weeks for Age "&amp;H6&amp;" "&amp;H7&amp;" is more than Initial Tested Positive  at PNC  &gt; 6 weeks"&amp;CHAR(10),""),IF(I194&gt;I173," * Initial Start HAART at PNC  &gt; 6 weeks for Age "&amp;H6&amp;" "&amp;I7&amp;" is more than Initial Tested Positive  at PNC  &gt; 6 weeks"&amp;CHAR(10),""),IF(J194&gt;J173," * Initial Start HAART at PNC  &gt; 6 weeks for Age "&amp;J6&amp;" "&amp;J7&amp;" is more than Initial Tested Positive  at PNC  &gt; 6 weeks"&amp;CHAR(10),""),IF(K194&gt;K173," * Initial Start HAART at PNC  &gt; 6 weeks for Age "&amp;J6&amp;" "&amp;K7&amp;" is more than Initial Tested Positive  at PNC  &gt; 6 weeks"&amp;CHAR(10),""),IF(L194&gt;L173," * Initial Start HAART at PNC  &gt; 6 weeks for Age "&amp;L6&amp;" "&amp;L7&amp;" is more than Initial Tested Positive  at PNC  &gt; 6 weeks"&amp;CHAR(10),""),IF(M194&gt;M173," * Initial Start HAART at PNC  &gt; 6 weeks for Age "&amp;L6&amp;" "&amp;M7&amp;" is more than Initial Tested Positive  at PNC  &gt; 6 weeks"&amp;CHAR(10),""),IF(N194&gt;N173," * Initial Start HAART at PNC  &gt; 6 weeks for Age "&amp;N6&amp;" "&amp;N7&amp;" is more than Initial Tested Positive  at PNC  &gt; 6 weeks"&amp;CHAR(10),""),IF(O194&gt;O173," * Initial Start HAART at PNC  &gt; 6 weeks for Age "&amp;N6&amp;" "&amp;O7&amp;" is more than Initial Tested Positive  at PNC  &gt; 6 weeks"&amp;CHAR(10),""),IF(P194&gt;P173," * Initial Start HAART at PNC  &gt; 6 weeks for Age "&amp;P6&amp;" "&amp;P7&amp;" is more than Initial Tested Positive  at PNC  &gt; 6 weeks"&amp;CHAR(10),""),IF(Q194&gt;Q173," * Initial Start HAART at PNC  &gt; 6 weeks for Age "&amp;P6&amp;" "&amp;Q7&amp;" is more than Initial Tested Positive  at PNC  &gt; 6 weeks"&amp;CHAR(10),""),IF(R194&gt;R173," * Initial Start HAART at PNC  &gt; 6 weeks for Age "&amp;R6&amp;" "&amp;R7&amp;" is more than Initial Tested Positive  at PNC  &gt; 6 weeks"&amp;CHAR(10),""),IF(S194&gt;S173," * Initial Start HAART at PNC  &gt; 6 weeks for Age "&amp;R6&amp;" "&amp;S7&amp;" is more than Initial Tested Positive  at PNC  &gt; 6 weeks"&amp;CHAR(10),""),IF(T194&gt;T173," * Initial Start HAART at PNC  &gt; 6 weeks for Age "&amp;T6&amp;" "&amp;T7&amp;" is more than Initial Tested Positive  at PNC  &gt; 6 weeks"&amp;CHAR(10),""),IF(U194&gt;U173," * Initial Start HAART at PNC  &gt; 6 weeks for Age "&amp;T6&amp;" "&amp;U7&amp;" is more than Initial Tested Positive  at PNC  &gt; 6 weeks"&amp;CHAR(10),""),IF(V194&gt;V173," * Initial Start HAART at PNC  &gt; 6 weeks for Age "&amp;V6&amp;" "&amp;V7&amp;" is more than Initial Tested Positive  at PNC  &gt; 6 weeks"&amp;CHAR(10),""),IF(W194&gt;W173," * Initial Start HAART at PNC  &gt; 6 weeks for Age "&amp;V6&amp;" "&amp;W7&amp;" is more than Initial Tested Positive  at PNC  &gt; 6 weeks"&amp;CHAR(10),""),IF(X194&gt;X173," * Initial Start HAART at PNC  &gt; 6 weeks for Age "&amp;X6&amp;" "&amp;X7&amp;" is more than Initial Tested Positive  at PNC  &gt; 6 weeks"&amp;CHAR(10),""),IF(Y194&gt;Y173," * Initial Start HAART at PNC  &gt; 6 weeks for Age "&amp;X6&amp;" "&amp;Y7&amp;" is more than Initial Tested Positive  at PNC  &gt; 6 weeks"&amp;CHAR(10),""),IF(Z194&gt;Z173," * Initial Start HAART at PNC  &gt; 6 weeks for Age "&amp;Z6&amp;" "&amp;Z7&amp;" is more than Initial Tested Positive  at PNC  &gt; 6 weeks"&amp;CHAR(10),""),IF(AA194&gt;AA173," * Initial Start HAART at PNC  &gt; 6 weeks for Age "&amp;Z6&amp;" "&amp;AA7&amp;" is more than Initial Tested Positive  at PNC  &gt; 6 weeks"&amp;CHAR(10),""))</f>
        <v/>
      </c>
      <c r="AL194" s="93"/>
      <c r="AM194" s="138"/>
      <c r="AN194" s="478"/>
      <c r="AO194" s="330">
        <v>239</v>
      </c>
      <c r="AQ194" s="1046"/>
      <c r="AR194" s="1046"/>
      <c r="AS194" s="1046"/>
    </row>
    <row r="195" spans="1:45" s="7" customFormat="1" ht="31.5" thickBot="1" x14ac:dyDescent="0.65">
      <c r="A195" s="887"/>
      <c r="B195" s="748" t="s">
        <v>467</v>
      </c>
      <c r="C195" s="500" t="s">
        <v>466</v>
      </c>
      <c r="D195" s="501"/>
      <c r="E195" s="502"/>
      <c r="F195" s="502"/>
      <c r="G195" s="502"/>
      <c r="H195" s="502"/>
      <c r="I195" s="502"/>
      <c r="J195" s="503"/>
      <c r="K195" s="504"/>
      <c r="L195" s="502"/>
      <c r="M195" s="505"/>
      <c r="N195" s="502"/>
      <c r="O195" s="505"/>
      <c r="P195" s="502"/>
      <c r="Q195" s="505"/>
      <c r="R195" s="502"/>
      <c r="S195" s="505"/>
      <c r="T195" s="502"/>
      <c r="U195" s="505"/>
      <c r="V195" s="502"/>
      <c r="W195" s="505"/>
      <c r="X195" s="502"/>
      <c r="Y195" s="505"/>
      <c r="Z195" s="502"/>
      <c r="AA195" s="300">
        <f t="shared" si="109"/>
        <v>0</v>
      </c>
      <c r="AB195" s="491"/>
      <c r="AC195" s="492"/>
      <c r="AD195" s="490"/>
      <c r="AE195" s="492"/>
      <c r="AF195" s="490"/>
      <c r="AG195" s="492"/>
      <c r="AH195" s="493"/>
      <c r="AI195" s="472"/>
      <c r="AJ195" s="488">
        <f>SUM(D195:AA195)</f>
        <v>0</v>
      </c>
      <c r="AK195" s="349" t="str">
        <f>CONCATENATE(IF(D195&gt;D175," * Retest Start HAART at PNC &gt; 6 weeks to 6 months for Age "&amp;D7&amp;" "&amp;D8&amp;" is more than  Retesting positive result at PNC &gt; 6 weeks to 6 months"&amp;CHAR(10),""),IF(E195&gt;E175," * Retest Start HAART at PNC &gt; 6 weeks to 6 months for Age "&amp;D7&amp;" "&amp;E8&amp;" is more than  Retesting positive result at PNC &gt; 6 weeks to 6 months"&amp;CHAR(10),""),IF(F195&gt;F175," * Retest Start HAART at PNC &gt; 6 weeks to 6 months for Age "&amp;F7&amp;" "&amp;F8&amp;" is more than  Retesting positive result at PNC &gt; 6 weeks to 6 months"&amp;CHAR(10),""),IF(G195&gt;G175," * Retest Start HAART at PNC &gt; 6 weeks to 6 months for Age "&amp;F7&amp;" "&amp;G8&amp;" is more than  Retesting positive result at PNC &gt; 6 weeks to 6 months"&amp;CHAR(10),""),IF(H195&gt;H175," * Retest Start HAART at PNC &gt; 6 weeks to 6 months for Age "&amp;H7&amp;" "&amp;H8&amp;" is more than  Retesting positive result at PNC &gt; 6 weeks to 6 months"&amp;CHAR(10),""),IF(I195&gt;I175," * Retest Start HAART at PNC &gt; 6 weeks to 6 months for Age "&amp;H7&amp;" "&amp;I8&amp;" is more than  Retesting positive result at PNC &gt; 6 weeks to 6 months"&amp;CHAR(10),""),IF(J195&gt;J175," * Retest Start HAART at PNC &gt; 6 weeks to 6 months for Age "&amp;J7&amp;" "&amp;J8&amp;" is more than  Retesting positive result at PNC &gt; 6 weeks to 6 months"&amp;CHAR(10),""),IF(K195&gt;K175," * Retest Start HAART at PNC &gt; 6 weeks to 6 months for Age "&amp;J7&amp;" "&amp;K8&amp;" is more than  Retesting positive result at PNC &gt; 6 weeks to 6 months"&amp;CHAR(10),""),IF(L195&gt;L175," * Retest Start HAART at PNC &gt; 6 weeks to 6 months for Age "&amp;L7&amp;" "&amp;L8&amp;" is more than  Retesting positive result at PNC &gt; 6 weeks to 6 months"&amp;CHAR(10),""),IF(M195&gt;M175," * Retest Start HAART at PNC &gt; 6 weeks to 6 months for Age "&amp;L7&amp;" "&amp;M8&amp;" is more than  Retesting positive result at PNC &gt; 6 weeks to 6 months"&amp;CHAR(10),""),IF(N195&gt;N175," * Retest Start HAART at PNC &gt; 6 weeks to 6 months for Age "&amp;N7&amp;" "&amp;N8&amp;" is more than  Retesting positive result at PNC &gt; 6 weeks to 6 months"&amp;CHAR(10),""),IF(O195&gt;O175," * Retest Start HAART at PNC &gt; 6 weeks to 6 months for Age "&amp;N7&amp;" "&amp;O8&amp;" is more than  Retesting positive result at PNC &gt; 6 weeks to 6 months"&amp;CHAR(10),""),IF(P195&gt;P175," * Retest Start HAART at PNC &gt; 6 weeks to 6 months for Age "&amp;P7&amp;" "&amp;P8&amp;" is more than  Retesting positive result at PNC &gt; 6 weeks to 6 months"&amp;CHAR(10),""),IF(Q195&gt;Q175," * Retest Start HAART at PNC &gt; 6 weeks to 6 months for Age "&amp;P7&amp;" "&amp;Q8&amp;" is more than  Retesting positive result at PNC &gt; 6 weeks to 6 months"&amp;CHAR(10),""),IF(R195&gt;R175," * Retest Start HAART at PNC &gt; 6 weeks to 6 months for Age "&amp;R7&amp;" "&amp;R8&amp;" is more than  Retesting positive result at PNC &gt; 6 weeks to 6 months"&amp;CHAR(10),""),IF(S195&gt;S175," * Retest Start HAART at PNC &gt; 6 weeks to 6 months for Age "&amp;R7&amp;" "&amp;S8&amp;" is more than  Retesting positive result at PNC &gt; 6 weeks to 6 months"&amp;CHAR(10),""),IF(T195&gt;T175," * Retest Start HAART at PNC &gt; 6 weeks to 6 months for Age "&amp;T7&amp;" "&amp;T8&amp;" is more than  Retesting positive result at PNC &gt; 6 weeks to 6 months"&amp;CHAR(10),""),IF(U195&gt;U175," * Retest Start HAART at PNC &gt; 6 weeks to 6 months for Age "&amp;T7&amp;" "&amp;U8&amp;" is more than  Retesting positive result at PNC &gt; 6 weeks to 6 months"&amp;CHAR(10),""),IF(V195&gt;V175," * Retest Start HAART at PNC &gt; 6 weeks to 6 months for Age "&amp;V7&amp;" "&amp;V8&amp;" is more than  Retesting positive result at PNC &gt; 6 weeks to 6 months"&amp;CHAR(10),""),IF(W195&gt;W175," * Retest Start HAART at PNC &gt; 6 weeks to 6 months for Age "&amp;V7&amp;" "&amp;W8&amp;" is more than  Retesting positive result at PNC &gt; 6 weeks to 6 months"&amp;CHAR(10),""),IF(X195&gt;X175," * Retest Start HAART at PNC &gt; 6 weeks to 6 months for Age "&amp;X7&amp;" "&amp;X8&amp;" is more than  Retesting positive result at PNC &gt; 6 weeks to 6 months"&amp;CHAR(10),""),IF(Y195&gt;Y175," * Retest Start HAART at PNC &gt; 6 weeks to 6 months for Age "&amp;X7&amp;" "&amp;Y8&amp;" is more than  Retesting positive result at PNC &gt; 6 weeks to 6 months"&amp;CHAR(10),""),IF(Z195&gt;Z175," * Retest Start HAART at PNC &gt; 6 weeks to 6 months for Age "&amp;Z7&amp;" "&amp;Z8&amp;" is more than  Retesting positive result at PNC &gt; 6 weeks to 6 months"&amp;CHAR(10),""),IF(AA195&gt;AA175," * Retest Start HAART at PNC &gt; 6 weeks to 6 months for Age "&amp;Z7&amp;" "&amp;AA8&amp;" is more than  Retesting positive result at PNC &gt; 6 weeks to 6 months"&amp;CHAR(10),""))</f>
        <v/>
      </c>
      <c r="AL195" s="93"/>
      <c r="AM195" s="138"/>
      <c r="AN195" s="478"/>
      <c r="AO195" s="330">
        <v>239</v>
      </c>
      <c r="AQ195" s="1046"/>
      <c r="AR195" s="1046"/>
      <c r="AS195" s="1046"/>
    </row>
    <row r="196" spans="1:45" ht="31.5" thickBot="1" x14ac:dyDescent="0.65">
      <c r="A196" s="852" t="s">
        <v>645</v>
      </c>
      <c r="B196" s="853"/>
      <c r="C196" s="853"/>
      <c r="D196" s="853"/>
      <c r="E196" s="853"/>
      <c r="F196" s="853"/>
      <c r="G196" s="853"/>
      <c r="H196" s="853"/>
      <c r="I196" s="853"/>
      <c r="J196" s="853"/>
      <c r="K196" s="853"/>
      <c r="L196" s="853"/>
      <c r="M196" s="853"/>
      <c r="N196" s="853"/>
      <c r="O196" s="853"/>
      <c r="P196" s="853"/>
      <c r="Q196" s="853"/>
      <c r="R196" s="853"/>
      <c r="S196" s="853"/>
      <c r="T196" s="853"/>
      <c r="U196" s="853"/>
      <c r="V196" s="853"/>
      <c r="W196" s="853"/>
      <c r="X196" s="853"/>
      <c r="Y196" s="853"/>
      <c r="Z196" s="853"/>
      <c r="AA196" s="853"/>
      <c r="AB196" s="853"/>
      <c r="AC196" s="853"/>
      <c r="AD196" s="853"/>
      <c r="AE196" s="853"/>
      <c r="AF196" s="853"/>
      <c r="AG196" s="853"/>
      <c r="AH196" s="853"/>
      <c r="AI196" s="461"/>
      <c r="AJ196" s="457"/>
      <c r="AK196" s="458"/>
      <c r="AL196" s="456"/>
      <c r="AM196" s="462"/>
      <c r="AN196" s="456"/>
      <c r="AO196" s="330"/>
    </row>
    <row r="197" spans="1:45" s="7" customFormat="1" ht="26.25" customHeight="1" x14ac:dyDescent="0.6">
      <c r="A197" s="854" t="s">
        <v>721</v>
      </c>
      <c r="B197" s="707" t="s">
        <v>646</v>
      </c>
      <c r="C197" s="314" t="s">
        <v>145</v>
      </c>
      <c r="D197" s="305"/>
      <c r="E197" s="306"/>
      <c r="F197" s="306"/>
      <c r="G197" s="306"/>
      <c r="H197" s="306"/>
      <c r="I197" s="306"/>
      <c r="J197" s="467"/>
      <c r="K197" s="252"/>
      <c r="L197" s="306"/>
      <c r="M197" s="248"/>
      <c r="N197" s="306"/>
      <c r="O197" s="248"/>
      <c r="P197" s="306"/>
      <c r="Q197" s="248"/>
      <c r="R197" s="306"/>
      <c r="S197" s="248"/>
      <c r="T197" s="306"/>
      <c r="U197" s="248"/>
      <c r="V197" s="306"/>
      <c r="W197" s="248"/>
      <c r="X197" s="306"/>
      <c r="Y197" s="248"/>
      <c r="Z197" s="466"/>
      <c r="AA197" s="466"/>
      <c r="AB197" s="466"/>
      <c r="AC197" s="306"/>
      <c r="AD197" s="306"/>
      <c r="AE197" s="306"/>
      <c r="AF197" s="306"/>
      <c r="AG197" s="306"/>
      <c r="AH197" s="506"/>
      <c r="AI197" s="472"/>
      <c r="AJ197" s="251">
        <f t="shared" si="110"/>
        <v>0</v>
      </c>
      <c r="AK197" s="507" t="str">
        <f>CONCATENATE(IF(D197&gt;SUM(D153,D161,D151,D163)," * Infant Prophylaxis ANC for Age "&amp;D6&amp;" "&amp;D7&amp;" is more than Positive at ANC (F06-02+F06-04+F06-06+F06-062)"&amp;CHAR(10),""),IF(E197&gt;SUM(E153,E161,E151,E163)," * Infant Prophylaxis ANC  for Age "&amp;D6&amp;" "&amp;E7&amp;" is more than Positive at ANC (F06-02+F06-04+F06-06+F06-062)"&amp;CHAR(10),""),IF(F197&gt;SUM(F153,F161,F151,F163)," * Infant Prophylaxis ANC  for Age "&amp;F6&amp;" "&amp;F7&amp;" is more than Positive at ANC (F06-02+F06-04+F06-06+F06-062)"&amp;CHAR(10),""),IF(G197&gt;SUM(G153,G161,G151,F163)," * Infant Prophylaxis ANC  for Age "&amp;F6&amp;" "&amp;G7&amp;" is more than Positive at ANC (F06-02+F06-04+F06-06+F06-062)"&amp;CHAR(10),""),IF(H197&gt;SUM(H153,H161,H151)," * Infant Prophylaxis ANC  for Age "&amp;H6&amp;" "&amp;H7&amp;" is more than Positive at ANC (F06-02+F06-04+F06-06+F06-062)"&amp;CHAR(10),""),IF(I197&gt;SUM(I153,I161,I151)," * Infant Prophylaxis ANC  for Age "&amp;H6&amp;" "&amp;I7&amp;" is more than Positive at ANC (F06-02+F06-04+F06-06+F06-062)"&amp;CHAR(10),""),IF(J197&gt;SUM(J153,J161,J151)," * Infant Prophylaxis ANC  for Age "&amp;J6&amp;" "&amp;J7&amp;" is more than Positive at ANC (F06-02+F06-04+F06-06+F06-062)"&amp;CHAR(10),""),IF(K197&gt;SUM(K153,K161,K151,K163)," * Infant Prophylaxis ANC  for Age "&amp;J6&amp;" "&amp;K7&amp;" is more than Positive at ANC (F06-02+F06-04+F06-06+F06-062)"&amp;CHAR(10),""),IF(L197&gt;SUM(L153,L161,L151,L163)," * Infant Prophylaxis ANC  for Age "&amp;L6&amp;" "&amp;L7&amp;" is more than Positive at ANC (F06-02+F06-04+F06-06+F06-062)"&amp;CHAR(10),""),IF(M197&gt;SUM(M153,M161,M151,M163)," * Infant Prophylaxis ANC  for Age "&amp;L6&amp;" "&amp;M7&amp;" is more than Positive at ANC (F06-02+F06-04+F06-06+F06-062)"&amp;CHAR(10),""),IF(N197&gt;SUM(N153,N161,N151,N163)," * Infant Prophylaxis ANC  for Age "&amp;N6&amp;" "&amp;N7&amp;" is more than Positive at ANC (F06-02+F06-04+F06-06+F06-062)"&amp;CHAR(10),""),IF(O197&gt;SUM(O153,O161,O151,O163)," * Infant Prophylaxis ANC  for Age "&amp;N6&amp;" "&amp;O7&amp;" is more than Positive at ANC (F06-02+F06-04+F06-06+F06-062)"&amp;CHAR(10),""),IF(P197&gt;SUM(P153,P161,P151,P163)," * Infant Prophylaxis ANC  for Age "&amp;P6&amp;" "&amp;P7&amp;" is more than Positive at ANC (F06-02+F06-04+F06-06+F06-062)"&amp;CHAR(10),""),IF(Q197&gt;SUM(Q153,Q161,Q151,Q163)," * Infant Prophylaxis ANC  for Age "&amp;P6&amp;" "&amp;Q7&amp;" is more than Positive at ANC (F06-02+F06-04+F06-06+F06-062)"&amp;CHAR(10),""),IF(R197&gt;SUM(R153,R161,R151,R163)," * Infant Prophylaxis ANC  for Age "&amp;R6&amp;" "&amp;R7&amp;" is more than Positive at ANC (F06-02+F06-04+F06-06+F06-062)"&amp;CHAR(10),""),IF(S197&gt;SUM(S153,S161,S151,S163)," * Infant Prophylaxis ANC  for Age "&amp;R6&amp;" "&amp;S7&amp;" is more than Positive at ANC (F06-02+F06-04+F06-06+F06-062)"&amp;CHAR(10),""),IF(T197&gt;SUM(T153,T161,T151,T163)," * Infant Prophylaxis ANC  for Age "&amp;T6&amp;" "&amp;T7&amp;" is more than Positive at ANC (F06-02+F06-04+F06-06+F06-062)"&amp;CHAR(10),""),IF(U197&gt;SUM(U153,U161,U151,U163)," * Infant Prophylaxis ANC  for Age "&amp;T6&amp;" "&amp;U7&amp;" is more than Positive at ANC (F06-02+F06-04+F06-06+F06-062)"&amp;CHAR(10),""),IF(V197&gt;SUM(V153,V161,V151,V163)," * Infant Prophylaxis ANC  for Age "&amp;V6&amp;" "&amp;V7&amp;" is more than Positive at ANC (F06-02+F06-04+F06-06+F06-062)"&amp;CHAR(10),""),IF(W197&gt;SUM(W153,W161,W151,W163)," * Infant Prophylaxis ANC  for Age "&amp;V6&amp;" "&amp;W7&amp;" is more than Positive at ANC (F06-02+F06-04+F06-06+F06-062)"&amp;CHAR(10),""),IF(X197&gt;SUM(X153,X161,X151,X163)," * Infant Prophylaxis ANC  for Age "&amp;X6&amp;" "&amp;X7&amp;" is more than Positive at ANC (F06-02+F06-04+F06-06+F06-062)"&amp;CHAR(10),""),IF(Y197&gt;SUM(Y153,Y161,Y151,Y163)," * Infant Prophylaxis ANC  for Age "&amp;X6&amp;" "&amp;Y7&amp;" is more than Positive at ANC (F06-02+F06-04+F06-06+F06-062)"&amp;CHAR(10),""),IF(Z197&gt;SUM(Z153,Z161,Z151,Z163)," * Infant Prophylaxis ANC  for Age "&amp;Z6&amp;" "&amp;Z7&amp;" is more than Positive at ANC (F06-02+F06-04+F06-06+F06-062)"&amp;CHAR(10),""),IF(AA197&gt;SUM(AA153,AA161,AA151,AA163)," * Infant Prophylaxis ANC  for Age "&amp;Z6&amp;" "&amp;AA7&amp;" is more than Positive at ANC (F06-02+F06-04+F06-06+F06-062)"&amp;CHAR(10),""))</f>
        <v/>
      </c>
      <c r="AL197" s="94"/>
      <c r="AM197" s="138" t="str">
        <f>CONCATENATE(IF(D197&lt;SUM(D153,D151,D161,D163)," * Sum of (KP at 1st ANC +New positive at ANC1 + New positive at ANC2 or More+Retesting positive Result at ANC2 or More) for Age "&amp;D6&amp;" "&amp;D7&amp;" is greater than Infant Prophylaxis ANC"&amp;CHAR(10),""),IF(E197&lt;SUM(E153,E151,E161,E163)," * Sum of (KP at 1st ANC +New positive at ANC1 + New positive at ANC2 or More+Retesting positive Result at ANC2 or More) for Age "&amp;D6&amp;" "&amp;E7&amp;" is greater than Infant Prophylaxis ANC"&amp;CHAR(10),""),IF(F197&lt;SUM(F153,F151,F161,F163)," * Sum of (KP at 1st ANC +New positive at ANC1 + New positive at ANC2 or More+Retesting positive Result at ANC2 or More) for Age "&amp;F6&amp;" "&amp;F7&amp;" is greater than Infant Prophylaxis ANC"&amp;CHAR(10),""),IF(G197&lt;SUM(G153,G151,G161,G163)," * Sum of (KP at 1st ANC +New positive at ANC1 + New positive at ANC2 or More+Retesting positive Result at ANC2 or More) for Age "&amp;F6&amp;" "&amp;G7&amp;" is greater than Infant Prophylaxis ANC"&amp;CHAR(10),""),IF(H197&lt;SUM(H153,H151,H161,H163)," * Sum of (KP at 1st ANC +New positive at ANC1 + New positive at ANC2 or More+Retesting positive Result at ANC2 or More) for Age "&amp;H6&amp;" "&amp;H7&amp;" is greater than Infant Prophylaxis ANC"&amp;CHAR(10),""),IF(I197&lt;SUM(I153,I151,I161,I163)," * Sum of (KP at 1st ANC +New positive at ANC1 + New positive at ANC2 or More+Retesting positive Result at ANC2 or More) for Age "&amp;H6&amp;" "&amp;I7&amp;" is greater than Infant Prophylaxis ANC"&amp;CHAR(10),""),IF(J197&lt;SUM(J153,J151,J161,J163)," * Sum of (KP at 1st ANC +New positive at ANC1 + New positive at ANC2 or More+Retesting positive Result at ANC2 or More) for Age "&amp;J6&amp;" "&amp;J7&amp;" is greater than Infant Prophylaxis ANC"&amp;CHAR(10),""),IF(K197&lt;SUM(K153,K151,K161,K163)," * Sum of (KP at 1st ANC +New positive at ANC1 + New positive at ANC2 or More+Retesting positive Result at ANC2 or More) for Age "&amp;J6&amp;" "&amp;K7&amp;" is greater than Infant Prophylaxis ANC"&amp;CHAR(10),""),IF(L197&lt;SUM(L153,L151,L161,L163)," * Sum of (KP at 1st ANC +New positive at ANC1 + New positive at ANC2 or More+Retesting positive Result at ANC2 or More) for Age "&amp;L6&amp;" "&amp;L7&amp;" is greater than Infant Prophylaxis ANC"&amp;CHAR(10),""),IF(M197&lt;SUM(M153,M151,M161,M163)," * Sum of (KP at 1st ANC +New positive at ANC1 + New positive at ANC2 or More+Retesting positive Result at ANC2 or More) for Age "&amp;L6&amp;" "&amp;M7&amp;" is greater than Infant Prophylaxis ANC"&amp;CHAR(10),""),IF(N197&lt;SUM(N153,N151,N161,N163)," * Sum of (KP at 1st ANC +New positive at ANC1 + New positive at ANC2 or More+Retesting positive Result at ANC2 or More) for Age "&amp;N6&amp;" "&amp;N7&amp;" is greater than Infant Prophylaxis ANC"&amp;CHAR(10),""),IF(O197&lt;SUM(O153,O151,O161,O163)," * Sum of (KP at 1st ANC +New positive at ANC1 + New positive at ANC2 or More+Retesting positive Result at ANC2 or More) for Age "&amp;N6&amp;" "&amp;O7&amp;" is greater than Infant Prophylaxis ANC"&amp;CHAR(10),""),IF(P197&lt;SUM(P153,P151,P161,P163)," * Sum of (KP at 1st ANC +New positive at ANC1 + New positive at ANC2 or More+Retesting positive Result at ANC2 or More) for Age "&amp;P6&amp;" "&amp;P7&amp;" is greater than Infant Prophylaxis ANC"&amp;CHAR(10),""),IF(Q197&lt;SUM(Q153,Q151,Q161,Q163)," * Sum of (KP at 1st ANC +New positive at ANC1 + New positive at ANC2 or More+Retesting positive Result at ANC2 or More) for Age "&amp;P6&amp;" "&amp;Q7&amp;" is greater than Infant Prophylaxis ANC"&amp;CHAR(10),""),IF(R197&lt;SUM(R153,R151,R161,R163)," * Sum of (KP at 1st ANC +New positive at ANC1 + New positive at ANC2 or More+Retesting positive Result at ANC2 or More) for Age "&amp;R6&amp;" "&amp;R7&amp;" is greater than Infant Prophylaxis ANC"&amp;CHAR(10),""),IF(S197&lt;SUM(S153,S151,S161,S163)," * Sum of (KP at 1st ANC +New positive at ANC1 + New positive at ANC2 or More+Retesting positive Result at ANC2 or More) for Age "&amp;R6&amp;" "&amp;S7&amp;" is greater than Infant Prophylaxis ANC"&amp;CHAR(10),""),IF(T197&lt;SUM(T153,T151,T161&lt;T163)," * Sum of (KP at 1st ANC +New positive at ANC1 + New positive at ANC2 or More+Retesting positive Result at ANC2 or More) for Age "&amp;T6&amp;" "&amp;T7&amp;" is greater than Infant Prophylaxis ANC"&amp;CHAR(10),""),IF(U197&lt;SUM(U153,U151,U161,U163)," * Sum of (KP at 1st ANC +New positive at ANC1 + New positive at ANC2 or More+Retesting positive Result at ANC2 or More) for Age "&amp;T6&amp;" "&amp;U7&amp;" is greater than Infant Prophylaxis ANC"&amp;CHAR(10),""),IF(V197&lt;SUM(V153,V151,V161,V163)," * Sum of (KP at 1st ANC +New positive at ANC1 + New positive at ANC2 or More+Retesting positive Result at ANC2 or More) for Age "&amp;V6&amp;" "&amp;V7&amp;" is greater than Infant Prophylaxis ANC"&amp;CHAR(10),""),IF(W197&lt;SUM(W153,W151,W161,W163)," * Sum of (KP at 1st ANC +New positive at ANC1 + New positive at ANC2 or More+Retesting positive Result at ANC2 or More) for Age "&amp;V6&amp;" "&amp;W7&amp;" is greater than Infant Prophylaxis ANC"&amp;CHAR(10),""),IF(X197&lt;SUM(X153,X151,X161,X163)," * Sum of (KP at 1st ANC +New positive at ANC1 + New positive at ANC2 or More+Retesting positive Result at ANC2 or More) for Age "&amp;X6&amp;" "&amp;X7&amp;" is greater than Infant Prophylaxis ANC"&amp;CHAR(10),""),IF(Y197&lt;SUM(Y153,Y151,Y161,Y163)," * Sum of (KP at 1st ANC +New positive at ANC1 + New positive at ANC2 or More+Retesting positive Result at ANC2 or More) for Age "&amp;X6&amp;" "&amp;Y7&amp;" is greater than Infant Prophylaxis ANC"&amp;CHAR(10),""),IF(Z197&lt;SUM(Z153,Z151,Z161,Z163)," * Sum of (KP at 1st ANC +New positive at ANC1 + New positive at ANC2 or More+Retesting positive Result at ANC2 or More) for Age "&amp;Z6&amp;" "&amp;Z7&amp;" is greater than Infant Prophylaxis ANC"&amp;CHAR(10),""),IF(AA197&lt;SUM(AA153,AA151,AA161,AA163)," * Sum of (KP at 1st ANC +New positive at ANC1 + New positive at ANC2 or More+Retesting positive Result at ANC2 or More) for Age "&amp;Z6&amp;" "&amp;AA7&amp;" is greater than Infant Prophylaxis ANC"&amp;CHAR(10),""))</f>
        <v/>
      </c>
      <c r="AN197" s="478"/>
      <c r="AO197" s="330">
        <v>241</v>
      </c>
      <c r="AQ197" s="1046"/>
      <c r="AR197" s="1046"/>
      <c r="AS197" s="1046"/>
    </row>
    <row r="198" spans="1:45" s="7" customFormat="1" x14ac:dyDescent="0.6">
      <c r="A198" s="855"/>
      <c r="B198" s="768" t="s">
        <v>647</v>
      </c>
      <c r="C198" s="508" t="s">
        <v>704</v>
      </c>
      <c r="D198" s="509"/>
      <c r="E198" s="495"/>
      <c r="F198" s="495"/>
      <c r="G198" s="495"/>
      <c r="H198" s="495"/>
      <c r="I198" s="495"/>
      <c r="J198" s="496"/>
      <c r="K198" s="278"/>
      <c r="L198" s="473"/>
      <c r="M198" s="274"/>
      <c r="N198" s="473"/>
      <c r="O198" s="274"/>
      <c r="P198" s="473"/>
      <c r="Q198" s="274"/>
      <c r="R198" s="473"/>
      <c r="S198" s="274"/>
      <c r="T198" s="473"/>
      <c r="U198" s="274"/>
      <c r="V198" s="473"/>
      <c r="W198" s="274"/>
      <c r="X198" s="473"/>
      <c r="Y198" s="274"/>
      <c r="Z198" s="487"/>
      <c r="AA198" s="495"/>
      <c r="AB198" s="487"/>
      <c r="AC198" s="495"/>
      <c r="AD198" s="495"/>
      <c r="AE198" s="495"/>
      <c r="AF198" s="495"/>
      <c r="AG198" s="495"/>
      <c r="AH198" s="510"/>
      <c r="AI198" s="472"/>
      <c r="AJ198" s="251"/>
      <c r="AK198" s="511"/>
      <c r="AL198" s="94"/>
      <c r="AM198" s="138"/>
      <c r="AN198" s="478"/>
      <c r="AO198" s="330"/>
      <c r="AQ198" s="1046"/>
      <c r="AR198" s="1046"/>
      <c r="AS198" s="1046"/>
    </row>
    <row r="199" spans="1:45" x14ac:dyDescent="0.6">
      <c r="A199" s="856"/>
      <c r="B199" s="716" t="s">
        <v>648</v>
      </c>
      <c r="C199" s="127" t="s">
        <v>146</v>
      </c>
      <c r="D199" s="512"/>
      <c r="E199" s="473"/>
      <c r="F199" s="473"/>
      <c r="G199" s="473"/>
      <c r="H199" s="473"/>
      <c r="I199" s="473"/>
      <c r="J199" s="474"/>
      <c r="K199" s="278"/>
      <c r="L199" s="473"/>
      <c r="M199" s="274"/>
      <c r="N199" s="473"/>
      <c r="O199" s="274"/>
      <c r="P199" s="473"/>
      <c r="Q199" s="274"/>
      <c r="R199" s="473"/>
      <c r="S199" s="274"/>
      <c r="T199" s="473"/>
      <c r="U199" s="274"/>
      <c r="V199" s="473"/>
      <c r="W199" s="274"/>
      <c r="X199" s="473"/>
      <c r="Y199" s="274"/>
      <c r="Z199" s="487"/>
      <c r="AA199" s="495"/>
      <c r="AB199" s="487"/>
      <c r="AC199" s="495"/>
      <c r="AD199" s="495"/>
      <c r="AE199" s="495"/>
      <c r="AF199" s="495"/>
      <c r="AG199" s="495"/>
      <c r="AH199" s="510"/>
      <c r="AI199" s="472"/>
      <c r="AJ199" s="251">
        <f t="shared" si="110"/>
        <v>0</v>
      </c>
      <c r="AK199" s="511" t="str">
        <f>CONCATENATE(IF(D199&gt;(D165+D167)," * Infant Prophylaxis LD for Age "&amp;D6&amp;" "&amp;D7&amp;" is more than Initial LD Positive + Retest LD positive"&amp;CHAR(10),""),IF(E199&gt;(E165+E167)," * Infant Prophylaxis LD for Age "&amp;D6&amp;" "&amp;E7&amp;" is more than Initial LD Positive + Retest LD positive"&amp;CHAR(10),""),IF(F199&gt;(F165+F167)," * Infant Prophylaxis LD for Age "&amp;F6&amp;" "&amp;F7&amp;" is more than Initial LD Positive + Retest LD positive"&amp;CHAR(10),""),IF(G199&gt;(G165+G167)," * Infant Prophylaxis LD for Age "&amp;F6&amp;" "&amp;G7&amp;" is more than Initial LD Positive + Retest LD positive"&amp;CHAR(10),""),IF(H199&gt;(H165+H167)," * Infant Prophylaxis LD for Age "&amp;H6&amp;" "&amp;H7&amp;" is more than Initial LD Positive + Retest LD positive"&amp;CHAR(10),""),IF(I199&gt;(I165+I167)," * Infant Prophylaxis LD for Age "&amp;H6&amp;" "&amp;I7&amp;" is more than Initial LD Positive + Retest LD positive"&amp;CHAR(10),""),IF(J199&gt;(J165+J167)," * Infant Prophylaxis LD for Age "&amp;J6&amp;" "&amp;J7&amp;" is more than Initial LD Positive + Retest LD positive"&amp;CHAR(10),""),IF(K199&gt;(K165+K167)," * Infant Prophylaxis LD for Age "&amp;J6&amp;" "&amp;K7&amp;" is more than Initial LD Positive + Retest LD positive"&amp;CHAR(10),""),IF(L199&gt;(L165+L167)," * Infant Prophylaxis LD for Age "&amp;L6&amp;" "&amp;L7&amp;" is more than Initial LD Positive + Retest LD positive"&amp;CHAR(10),""),IF(M199&gt;(M165+M167)," * Infant Prophylaxis LD for Age "&amp;L6&amp;" "&amp;M7&amp;" is more than Initial LD Positive + Retest LD positive"&amp;CHAR(10),""),IF(N199&gt;(N165+N167)," * Infant Prophylaxis LD for Age "&amp;N6&amp;" "&amp;N7&amp;" is more than Initial LD Positive + Retest LD positive"&amp;CHAR(10),""),IF(O199&gt;(O165+O167)," * Infant Prophylaxis LD for Age "&amp;N6&amp;" "&amp;O7&amp;" is more than Initial LD Positive + Retest LD positive"&amp;CHAR(10),""),IF(P199&gt;(P165+P167)," * Infant Prophylaxis LD for Age "&amp;P6&amp;" "&amp;P7&amp;" is more than Initial LD Positive + Retest LD positive"&amp;CHAR(10),""),IF(Q199&gt;(Q165+Q167)," * Infant Prophylaxis LD for Age "&amp;P6&amp;" "&amp;Q7&amp;" is more than Initial LD Positive + Retest LD positive"&amp;CHAR(10),""),IF(R199&gt;(R165+R167)," * Infant Prophylaxis LD for Age "&amp;R6&amp;" "&amp;R7&amp;" is more than Initial LD Positive + Retest LD positive"&amp;CHAR(10),""),IF(S199&gt;(S165+S167)," * Infant Prophylaxis LD for Age "&amp;R6&amp;" "&amp;S7&amp;" is more than Initial LD Positive + Retest LD positive"&amp;CHAR(10),""),IF(T199&gt;(T165+T167)," * Infant Prophylaxis LD for Age "&amp;T6&amp;" "&amp;T7&amp;" is more than Initial LD Positive + Retest LD positive"&amp;CHAR(10),""),IF(U199&gt;(U165+U167)," * Infant Prophylaxis LD for Age "&amp;T6&amp;" "&amp;U7&amp;" is more than Initial LD Positive + Retest LD positive"&amp;CHAR(10),""),IF(V199&gt;(V165+V167)," * Infant Prophylaxis LD for Age "&amp;V6&amp;" "&amp;V7&amp;" is more than Initial LD Positive + Retest LD positive"&amp;CHAR(10),""),IF(W199&gt;(W165+W167)," * Infant Prophylaxis LD for Age "&amp;V6&amp;" "&amp;W7&amp;" is more than Initial LD Positive + Retest LD positive"&amp;CHAR(10),""),IF(X199&gt;X165," * Infant Prophylaxis LD for Age "&amp;X6&amp;" "&amp;X7&amp;" is more than Initial LD Positive + Retest LD positive"&amp;CHAR(10),""),IF(Y199&gt;(Y165+Y167)," * Infant Prophylaxis LD for Age "&amp;X6&amp;" "&amp;Y7&amp;" is more than Initial LD Positive + Retest LD positive"&amp;CHAR(10),""),IF(Z199&gt;(Z165+Z167)," * Infant Prophylaxis LD for Age "&amp;Z6&amp;" "&amp;Z7&amp;" is more than Initial LD Positive + Retest LD positive"&amp;CHAR(10),""),IF(AA199&gt;(AA165+AA167)," * Infant Prophylaxis LD for Age "&amp;Z6&amp;" "&amp;AA7&amp;" is more than Initial LD Positive + Retest LD positive"&amp;CHAR(10),""),IF(AJ199&gt;(AJ165+AJ167)," * Total Infant Prophylaxis LD is more than Total Initial LD Positive + Retest LD positive"&amp;CHAR(10),""))</f>
        <v/>
      </c>
      <c r="AL199" s="94"/>
      <c r="AM199" s="136" t="str">
        <f>CONCATENATE(IF(D199&lt;(D165+D167)," * Infant Prophylaxis LD for Age "&amp;D6&amp;" "&amp;D7&amp;" is less than Initial LD Positive + Retest LD positive"&amp;CHAR(10),""),IF(E199&lt;(E165+E167)," * Infant Prophylaxis LD for Age "&amp;D6&amp;" "&amp;E7&amp;" is less than Initial LD Positive + Retest LD positive"&amp;CHAR(10),""),IF(F199&lt;(F165+F167)," * Infant Prophylaxis LD for Age "&amp;F6&amp;" "&amp;F7&amp;" is less than Initial LD Positive + Retest LD positive"&amp;CHAR(10),""),IF(G199&lt;(G165+G167)," * Infant Prophylaxis LD for Age "&amp;F6&amp;" "&amp;G7&amp;" is less than Initial LD Positive + Retest LD positive"&amp;CHAR(10),""),IF(H199&lt;(H165+H167)," * Infant Prophylaxis LD for Age "&amp;H6&amp;" "&amp;H7&amp;" is less than Initial LD Positive + Retest LD positive"&amp;CHAR(10),""),IF(I199&lt;(I165+I167)," * Infant Prophylaxis LD for Age "&amp;H6&amp;" "&amp;I7&amp;" is less than Initial LD Positive + Retest LD positive"&amp;CHAR(10),""),IF(J199&lt;(J165+J167)," * Infant Prophylaxis LD for Age "&amp;J6&amp;" "&amp;J7&amp;" is less than Initial LD Positive + Retest LD positive"&amp;CHAR(10),""),IF(K199&lt;(K165+K167)," * Infant Prophylaxis LD for Age "&amp;J6&amp;" "&amp;K7&amp;" is less than Initial LD Positive + Retest LD positive"&amp;CHAR(10),""),IF(L199&lt;(L165+L167)," * Infant Prophylaxis LD for Age "&amp;L6&amp;" "&amp;L7&amp;" is less than Initial LD Positive + Retest LD positive"&amp;CHAR(10),""),IF(M199&lt;(M165+M167)," * Infant Prophylaxis LD for Age "&amp;L6&amp;" "&amp;M7&amp;" is less than Initial LD Positive + Retest LD positive"&amp;CHAR(10),""),IF(N199&lt;(N165+N167)," * Infant Prophylaxis LD for Age "&amp;N6&amp;" "&amp;N7&amp;" is less than Initial LD Positive + Retest LD positive"&amp;CHAR(10),""),IF(O199&lt;(O165+O167)," * Infant Prophylaxis LD for Age "&amp;N6&amp;" "&amp;O7&amp;" is less than Initial LD Positive + Retest LD positive"&amp;CHAR(10),""),IF(P199&lt;(P165+P167)," * Infant Prophylaxis LD for Age "&amp;P6&amp;" "&amp;P7&amp;" is less than Initial LD Positive + Retest LD positive"&amp;CHAR(10),""),IF(Q199&lt;(Q165+Q167)," * Infant Prophylaxis LD for Age "&amp;P6&amp;" "&amp;Q7&amp;" is less than Initial LD Positive + Retest LD positive"&amp;CHAR(10),""),IF(R199&lt;(R165+R167)," * Infant Prophylaxis LD for Age "&amp;R6&amp;" "&amp;R7&amp;" is less than Initial LD Positive + Retest LD positive"&amp;CHAR(10),""),IF(S199&lt;(S165+S167)," * Infant Prophylaxis LD for Age "&amp;R6&amp;" "&amp;S7&amp;" is less than Initial LD Positive + Retest LD positive"&amp;CHAR(10),""),IF(T199&lt;(T165+T167)," * Infant Prophylaxis LD for Age "&amp;T6&amp;" "&amp;T7&amp;" is less than Initial LD Positive + Retest LD positive"&amp;CHAR(10),""),IF(U199&lt;(U165+U167)," * Infant Prophylaxis LD for Age "&amp;T6&amp;" "&amp;U7&amp;" is less than Initial LD Positive + Retest LD positive"&amp;CHAR(10),""),IF(V199&lt;(V165+V167)," * Infant Prophylaxis LD for Age "&amp;V6&amp;" "&amp;V7&amp;" is less than Initial LD Positive + Retest LD positive"&amp;CHAR(10),""),IF(W199&lt;(W165+W167)," * Infant Prophylaxis LD for Age "&amp;V6&amp;" "&amp;W7&amp;" is less than Initial LD Positive + Retest LD positive"&amp;CHAR(10),""),IF(X199&lt;X165," * Infant Prophylaxis LD for Age "&amp;X6&amp;" "&amp;X7&amp;" is less than Initial LD Positive + Retest LD positive"&amp;CHAR(10),""),IF(Y199&lt;(Y165+Y167)," * Infant Prophylaxis LD for Age "&amp;X6&amp;" "&amp;Y7&amp;" is less than Initial LD Positive + Retest LD positive"&amp;CHAR(10),""),IF(Z199&lt;(Z165+Z167)," * Infant Prophylaxis LD for Age "&amp;Z6&amp;" "&amp;Z7&amp;" is less than Initial LD Positive + Retest LD positive"&amp;CHAR(10),""),IF(AA199&lt;(AA165+AA167)," * Infant Prophylaxis LD for Age "&amp;Z6&amp;" "&amp;AA7&amp;" is less than Initial LD Positive + Retest LD positive"&amp;CHAR(10),""),IF(AJ199&lt;(AJ165+AJ167)," * Total Infant Prophylaxis LD is less than Total Initial LD Positive + Retest LD positive"&amp;CHAR(10),""))</f>
        <v/>
      </c>
      <c r="AN199" s="478"/>
      <c r="AO199" s="330">
        <v>242</v>
      </c>
    </row>
    <row r="200" spans="1:45" x14ac:dyDescent="0.6">
      <c r="A200" s="857"/>
      <c r="B200" s="740" t="s">
        <v>649</v>
      </c>
      <c r="C200" s="127" t="s">
        <v>147</v>
      </c>
      <c r="D200" s="512"/>
      <c r="E200" s="473"/>
      <c r="F200" s="473"/>
      <c r="G200" s="473"/>
      <c r="H200" s="473"/>
      <c r="I200" s="473"/>
      <c r="J200" s="474"/>
      <c r="K200" s="278"/>
      <c r="L200" s="473"/>
      <c r="M200" s="274"/>
      <c r="N200" s="473"/>
      <c r="O200" s="274"/>
      <c r="P200" s="473"/>
      <c r="Q200" s="274"/>
      <c r="R200" s="473"/>
      <c r="S200" s="274"/>
      <c r="T200" s="473"/>
      <c r="U200" s="274"/>
      <c r="V200" s="473"/>
      <c r="W200" s="274"/>
      <c r="X200" s="473"/>
      <c r="Y200" s="274"/>
      <c r="Z200" s="487"/>
      <c r="AA200" s="495"/>
      <c r="AB200" s="487"/>
      <c r="AC200" s="495"/>
      <c r="AD200" s="495"/>
      <c r="AE200" s="495"/>
      <c r="AF200" s="495"/>
      <c r="AG200" s="495"/>
      <c r="AH200" s="510"/>
      <c r="AI200" s="472"/>
      <c r="AJ200" s="251">
        <f t="shared" si="110"/>
        <v>0</v>
      </c>
      <c r="AK200" s="513" t="str">
        <f>CONCATENATE(IF(D200&gt;D169+D171," * Infant Prophylaxis PNC &lt; 6 Weeks for Age "&amp;D6&amp;" "&amp;D7&amp;" is more than Positive PNC &lt;= 6 weeks"&amp;CHAR(10),""),IF(E200&gt;E169+E171," * Infant Prophylaxis PNC &lt; 6 Weeks for Age "&amp;D6&amp;" "&amp;E7&amp;" is more than Positive PNC &lt;= 6 weeks"&amp;CHAR(10),""),IF(F200&gt;F169+F171," * Infant Prophylaxis PNC &lt; 6 Weeks for Age "&amp;F6&amp;" "&amp;F7&amp;" is more than Positive PNC &lt;= 6 weeks"&amp;CHAR(10),""),IF(G200&gt;G169+G171," * Infant Prophylaxis PNC &lt; 6 Weeks for Age "&amp;F6&amp;" "&amp;G7&amp;" is more than Positive PNC &lt;= 6 weeks"&amp;CHAR(10),""),IF(H200&gt;H169+H171," * Infant Prophylaxis PNC &lt; 6 Weeks for Age "&amp;H6&amp;" "&amp;H7&amp;" is more than Positive PNC &lt;= 6 weeks"&amp;CHAR(10),""),IF(I200&gt;I169+I171," * Infant Prophylaxis PNC &lt; 6 Weeks for Age "&amp;H6&amp;" "&amp;I7&amp;" is more than Positive PNC &lt;= 6 weeks"&amp;CHAR(10),""),IF(J200&gt;J169+J171," * Infant Prophylaxis PNC &lt; 6 Weeks for Age "&amp;J6&amp;" "&amp;J7&amp;" is more than Positive PNC &lt;= 6 weeks"&amp;CHAR(10),""),IF(K200&gt;K169+K171," * Infant Prophylaxis PNC &lt; 6 Weeks for Age "&amp;J6&amp;" "&amp;K7&amp;" is more than Positive PNC &lt;= 6 weeks"&amp;CHAR(10),""),IF(L200&gt;L169+L171," * Infant Prophylaxis PNC &lt; 6 Weeks for Age "&amp;L6&amp;" "&amp;L7&amp;" is more than Positive PNC &lt;= 6 weeks"&amp;CHAR(10),""),IF(M200&gt;M169+M171," * Infant Prophylaxis PNC &lt; 6 Weeks for Age "&amp;L6&amp;" "&amp;M7&amp;" is more than Positive PNC &lt;= 6 weeks"&amp;CHAR(10),""),IF(N200&gt;N169+N171," * Infant Prophylaxis PNC &lt; 6 Weeks for Age "&amp;N6&amp;" "&amp;N7&amp;" is more than Positive PNC &lt;= 6 weeks"&amp;CHAR(10),""),IF(O200&gt;O169+O171," * Infant Prophylaxis PNC &lt; 6 Weeks for Age "&amp;N6&amp;" "&amp;O7&amp;" is more than Positive PNC &lt;= 6 weeks"&amp;CHAR(10),""),IF(P200&gt;P169+P171," * Infant Prophylaxis PNC &lt; 6 Weeks for Age "&amp;P6&amp;" "&amp;P7&amp;" is more than Positive PNC &lt;= 6 weeks"&amp;CHAR(10),""),IF(Q200&gt;Q169+Q171," * Infant Prophylaxis PNC &lt; 6 Weeks for Age "&amp;P6&amp;" "&amp;Q7&amp;" is more than Positive PNC &lt;= 6 weeks"&amp;CHAR(10),""),IF(R200&gt;R169+R171," * Infant Prophylaxis PNC &lt; 6 Weeks for Age "&amp;R6&amp;" "&amp;R7&amp;" is more than Positive PNC &lt;= 6 weeks"&amp;CHAR(10),""),IF(S200&gt;S169+S171+S171," * Infant Prophylaxis PNC &lt; 6 Weeks for Age "&amp;R6&amp;" "&amp;S7&amp;" is more than Positive PNC &lt;= 6 weeks"&amp;CHAR(10),""),IF(T200&gt;T169+T171," * Infant Prophylaxis PNC &lt; 6 Weeks for Age "&amp;T6&amp;" "&amp;T7&amp;" is more than Positive PNC &lt;= 6 weeks"&amp;CHAR(10),""),IF(U200&gt;U169+U171," * Infant Prophylaxis PNC &lt; 6 Weeks for Age "&amp;T6&amp;" "&amp;U7&amp;" is more than Positive PNC &lt;= 6 weeks"&amp;CHAR(10),""),IF(V200&gt;V169+V171," * Infant Prophylaxis PNC &lt; 6 Weeks for Age "&amp;V6&amp;" "&amp;V7&amp;" is more than Positive PNC &lt;= 6 weeks"&amp;CHAR(10),""),IF(W200&gt;W169+W171," * Infant Prophylaxis PNC &lt; 6 Weeks for Age "&amp;V6&amp;" "&amp;W7&amp;" is more than Positive PNC &lt;= 6 weeks"&amp;CHAR(10),""),IF(X200&gt;X169+X171," * Infant Prophylaxis PNC &lt; 6 Weeks for Age "&amp;X6&amp;" "&amp;X7&amp;" is more than Positive PNC &lt;= 6 weeks"&amp;CHAR(10),""),IF(Y200&gt;Y169+Y171," * Infant Prophylaxis PNC &lt; 6 Weeks for Age "&amp;X6&amp;" "&amp;Y7&amp;" is more than Positive PNC &lt;= 6 weeks"&amp;CHAR(10),""),IF(Z200&gt;Z169+Z171," * Infant Prophylaxis PNC &lt; 6 Weeks for Age "&amp;Z6&amp;" "&amp;Z7&amp;" is more than Positive PNC &lt;= 6 weeks"&amp;CHAR(10),""),IF(AA200&gt;AA169+AA171," * Infant Prophylaxis PNC &lt; 6 Weeks for Age "&amp;Z6&amp;" "&amp;AA7&amp;" is more than Positive PNC &lt;= 6 weeks"&amp;CHAR(10),""))</f>
        <v/>
      </c>
      <c r="AL200" s="95"/>
      <c r="AM200" s="359" t="str">
        <f>CONCATENATE(IF(D200&lt;D169," * F06-20 for Age "&amp;D6&amp;" "&amp;D7&amp;" is less than F06-10"&amp;CHAR(10),""),IF(E200&lt;E169," * F06-20 for Age "&amp;D6&amp;" "&amp;E7&amp;" is less than F06-10"&amp;CHAR(10),""),IF(F200&lt;F169," * F06-20 for Age "&amp;F6&amp;" "&amp;F7&amp;" is less than F06-10"&amp;CHAR(10),""),IF(G200&lt;G169," * F06-20 for Age "&amp;F6&amp;" "&amp;G7&amp;" is less than F06-10"&amp;CHAR(10),""),IF(H200&lt;H169," * F06-20 for Age "&amp;H6&amp;" "&amp;H7&amp;" is less than F06-10"&amp;CHAR(10),""),IF(I200&lt;I169," * F06-20 for Age "&amp;H6&amp;" "&amp;I7&amp;" is less than F06-10"&amp;CHAR(10),""),IF(J200&lt;J169," * F06-20 for Age "&amp;J6&amp;" "&amp;J7&amp;" is less than F06-10"&amp;CHAR(10),""),IF(K200&lt;K169," * F06-20 for Age "&amp;J6&amp;" "&amp;K7&amp;" is less than F06-10"&amp;CHAR(10),""),IF(L200&lt;L169," * F06-20 for Age "&amp;L6&amp;" "&amp;L7&amp;" is less than F06-10"&amp;CHAR(10),""),IF(M200&lt;M169," * F06-20 for Age "&amp;L6&amp;" "&amp;M7&amp;" is less than F06-10"&amp;CHAR(10),""),IF(N200&lt;N169," * F06-20 for Age "&amp;N6&amp;" "&amp;N7&amp;" is less than F06-10"&amp;CHAR(10),""),IF(O200&lt;O169," * F06-20 for Age "&amp;N6&amp;" "&amp;O7&amp;" is less than F06-10"&amp;CHAR(10),""),IF(P200&lt;P169," * F06-20 for Age "&amp;P6&amp;" "&amp;P7&amp;" is less than F06-10"&amp;CHAR(10),""),IF(Q200&lt;Q169," * F06-20 for Age "&amp;P6&amp;" "&amp;Q7&amp;" is less than F06-10"&amp;CHAR(10),""),IF(R200&lt;R169," * F06-20 for Age "&amp;R6&amp;" "&amp;R7&amp;" is less than F06-10"&amp;CHAR(10),""),IF(S200&lt;S169," * F06-20 for Age "&amp;R6&amp;" "&amp;S7&amp;" is less than F06-10"&amp;CHAR(10),""),IF(T200&lt;T169," * F06-20 for Age "&amp;T6&amp;" "&amp;T7&amp;" is less than F06-10"&amp;CHAR(10),""),IF(U200&lt;U169," * F06-20 for Age "&amp;T6&amp;" "&amp;U7&amp;" is less than F06-10"&amp;CHAR(10),""),IF(V200&lt;V169," * F06-20 for Age "&amp;V6&amp;" "&amp;V7&amp;" is less than F06-10"&amp;CHAR(10),""),IF(W200&lt;W169," * F06-20 for Age "&amp;V6&amp;" "&amp;W7&amp;" is less than F06-10"&amp;CHAR(10),""),IF(X200&lt;X169," * F06-20 for Age "&amp;X6&amp;" "&amp;X7&amp;" is less than F06-10"&amp;CHAR(10),""),IF(Y200&lt;Y169," * F06-20 for Age "&amp;X6&amp;" "&amp;Y7&amp;" is less than F06-10"&amp;CHAR(10),""),IF(Z200&lt;Z169," * F06-20 for Age "&amp;Z6&amp;" "&amp;Z7&amp;" is less than F06-10"&amp;CHAR(10),""),IF(AA200&lt;AA169," * F06-20 for Age "&amp;Z6&amp;" "&amp;AA7&amp;" is less than F06-10"&amp;CHAR(10),""),IF(AJ200&lt;AJ169," * Total F06-20 is less than Total F06-10"&amp;CHAR(10),""))</f>
        <v/>
      </c>
      <c r="AN200" s="514"/>
      <c r="AO200" s="330">
        <v>243</v>
      </c>
    </row>
    <row r="201" spans="1:45" ht="31.5" thickBot="1" x14ac:dyDescent="0.65">
      <c r="A201" s="857"/>
      <c r="B201" s="769" t="s">
        <v>650</v>
      </c>
      <c r="C201" s="515" t="s">
        <v>705</v>
      </c>
      <c r="D201" s="516"/>
      <c r="E201" s="502"/>
      <c r="F201" s="502"/>
      <c r="G201" s="502"/>
      <c r="H201" s="502"/>
      <c r="I201" s="502"/>
      <c r="J201" s="503"/>
      <c r="K201" s="504"/>
      <c r="L201" s="502"/>
      <c r="M201" s="505"/>
      <c r="N201" s="502"/>
      <c r="O201" s="505"/>
      <c r="P201" s="502"/>
      <c r="Q201" s="505"/>
      <c r="R201" s="502"/>
      <c r="S201" s="505"/>
      <c r="T201" s="502"/>
      <c r="U201" s="505"/>
      <c r="V201" s="502"/>
      <c r="W201" s="505"/>
      <c r="X201" s="502"/>
      <c r="Y201" s="505"/>
      <c r="Z201" s="517"/>
      <c r="AA201" s="518"/>
      <c r="AB201" s="517"/>
      <c r="AC201" s="518"/>
      <c r="AD201" s="518"/>
      <c r="AE201" s="518"/>
      <c r="AF201" s="518"/>
      <c r="AG201" s="518"/>
      <c r="AH201" s="519"/>
      <c r="AI201" s="334"/>
      <c r="AJ201" s="520"/>
      <c r="AK201" s="521"/>
      <c r="AL201" s="96"/>
      <c r="AM201" s="407"/>
      <c r="AN201" s="522"/>
      <c r="AO201" s="330"/>
    </row>
    <row r="202" spans="1:45" ht="31.5" thickBot="1" x14ac:dyDescent="0.65">
      <c r="A202" s="858" t="s">
        <v>670</v>
      </c>
      <c r="B202" s="859"/>
      <c r="C202" s="859"/>
      <c r="D202" s="859"/>
      <c r="E202" s="859"/>
      <c r="F202" s="859"/>
      <c r="G202" s="859"/>
      <c r="H202" s="859"/>
      <c r="I202" s="859"/>
      <c r="J202" s="859"/>
      <c r="K202" s="859"/>
      <c r="L202" s="859"/>
      <c r="M202" s="859"/>
      <c r="N202" s="859"/>
      <c r="O202" s="859"/>
      <c r="P202" s="859"/>
      <c r="Q202" s="859"/>
      <c r="R202" s="859"/>
      <c r="S202" s="859"/>
      <c r="T202" s="859"/>
      <c r="U202" s="859"/>
      <c r="V202" s="859"/>
      <c r="W202" s="859"/>
      <c r="X202" s="859"/>
      <c r="Y202" s="859"/>
      <c r="Z202" s="859"/>
      <c r="AA202" s="859"/>
      <c r="AB202" s="859"/>
      <c r="AC202" s="859"/>
      <c r="AD202" s="859"/>
      <c r="AE202" s="859"/>
      <c r="AF202" s="859"/>
      <c r="AG202" s="859"/>
      <c r="AH202" s="859"/>
      <c r="AI202" s="859"/>
      <c r="AJ202" s="859"/>
      <c r="AK202" s="859"/>
      <c r="AL202" s="859"/>
      <c r="AM202" s="859"/>
      <c r="AN202" s="860"/>
      <c r="AO202" s="330">
        <v>316</v>
      </c>
    </row>
    <row r="203" spans="1:45" ht="31.5" thickBot="1" x14ac:dyDescent="0.65">
      <c r="A203" s="852" t="s">
        <v>671</v>
      </c>
      <c r="B203" s="859"/>
      <c r="C203" s="859"/>
      <c r="D203" s="859"/>
      <c r="E203" s="859"/>
      <c r="F203" s="859"/>
      <c r="G203" s="859"/>
      <c r="H203" s="859"/>
      <c r="I203" s="859"/>
      <c r="J203" s="859"/>
      <c r="K203" s="859"/>
      <c r="L203" s="859"/>
      <c r="M203" s="859"/>
      <c r="N203" s="859"/>
      <c r="O203" s="859"/>
      <c r="P203" s="859"/>
      <c r="Q203" s="859"/>
      <c r="R203" s="859"/>
      <c r="S203" s="859"/>
      <c r="T203" s="859"/>
      <c r="U203" s="859"/>
      <c r="V203" s="859"/>
      <c r="W203" s="859"/>
      <c r="X203" s="859"/>
      <c r="Y203" s="859"/>
      <c r="Z203" s="859"/>
      <c r="AA203" s="859"/>
      <c r="AB203" s="859"/>
      <c r="AC203" s="859"/>
      <c r="AD203" s="859"/>
      <c r="AE203" s="859"/>
      <c r="AF203" s="859"/>
      <c r="AG203" s="859"/>
      <c r="AH203" s="859"/>
      <c r="AI203" s="859"/>
      <c r="AJ203" s="859"/>
      <c r="AK203" s="859"/>
      <c r="AL203" s="859"/>
      <c r="AM203" s="859"/>
      <c r="AN203" s="860"/>
      <c r="AO203" s="330">
        <v>316</v>
      </c>
    </row>
    <row r="204" spans="1:45" s="7" customFormat="1" ht="50.25" customHeight="1" x14ac:dyDescent="0.6">
      <c r="A204" s="884" t="s">
        <v>672</v>
      </c>
      <c r="B204" s="707" t="s">
        <v>226</v>
      </c>
      <c r="C204" s="523" t="s">
        <v>229</v>
      </c>
      <c r="D204" s="524"/>
      <c r="E204" s="524"/>
      <c r="F204" s="524"/>
      <c r="G204" s="524"/>
      <c r="H204" s="524"/>
      <c r="I204" s="524"/>
      <c r="J204" s="524"/>
      <c r="K204" s="524"/>
      <c r="L204" s="524"/>
      <c r="M204" s="524"/>
      <c r="N204" s="524"/>
      <c r="O204" s="524"/>
      <c r="P204" s="524"/>
      <c r="Q204" s="524"/>
      <c r="R204" s="524"/>
      <c r="S204" s="524"/>
      <c r="T204" s="524"/>
      <c r="U204" s="524"/>
      <c r="V204" s="524"/>
      <c r="W204" s="524"/>
      <c r="X204" s="524"/>
      <c r="Y204" s="524"/>
      <c r="Z204" s="525">
        <f t="shared" ref="Z204:AA206" si="111">SUM(AB204,AD204,AF204,AH204)</f>
        <v>0</v>
      </c>
      <c r="AA204" s="525">
        <f t="shared" si="111"/>
        <v>0</v>
      </c>
      <c r="AB204" s="524"/>
      <c r="AC204" s="524"/>
      <c r="AD204" s="524"/>
      <c r="AE204" s="524"/>
      <c r="AF204" s="524"/>
      <c r="AG204" s="524"/>
      <c r="AH204" s="524"/>
      <c r="AI204" s="524"/>
      <c r="AJ204" s="526">
        <f>SUM(D204:AA204)</f>
        <v>0</v>
      </c>
      <c r="AK204" s="527" t="str">
        <f>CONCATENATE(IF(D205&gt;D204," * TB Cases with Known HIV Positive status "&amp;$D$6&amp;" "&amp;$D$7&amp;" is more than Total TB Cases New and relapsed"&amp;CHAR(10),""),IF(E205&gt;E204," * TB Cases with Known HIV Positive status "&amp;$D$6&amp;" "&amp;$E$7&amp;" is more than Total TB Cases New and relapsed"&amp;CHAR(10),""),IF(F205&gt;F204," * TB Cases with Known HIV Positive status "&amp;$F$6&amp;" "&amp;$F$7&amp;" is more than Total TB Cases New and relapsed"&amp;CHAR(10),""),IF(G205&gt;G204," * TB Cases with Known HIV Positive status "&amp;$F$6&amp;" "&amp;$G$7&amp;" is more than Total TB Cases New and relapsed"&amp;CHAR(10),""),IF(H205&gt;H204," * TB Cases with Known HIV Positive status "&amp;$H$6&amp;" "&amp;$H$7&amp;" is more than Total TB Cases New and relapsed"&amp;CHAR(10),""),IF(I205&gt;I204," * TB Cases with Known HIV Positive status "&amp;$H$6&amp;" "&amp;$I$7&amp;" is more than Total TB Cases New and relapsed"&amp;CHAR(10),""),IF(J205&gt;J204," * TB Cases with Known HIV Positive status "&amp;$J$6&amp;" "&amp;$J$7&amp;" is more than Total TB Cases New and relapsed"&amp;CHAR(10),""),IF(K205&gt;K204," * TB Cases with Known HIV Positive status "&amp;$J$6&amp;" "&amp;$K$7&amp;" is more than Total TB Cases New and relapsed"&amp;CHAR(10),""),IF(L205&gt;L204," * TB Cases with Known HIV Positive status "&amp;$L$6&amp;" "&amp;$L$7&amp;" is more than Total TB Cases New and relapsed"&amp;CHAR(10),""),IF(M205&gt;M204," * TB Cases with Known HIV Positive status "&amp;$L$6&amp;" "&amp;$M$7&amp;" is more than Total TB Cases New and relapsed"&amp;CHAR(10),""),IF(N205&gt;N204," * TB Cases with Known HIV Positive status "&amp;$N$6&amp;" "&amp;$N$7&amp;" is more than Total TB Cases New and relapsed"&amp;CHAR(10),""),IF(O205&gt;O204," * TB Cases with Known HIV Positive status "&amp;$N$6&amp;" "&amp;$O$7&amp;" is more than Total TB Cases New and relapsed"&amp;CHAR(10),""),IF(P205&gt;P204," * TB Cases with Known HIV Positive status "&amp;$P$6&amp;" "&amp;$P$7&amp;" is more than Total TB Cases New and relapsed"&amp;CHAR(10),""),IF(Q205&gt;Q204," * TB Cases with Known HIV Positive status "&amp;$P$6&amp;" "&amp;$Q$7&amp;" is more than Total TB Cases New and relapsed"&amp;CHAR(10),""),IF(R205&gt;R204," * TB Cases with Known HIV Positive status "&amp;$R$6&amp;" "&amp;$R$7&amp;" is more than Total TB Cases New and relapsed"&amp;CHAR(10),""),IF(S205&gt;S204," * TB Cases with Known HIV Positive status "&amp;$R$6&amp;" "&amp;$S$7&amp;" is more than Total TB Cases New and relapsed"&amp;CHAR(10),""),IF(T205&gt;T204," * TB Cases with Known HIV Positive status "&amp;$T$6&amp;" "&amp;$T$7&amp;" is more than Total TB Cases New and relapsed"&amp;CHAR(10),""),IF(U205&gt;U204," * TB Cases with Known HIV Positive status "&amp;$T$6&amp;" "&amp;$U$7&amp;" is more than Total TB Cases New and relapsed"&amp;CHAR(10),""),IF(V205&gt;V204," * TB Cases with Known HIV Positive status "&amp;$V$6&amp;" "&amp;$V$7&amp;" is more than Total TB Cases New and relapsed"&amp;CHAR(10),""),IF(W205&gt;W204," * TB Cases with Known HIV Positive status "&amp;$V$6&amp;" "&amp;$W$7&amp;" is more than Total TB Cases New and relapsed"&amp;CHAR(10),""),IF(X205&gt;X204," * TB Cases with Known HIV Positive status "&amp;$X$6&amp;" "&amp;$X$7&amp;" is more than Total TB Cases New and relapsed"&amp;CHAR(10),""),IF(Y205&gt;Y204," * TB Cases with Known HIV Positive status "&amp;$X$6&amp;" "&amp;$Y$7&amp;" is more than Total TB Cases New and relapsed"&amp;CHAR(10),""),IF(Z205&gt;Z204," * TB Cases with Known HIV Positive status "&amp;$Z$6&amp;" "&amp;$Z$7&amp;" is more than Total TB Cases New and relapsed"&amp;CHAR(10),""),IF(AA205&gt;AA204," * TB Cases with Known HIV Positive status "&amp;$Z$6&amp;" "&amp;$AA$7&amp;" is more than Total TB Cases New and relapsed"&amp;CHAR(10),""))</f>
        <v/>
      </c>
      <c r="AL204" s="97" t="str">
        <f>CONCATENATE(AK204,AK205,AK208,AK209,AK210,AK215,AK217,AK218,AK219,AK206,AK207)</f>
        <v/>
      </c>
      <c r="AM204" s="528"/>
      <c r="AN204" s="529" t="str">
        <f>CONCATENATE(AM204,AM205,AM207,AM208,AM209,AM210,AM215,AM217,AM218,AM219)</f>
        <v/>
      </c>
      <c r="AO204" s="330">
        <v>317</v>
      </c>
      <c r="AQ204" s="1046"/>
      <c r="AR204" s="1046"/>
      <c r="AS204" s="1046"/>
    </row>
    <row r="205" spans="1:45" s="23" customFormat="1" ht="56.25" x14ac:dyDescent="0.6">
      <c r="A205" s="885"/>
      <c r="B205" s="708" t="s">
        <v>722</v>
      </c>
      <c r="C205" s="530" t="s">
        <v>230</v>
      </c>
      <c r="D205" s="531"/>
      <c r="E205" s="531"/>
      <c r="F205" s="531"/>
      <c r="G205" s="531"/>
      <c r="H205" s="531"/>
      <c r="I205" s="531"/>
      <c r="J205" s="531"/>
      <c r="K205" s="531"/>
      <c r="L205" s="531"/>
      <c r="M205" s="531"/>
      <c r="N205" s="531"/>
      <c r="O205" s="531"/>
      <c r="P205" s="531"/>
      <c r="Q205" s="531"/>
      <c r="R205" s="531"/>
      <c r="S205" s="531"/>
      <c r="T205" s="531"/>
      <c r="U205" s="531"/>
      <c r="V205" s="531"/>
      <c r="W205" s="531"/>
      <c r="X205" s="531"/>
      <c r="Y205" s="531"/>
      <c r="Z205" s="525">
        <f t="shared" si="111"/>
        <v>0</v>
      </c>
      <c r="AA205" s="525">
        <f t="shared" si="111"/>
        <v>0</v>
      </c>
      <c r="AB205" s="531"/>
      <c r="AC205" s="531"/>
      <c r="AD205" s="531"/>
      <c r="AE205" s="531"/>
      <c r="AF205" s="531"/>
      <c r="AG205" s="531"/>
      <c r="AH205" s="531"/>
      <c r="AI205" s="531"/>
      <c r="AJ205" s="532">
        <f t="shared" ref="AJ205:AJ219" si="112">SUM(D205:AA205)</f>
        <v>0</v>
      </c>
      <c r="AK205" s="533"/>
      <c r="AL205" s="97"/>
      <c r="AM205" s="534"/>
      <c r="AN205" s="529"/>
      <c r="AO205" s="330">
        <v>318</v>
      </c>
      <c r="AQ205" s="1049"/>
      <c r="AR205" s="1049"/>
      <c r="AS205" s="1049"/>
    </row>
    <row r="206" spans="1:45" s="23" customFormat="1" x14ac:dyDescent="0.6">
      <c r="A206" s="885"/>
      <c r="B206" s="709" t="s">
        <v>509</v>
      </c>
      <c r="C206" s="530" t="s">
        <v>359</v>
      </c>
      <c r="D206" s="535"/>
      <c r="E206" s="536"/>
      <c r="F206" s="531"/>
      <c r="G206" s="531"/>
      <c r="H206" s="531"/>
      <c r="I206" s="531"/>
      <c r="J206" s="531"/>
      <c r="K206" s="531"/>
      <c r="L206" s="531"/>
      <c r="M206" s="531"/>
      <c r="N206" s="531"/>
      <c r="O206" s="531"/>
      <c r="P206" s="531"/>
      <c r="Q206" s="531"/>
      <c r="R206" s="531"/>
      <c r="S206" s="531"/>
      <c r="T206" s="531"/>
      <c r="U206" s="531"/>
      <c r="V206" s="531"/>
      <c r="W206" s="531"/>
      <c r="X206" s="531"/>
      <c r="Y206" s="531"/>
      <c r="Z206" s="525">
        <f t="shared" si="111"/>
        <v>0</v>
      </c>
      <c r="AA206" s="525">
        <f t="shared" si="111"/>
        <v>0</v>
      </c>
      <c r="AB206" s="531"/>
      <c r="AC206" s="531"/>
      <c r="AD206" s="531"/>
      <c r="AE206" s="531"/>
      <c r="AF206" s="531"/>
      <c r="AG206" s="531"/>
      <c r="AH206" s="531"/>
      <c r="AI206" s="531"/>
      <c r="AJ206" s="532">
        <f t="shared" si="112"/>
        <v>0</v>
      </c>
      <c r="AK206" s="533"/>
      <c r="AL206" s="97"/>
      <c r="AM206" s="534"/>
      <c r="AN206" s="529"/>
      <c r="AO206" s="330"/>
      <c r="AQ206" s="1049"/>
      <c r="AR206" s="1049"/>
      <c r="AS206" s="1049"/>
    </row>
    <row r="207" spans="1:45" s="23" customFormat="1" x14ac:dyDescent="0.6">
      <c r="A207" s="885"/>
      <c r="B207" s="710" t="s">
        <v>227</v>
      </c>
      <c r="C207" s="530" t="s">
        <v>231</v>
      </c>
      <c r="D207" s="535"/>
      <c r="E207" s="536"/>
      <c r="F207" s="537">
        <f>F204-(F205+F206)</f>
        <v>0</v>
      </c>
      <c r="G207" s="537">
        <f t="shared" ref="G207:Y207" si="113">G204-(G205+G206)</f>
        <v>0</v>
      </c>
      <c r="H207" s="537">
        <f t="shared" si="113"/>
        <v>0</v>
      </c>
      <c r="I207" s="537">
        <f t="shared" si="113"/>
        <v>0</v>
      </c>
      <c r="J207" s="537">
        <f t="shared" si="113"/>
        <v>0</v>
      </c>
      <c r="K207" s="537">
        <f t="shared" si="113"/>
        <v>0</v>
      </c>
      <c r="L207" s="537">
        <f t="shared" si="113"/>
        <v>0</v>
      </c>
      <c r="M207" s="537">
        <f t="shared" si="113"/>
        <v>0</v>
      </c>
      <c r="N207" s="537">
        <f t="shared" si="113"/>
        <v>0</v>
      </c>
      <c r="O207" s="537">
        <f t="shared" si="113"/>
        <v>0</v>
      </c>
      <c r="P207" s="537">
        <f t="shared" si="113"/>
        <v>0</v>
      </c>
      <c r="Q207" s="537">
        <f t="shared" si="113"/>
        <v>0</v>
      </c>
      <c r="R207" s="537">
        <f t="shared" si="113"/>
        <v>0</v>
      </c>
      <c r="S207" s="537">
        <f t="shared" si="113"/>
        <v>0</v>
      </c>
      <c r="T207" s="537">
        <f t="shared" si="113"/>
        <v>0</v>
      </c>
      <c r="U207" s="537">
        <f t="shared" si="113"/>
        <v>0</v>
      </c>
      <c r="V207" s="537">
        <f t="shared" si="113"/>
        <v>0</v>
      </c>
      <c r="W207" s="537">
        <f t="shared" si="113"/>
        <v>0</v>
      </c>
      <c r="X207" s="537">
        <f t="shared" si="113"/>
        <v>0</v>
      </c>
      <c r="Y207" s="537">
        <f t="shared" si="113"/>
        <v>0</v>
      </c>
      <c r="Z207" s="525">
        <f t="shared" ref="Z207:AA217" si="114">SUM(AB207,AD207,AF207,AH207)</f>
        <v>0</v>
      </c>
      <c r="AA207" s="525">
        <f t="shared" ref="AA207:AA217" si="115">SUM(AC207,AE207,AG207,AI207)</f>
        <v>0</v>
      </c>
      <c r="AB207" s="537">
        <f t="shared" ref="AB207:AI207" si="116">AB204-(AB205+AB206)</f>
        <v>0</v>
      </c>
      <c r="AC207" s="537">
        <f t="shared" si="116"/>
        <v>0</v>
      </c>
      <c r="AD207" s="537">
        <f t="shared" si="116"/>
        <v>0</v>
      </c>
      <c r="AE207" s="537">
        <f t="shared" si="116"/>
        <v>0</v>
      </c>
      <c r="AF207" s="537">
        <f t="shared" si="116"/>
        <v>0</v>
      </c>
      <c r="AG207" s="537">
        <f t="shared" si="116"/>
        <v>0</v>
      </c>
      <c r="AH207" s="537">
        <f t="shared" si="116"/>
        <v>0</v>
      </c>
      <c r="AI207" s="537">
        <f t="shared" si="116"/>
        <v>0</v>
      </c>
      <c r="AJ207" s="532">
        <f t="shared" si="112"/>
        <v>0</v>
      </c>
      <c r="AK207" s="533"/>
      <c r="AL207" s="97"/>
      <c r="AM207" s="534" t="str">
        <f>CONCATENATE(IF(D207&gt;D208," * TB Cases newly tested for HIV "&amp;$D$6&amp;" "&amp;$D$7&amp;" is less than TB Cases eligible for Testing"&amp;CHAR(10),""),IF(E207&gt;E208," * TB Cases newly tested for HIV "&amp;$D$6&amp;" "&amp;$E$7&amp;" is less than TB Cases eligible for Testing"&amp;CHAR(10),""),IF(F207&gt;F208," * TB Cases newly tested for HIV "&amp;$F$6&amp;" "&amp;$F$7&amp;" is less than TB Cases eligible for Testing"&amp;CHAR(10),""),IF(G207&gt;G208," * TB Cases newly tested for HIV "&amp;$F$6&amp;" "&amp;$G$7&amp;" is less than TB Cases eligible for Testing"&amp;CHAR(10),""),IF(H207&gt;H208," * TB Cases newly tested for HIV "&amp;$H$6&amp;" "&amp;$H$7&amp;" is less than TB Cases eligible for Testing"&amp;CHAR(10),""),IF(I207&gt;I208," * TB Cases newly tested for HIV "&amp;$H$6&amp;" "&amp;$I$7&amp;" is less than TB Cases eligible for Testing"&amp;CHAR(10),""),IF(J207&gt;J208," * TB Cases newly tested for HIV "&amp;$J$6&amp;" "&amp;$J$7&amp;" is less than TB Cases eligible for Testing"&amp;CHAR(10),""),IF(K207&gt;K208," * TB Cases newly tested for HIV "&amp;$J$6&amp;" "&amp;$K$7&amp;" is less than TB Cases eligible for Testing"&amp;CHAR(10),""),IF(L207&gt;L208," * TB Cases newly tested for HIV "&amp;$L$6&amp;" "&amp;$L$7&amp;" is less than TB Cases eligible for Testing"&amp;CHAR(10),""),IF(M207&gt;M208," * TB Cases newly tested for HIV "&amp;$L$6&amp;" "&amp;$M$7&amp;" is less than TB Cases eligible for Testing"&amp;CHAR(10),""),IF(N207&gt;N208," * TB Cases newly tested for HIV "&amp;$N$6&amp;" "&amp;$N$7&amp;" is less than TB Cases eligible for Testing"&amp;CHAR(10),""),IF(O207&gt;O208," * TB Cases newly tested for HIV "&amp;$N$6&amp;" "&amp;$O$7&amp;" is less than TB Cases eligible for Testing"&amp;CHAR(10),""),IF(P207&gt;P208," * TB Cases newly tested for HIV "&amp;$P$6&amp;" "&amp;$P$7&amp;" is less than TB Cases eligible for Testing"&amp;CHAR(10),""),IF(Q207&gt;Q208," * TB Cases newly tested for HIV "&amp;$P$6&amp;" "&amp;$Q$7&amp;" is less than TB Cases eligible for Testing"&amp;CHAR(10),""),IF(R207&gt;R208," * TB Cases newly tested for HIV "&amp;$R$6&amp;" "&amp;$R$7&amp;" is less than TB Cases eligible for Testing"&amp;CHAR(10),""),IF(S207&gt;S208," * TB Cases newly tested for HIV "&amp;$R$6&amp;" "&amp;$S$7&amp;" is less than TB Cases eligible for Testing"&amp;CHAR(10),""),IF(T207&gt;T208," * TB Cases newly tested for HIV "&amp;$T$6&amp;" "&amp;$T$7&amp;" is less than TB Cases eligible for Testing"&amp;CHAR(10),""),IF(U207&gt;U208," * TB Cases newly tested for HIV "&amp;$T$6&amp;" "&amp;$U$7&amp;" is less than TB Cases eligible for Testing"&amp;CHAR(10),""),IF(V207&gt;V208," * TB Cases newly tested for HIV "&amp;$V$6&amp;" "&amp;$V$7&amp;" is less than TB Cases eligible for Testing"&amp;CHAR(10),""),IF(W207&gt;W208," * TB Cases newly tested for HIV "&amp;$V$6&amp;" "&amp;$W$7&amp;" is less than TB Cases eligible for Testing"&amp;CHAR(10),""),IF(X207&gt;X208," * TB Cases newly tested for HIV "&amp;$X$6&amp;" "&amp;$X$7&amp;" is less than TB Cases eligible for Testing"&amp;CHAR(10),""),IF(Y207&gt;Y208," * TB Cases newly tested for HIV "&amp;$X$6&amp;" "&amp;$Y$7&amp;" is less than TB Cases eligible for Testing"&amp;CHAR(10),""),IF(Z207&gt;Z208," * TB Cases newly tested for HIV "&amp;$Z$6&amp;" "&amp;$Z$7&amp;" is less than TB Cases eligible for Testing"&amp;CHAR(10),""),IF(AA207&gt;AA208," * TB Cases newly tested for HIV "&amp;$Z$6&amp;" "&amp;$AA$7&amp;" is less than TB Cases eligible for Testing"&amp;CHAR(10),""))</f>
        <v/>
      </c>
      <c r="AN207" s="529"/>
      <c r="AO207" s="330">
        <v>319</v>
      </c>
      <c r="AQ207" s="1049"/>
      <c r="AR207" s="1049"/>
      <c r="AS207" s="1049"/>
    </row>
    <row r="208" spans="1:45" s="23" customFormat="1" x14ac:dyDescent="0.6">
      <c r="A208" s="885"/>
      <c r="B208" s="708" t="s">
        <v>240</v>
      </c>
      <c r="C208" s="530" t="s">
        <v>232</v>
      </c>
      <c r="D208" s="535"/>
      <c r="E208" s="536"/>
      <c r="F208" s="538"/>
      <c r="G208" s="538"/>
      <c r="H208" s="538"/>
      <c r="I208" s="538"/>
      <c r="J208" s="538"/>
      <c r="K208" s="538"/>
      <c r="L208" s="538"/>
      <c r="M208" s="538"/>
      <c r="N208" s="538"/>
      <c r="O208" s="538"/>
      <c r="P208" s="538"/>
      <c r="Q208" s="538"/>
      <c r="R208" s="538"/>
      <c r="S208" s="538"/>
      <c r="T208" s="538"/>
      <c r="U208" s="538"/>
      <c r="V208" s="538"/>
      <c r="W208" s="538"/>
      <c r="X208" s="538"/>
      <c r="Y208" s="538"/>
      <c r="Z208" s="525">
        <f t="shared" si="114"/>
        <v>0</v>
      </c>
      <c r="AA208" s="525">
        <f t="shared" si="115"/>
        <v>0</v>
      </c>
      <c r="AB208" s="538"/>
      <c r="AC208" s="538"/>
      <c r="AD208" s="538"/>
      <c r="AE208" s="538"/>
      <c r="AF208" s="538"/>
      <c r="AG208" s="538"/>
      <c r="AH208" s="538"/>
      <c r="AI208" s="538"/>
      <c r="AJ208" s="532">
        <f t="shared" si="112"/>
        <v>0</v>
      </c>
      <c r="AK208" s="539" t="str">
        <f>CONCATENATE(IF(D204&lt;D208," * TB Cases newly tested for HIV "&amp;$D$6&amp;" "&amp;$D$7&amp;" is more than Total TB Cases New and relapsed"&amp;CHAR(10),""),IF(E204&lt;E208," * TB Cases newly tested for HIV "&amp;$D$6&amp;" "&amp;$E$7&amp;" is more than Total TB Cases New and relapsed"&amp;CHAR(10),""),IF(F204&lt;F208," * TB Cases newly tested for HIV "&amp;$F$6&amp;" "&amp;$F$7&amp;" is more than Total TB Cases New and relapsed"&amp;CHAR(10),""),IF(G204&lt;G208," * TB Cases newly tested for HIV "&amp;$F$6&amp;" "&amp;$G$7&amp;" is more than Total TB Cases New and relapsed"&amp;CHAR(10),""),IF(H204&lt;H208," * TB Cases newly tested for HIV "&amp;$H$6&amp;" "&amp;$H$7&amp;" is more than Total TB Cases New and relapsed"&amp;CHAR(10),""),IF(I204&lt;I208," * TB Cases newly tested for HIV "&amp;$H$6&amp;" "&amp;$I$7&amp;" is more than Total TB Cases New and relapsed"&amp;CHAR(10),""),IF(J204&lt;J208," * TB Cases newly tested for HIV "&amp;$J$6&amp;" "&amp;$J$7&amp;" is more than Total TB Cases New and relapsed"&amp;CHAR(10),""),IF(K204&lt;K208," * TB Cases newly tested for HIV "&amp;$J$6&amp;" "&amp;$K$7&amp;" is more than Total TB Cases New and relapsed"&amp;CHAR(10),""),IF(L204&lt;L208," * TB Cases newly tested for HIV "&amp;$L$6&amp;" "&amp;$L$7&amp;" is more than Total TB Cases New and relapsed"&amp;CHAR(10),""),IF(M204&lt;M208," * TB Cases newly tested for HIV "&amp;$L$6&amp;" "&amp;$M$7&amp;" is more than Total TB Cases New and relapsed"&amp;CHAR(10),""),IF(N204&lt;N208," * TB Cases newly tested for HIV "&amp;$N$6&amp;" "&amp;$N$7&amp;" is more than Total TB Cases New and relapsed"&amp;CHAR(10),""),IF(O204&lt;O208," * TB Cases newly tested for HIV "&amp;$N$6&amp;" "&amp;$O$7&amp;" is more than Total TB Cases New and relapsed"&amp;CHAR(10),""),IF(P204&lt;P208," * TB Cases newly tested for HIV "&amp;$P$6&amp;" "&amp;$P$7&amp;" is more than Total TB Cases New and relapsed"&amp;CHAR(10),""),IF(Q204&lt;Q208," * TB Cases newly tested for HIV "&amp;$P$6&amp;" "&amp;$Q$7&amp;" is more than Total TB Cases New and relapsed"&amp;CHAR(10),""),IF(R204&lt;R208," * TB Cases newly tested for HIV "&amp;$R$6&amp;" "&amp;$R$7&amp;" is more than Total TB Cases New and relapsed"&amp;CHAR(10),""),IF(S204&lt;S208," * TB Cases newly tested for HIV "&amp;$R$6&amp;" "&amp;$S$7&amp;" is more than Total TB Cases New and relapsed"&amp;CHAR(10),""),IF(T204&lt;T208," * TB Cases newly tested for HIV "&amp;$T$6&amp;" "&amp;$T$7&amp;" is more than Total TB Cases New and relapsed"&amp;CHAR(10),""),IF(U204&lt;U208," * TB Cases newly tested for HIV "&amp;$T$6&amp;" "&amp;$U$7&amp;" is more than Total TB Cases New and relapsed"&amp;CHAR(10),""),IF(V204&lt;V208," * TB Cases newly tested for HIV "&amp;$V$6&amp;" "&amp;$V$7&amp;" is more than Total TB Cases New and relapsed"&amp;CHAR(10),""),IF(W204&lt;W208," * TB Cases newly tested for HIV "&amp;$V$6&amp;" "&amp;$W$7&amp;" is more than Total TB Cases New and relapsed"&amp;CHAR(10),""),IF(X204&lt;X208," * TB Cases newly tested for HIV "&amp;$X$6&amp;" "&amp;$X$7&amp;" is more than Total TB Cases New and relapsed"&amp;CHAR(10),""),IF(Y204&lt;Y208," * TB Cases newly tested for HIV "&amp;$X$6&amp;" "&amp;$Y$7&amp;" is more than Total TB Cases New and relapsed"&amp;CHAR(10),""),IF(Z204&lt;Z208," * TB Cases newly tested for HIV "&amp;$Z$6&amp;" "&amp;$Z$7&amp;" is more than Total TB Cases New and relapsed"&amp;CHAR(10),""),IF(AA204&lt;AA208," * TB Cases newly tested for HIV "&amp;$Z$6&amp;" "&amp;$AA$7&amp;" is more than Total TB Cases New and relapsed"&amp;CHAR(10),""))</f>
        <v/>
      </c>
      <c r="AL208" s="97"/>
      <c r="AM208" s="540"/>
      <c r="AN208" s="529"/>
      <c r="AO208" s="330">
        <v>320</v>
      </c>
      <c r="AQ208" s="1049"/>
      <c r="AR208" s="1049"/>
      <c r="AS208" s="1049"/>
    </row>
    <row r="209" spans="1:45" s="23" customFormat="1" x14ac:dyDescent="0.6">
      <c r="A209" s="885"/>
      <c r="B209" s="710" t="s">
        <v>228</v>
      </c>
      <c r="C209" s="530" t="s">
        <v>233</v>
      </c>
      <c r="D209" s="537">
        <f>D208+D205+D206</f>
        <v>0</v>
      </c>
      <c r="E209" s="537">
        <f>E208+E205+E206</f>
        <v>0</v>
      </c>
      <c r="F209" s="537">
        <f>F208+F205+F206</f>
        <v>0</v>
      </c>
      <c r="G209" s="537">
        <f t="shared" ref="G209:Y209" si="117">G208+G205+G206</f>
        <v>0</v>
      </c>
      <c r="H209" s="537">
        <f t="shared" si="117"/>
        <v>0</v>
      </c>
      <c r="I209" s="537">
        <f t="shared" si="117"/>
        <v>0</v>
      </c>
      <c r="J209" s="537">
        <f t="shared" si="117"/>
        <v>0</v>
      </c>
      <c r="K209" s="537">
        <f t="shared" si="117"/>
        <v>0</v>
      </c>
      <c r="L209" s="537">
        <f t="shared" si="117"/>
        <v>0</v>
      </c>
      <c r="M209" s="537">
        <f t="shared" si="117"/>
        <v>0</v>
      </c>
      <c r="N209" s="537">
        <f t="shared" si="117"/>
        <v>0</v>
      </c>
      <c r="O209" s="537">
        <f t="shared" si="117"/>
        <v>0</v>
      </c>
      <c r="P209" s="537">
        <f t="shared" si="117"/>
        <v>0</v>
      </c>
      <c r="Q209" s="537">
        <f t="shared" si="117"/>
        <v>0</v>
      </c>
      <c r="R209" s="537">
        <f t="shared" si="117"/>
        <v>0</v>
      </c>
      <c r="S209" s="537">
        <f t="shared" si="117"/>
        <v>0</v>
      </c>
      <c r="T209" s="537">
        <f t="shared" si="117"/>
        <v>0</v>
      </c>
      <c r="U209" s="537">
        <f t="shared" si="117"/>
        <v>0</v>
      </c>
      <c r="V209" s="537">
        <f t="shared" si="117"/>
        <v>0</v>
      </c>
      <c r="W209" s="537">
        <f t="shared" si="117"/>
        <v>0</v>
      </c>
      <c r="X209" s="537">
        <f t="shared" si="117"/>
        <v>0</v>
      </c>
      <c r="Y209" s="537">
        <f t="shared" si="117"/>
        <v>0</v>
      </c>
      <c r="Z209" s="537">
        <f>Z208+Z205+Z206</f>
        <v>0</v>
      </c>
      <c r="AA209" s="537">
        <f>AA208+AA205+AA206</f>
        <v>0</v>
      </c>
      <c r="AB209" s="537">
        <f>AB208+AB205+AB206</f>
        <v>0</v>
      </c>
      <c r="AC209" s="537">
        <f>AC208+AC205+AC206</f>
        <v>0</v>
      </c>
      <c r="AD209" s="537">
        <f t="shared" ref="AD209:AI209" si="118">AD208+AD205+AD206</f>
        <v>0</v>
      </c>
      <c r="AE209" s="537">
        <f t="shared" si="118"/>
        <v>0</v>
      </c>
      <c r="AF209" s="537">
        <f t="shared" si="118"/>
        <v>0</v>
      </c>
      <c r="AG209" s="537">
        <f t="shared" si="118"/>
        <v>0</v>
      </c>
      <c r="AH209" s="537">
        <f>AH208+AH205+AH206</f>
        <v>0</v>
      </c>
      <c r="AI209" s="537">
        <f t="shared" si="118"/>
        <v>0</v>
      </c>
      <c r="AJ209" s="532">
        <f>SUM(D209:AA209)</f>
        <v>0</v>
      </c>
      <c r="AK209" s="539" t="str">
        <f>CONCATENATE(IF(D204&lt;D209," * TB cases with documented HIV status "&amp;$D$6&amp;" "&amp;$D$7&amp;" is more than Total TB Cases New and relapsed"&amp;CHAR(10),""),IF(E204&lt;E209," * TB cases with documented HIV status "&amp;$D$6&amp;" "&amp;$E$7&amp;" is more than Total TB Cases New and relapsed"&amp;CHAR(10),""),IF(F204&lt;F209," * TB cases with documented HIV status "&amp;$F$6&amp;" "&amp;$F$7&amp;" is more than Total TB Cases New and relapsed"&amp;CHAR(10),""),IF(G204&lt;G209," * TB cases with documented HIV status "&amp;$F$6&amp;" "&amp;$G$7&amp;" is more than Total TB Cases New and relapsed"&amp;CHAR(10),""),IF(H204&lt;H209," * TB cases with documented HIV status "&amp;$H$6&amp;" "&amp;$H$7&amp;" is more than Total TB Cases New and relapsed"&amp;CHAR(10),""),IF(I204&lt;I209," * TB cases with documented HIV status "&amp;$H$6&amp;" "&amp;$I$7&amp;" is more than Total TB Cases New and relapsed"&amp;CHAR(10),""),IF(J204&lt;J209," * TB cases with documented HIV status "&amp;$J$6&amp;" "&amp;$J$7&amp;" is more than Total TB Cases New and relapsed"&amp;CHAR(10),""),IF(K204&lt;K209," * TB cases with documented HIV status "&amp;$J$6&amp;" "&amp;$K$7&amp;" is more than Total TB Cases New and relapsed"&amp;CHAR(10),""),IF(L204&lt;L209," * TB cases with documented HIV status "&amp;$L$6&amp;" "&amp;$L$7&amp;" is more than Total TB Cases New and relapsed"&amp;CHAR(10),""),IF(M204&lt;M209," * TB cases with documented HIV status "&amp;$L$6&amp;" "&amp;$M$7&amp;" is more than Total TB Cases New and relapsed"&amp;CHAR(10),""),IF(N204&lt;N209," * TB cases with documented HIV status "&amp;$N$6&amp;" "&amp;$N$7&amp;" is more than Total TB Cases New and relapsed"&amp;CHAR(10),""),IF(O204&lt;O209," * TB cases with documented HIV status "&amp;$N$6&amp;" "&amp;$O$7&amp;" is more than Total TB Cases New and relapsed"&amp;CHAR(10),""),IF(P204&lt;P209," * TB cases with documented HIV status "&amp;$P$6&amp;" "&amp;$P$7&amp;" is more than Total TB Cases New and relapsed"&amp;CHAR(10),""),IF(Q204&lt;Q209," * TB cases with documented HIV status "&amp;$P$6&amp;" "&amp;$Q$7&amp;" is more than Total TB Cases New and relapsed"&amp;CHAR(10),""),IF(R204&lt;R209," * TB cases with documented HIV status "&amp;$R$6&amp;" "&amp;$R$7&amp;" is more than Total TB Cases New and relapsed"&amp;CHAR(10),""),IF(S204&lt;S209," * TB cases with documented HIV status "&amp;$R$6&amp;" "&amp;$S$7&amp;" is more than Total TB Cases New and relapsed"&amp;CHAR(10),""),IF(T204&lt;T209," * TB cases with documented HIV status "&amp;$T$6&amp;" "&amp;$T$7&amp;" is more than Total TB Cases New and relapsed"&amp;CHAR(10),""),IF(U204&lt;U209," * TB cases with documented HIV status "&amp;$T$6&amp;" "&amp;$U$7&amp;" is more than Total TB Cases New and relapsed"&amp;CHAR(10),""),IF(V204&lt;V209," * TB cases with documented HIV status "&amp;$V$6&amp;" "&amp;$V$7&amp;" is more than Total TB Cases New and relapsed"&amp;CHAR(10),""),IF(W204&lt;W209," * TB cases with documented HIV status "&amp;$V$6&amp;" "&amp;$W$7&amp;" is more than Total TB Cases New and relapsed"&amp;CHAR(10),""),IF(X204&lt;X209," * TB cases with documented HIV status "&amp;$X$6&amp;" "&amp;$X$7&amp;" is more than Total TB Cases New and relapsed"&amp;CHAR(10),""),IF(Y204&lt;Y209," * TB cases with documented HIV status "&amp;$X$6&amp;" "&amp;$Y$7&amp;" is more than Total TB Cases New and relapsed"&amp;CHAR(10),""),IF(Z204&lt;Z209," * TB cases with documented HIV status "&amp;$Z$6&amp;" "&amp;$Z$7&amp;" is more than Total TB Cases New and relapsed"&amp;CHAR(10),""),IF(AA204&lt;AA209," * TB cases with documented HIV status "&amp;$Z$6&amp;" "&amp;$AA$7&amp;" is more than Total TB Cases New and relapsed"&amp;CHAR(10),""))</f>
        <v/>
      </c>
      <c r="AL209" s="97"/>
      <c r="AM209" s="534"/>
      <c r="AN209" s="529"/>
      <c r="AO209" s="330">
        <v>321</v>
      </c>
      <c r="AQ209" s="1049"/>
      <c r="AR209" s="1049"/>
      <c r="AS209" s="1049"/>
    </row>
    <row r="210" spans="1:45" s="7" customFormat="1" ht="57" thickBot="1" x14ac:dyDescent="0.65">
      <c r="A210" s="885"/>
      <c r="B210" s="708" t="s">
        <v>242</v>
      </c>
      <c r="C210" s="530" t="s">
        <v>234</v>
      </c>
      <c r="D210" s="535"/>
      <c r="E210" s="536"/>
      <c r="F210" s="541"/>
      <c r="G210" s="541"/>
      <c r="H210" s="541"/>
      <c r="I210" s="541"/>
      <c r="J210" s="541"/>
      <c r="K210" s="541"/>
      <c r="L210" s="541"/>
      <c r="M210" s="541"/>
      <c r="N210" s="541"/>
      <c r="O210" s="541"/>
      <c r="P210" s="541"/>
      <c r="Q210" s="541"/>
      <c r="R210" s="541"/>
      <c r="S210" s="541"/>
      <c r="T210" s="541"/>
      <c r="U210" s="541"/>
      <c r="V210" s="541"/>
      <c r="W210" s="541"/>
      <c r="X210" s="541"/>
      <c r="Y210" s="541"/>
      <c r="Z210" s="525">
        <f t="shared" si="114"/>
        <v>0</v>
      </c>
      <c r="AA210" s="525">
        <f t="shared" si="115"/>
        <v>0</v>
      </c>
      <c r="AB210" s="541"/>
      <c r="AC210" s="541"/>
      <c r="AD210" s="541"/>
      <c r="AE210" s="541"/>
      <c r="AF210" s="541"/>
      <c r="AG210" s="541"/>
      <c r="AH210" s="541"/>
      <c r="AI210" s="541"/>
      <c r="AJ210" s="532">
        <f t="shared" si="112"/>
        <v>0</v>
      </c>
      <c r="AK210" s="137" t="str">
        <f>CONCATENATE(IF((D211+D212+D213+D214)&lt;&gt;D210," * "&amp;$A210&amp;" , "&amp;$B211&amp;" plus "&amp;$B212&amp;" plus "&amp;$B213&amp;" plus "&amp;$B214&amp;" For age "&amp;$D$20&amp;" "&amp;$D$21&amp;" should be equal to "&amp;$B210&amp;""&amp;CHAR(10),""),IF((E211+E212+E213+E214)&lt;&gt;E210," * "&amp;$A210&amp;" , "&amp;$B211&amp;" plus "&amp;$B212&amp;" plus "&amp;$B213&amp;" plus "&amp;$B214&amp;" For age "&amp;$D$20&amp;" "&amp;$E$21&amp;" should be equal to "&amp;$B210&amp;""&amp;CHAR(10),""),IF((F211+F212+F213+F214)&lt;&gt;F210," * "&amp;$A210&amp;" , "&amp;$B211&amp;" plus "&amp;$B212&amp;" plus "&amp;$B213&amp;" plus "&amp;$B214&amp;" For age "&amp;$F$20&amp;" "&amp;$F$21&amp;" should be equal to "&amp;$B210&amp;""&amp;CHAR(10),""),IF((G211+G212+G213+G214)&lt;&gt;G210," * "&amp;$A210&amp;" , "&amp;$B211&amp;" plus "&amp;$B212&amp;" plus "&amp;$B213&amp;" plus "&amp;$B214&amp;" For age "&amp;$F$20&amp;" "&amp;$G$21&amp;" should be equal to "&amp;$B210&amp;""&amp;CHAR(10),""),IF((H211+H212+H213+H214)&lt;&gt;H210," * "&amp;$A210&amp;" , "&amp;$B211&amp;" plus "&amp;$B212&amp;" plus "&amp;$B213&amp;" plus "&amp;$B214&amp;" For age "&amp;$H$20&amp;" "&amp;$H$21&amp;" should be equal to "&amp;$B210&amp;""&amp;CHAR(10),""),IF((I211+I212+I213+I214)&lt;&gt;I210," * "&amp;$A210&amp;" , "&amp;$B211&amp;" plus "&amp;$B212&amp;" plus "&amp;$B213&amp;" plus "&amp;$B214&amp;" For age "&amp;$H$20&amp;" "&amp;$I$21&amp;" should be equal to "&amp;$B210&amp;""&amp;CHAR(10),""),IF((J211+J212+J213+J214)&lt;&gt;J210," * "&amp;$A210&amp;" , "&amp;$B211&amp;" plus "&amp;$B212&amp;" plus "&amp;$B213&amp;" plus "&amp;$B214&amp;" For age "&amp;$J$20&amp;" "&amp;$J$21&amp;" should be equal to "&amp;$B210&amp;""&amp;CHAR(10),""),IF((K211+K212+K213+K214)&lt;&gt;K210," * "&amp;$A210&amp;" , "&amp;$B211&amp;" plus "&amp;$B212&amp;" plus "&amp;$B213&amp;" plus "&amp;$B214&amp;" For age "&amp;$J$20&amp;" "&amp;$K$21&amp;" should be equal to "&amp;$B210&amp;""&amp;CHAR(10),""),IF((L211+L212+L213+L214)&lt;&gt;L210," * "&amp;$A210&amp;" , "&amp;$B211&amp;" plus "&amp;$B212&amp;" plus "&amp;$B213&amp;" plus "&amp;$B214&amp;" For age "&amp;$L$20&amp;" "&amp;$L$21&amp;" should be equal to "&amp;$B210&amp;""&amp;CHAR(10),""),IF((M211+M212+M213+M214)&lt;&gt;M210," * "&amp;$A210&amp;" , "&amp;$B211&amp;" plus "&amp;$B212&amp;" plus "&amp;$B213&amp;" plus "&amp;$B214&amp;" For age "&amp;$L$20&amp;" "&amp;$M$21&amp;" should be equal to "&amp;$B210&amp;""&amp;CHAR(10),""),IF((N211+N212+N213+N214)&lt;&gt;N210," * "&amp;$A210&amp;" , "&amp;$B211&amp;" plus "&amp;$B212&amp;" plus "&amp;$B213&amp;" plus "&amp;$B214&amp;" For age "&amp;$N$20&amp;" "&amp;$N$21&amp;" should be equal to "&amp;$B210&amp;""&amp;CHAR(10),""),IF((O211+O212+O213+O214)&lt;&gt;O210," * "&amp;$A210&amp;" , "&amp;$B211&amp;" plus "&amp;$B212&amp;" plus "&amp;$B213&amp;" plus "&amp;$B214&amp;" For age "&amp;$N$20&amp;" "&amp;$O$21&amp;" should be equal to "&amp;$B210&amp;""&amp;CHAR(10),""),IF((P211+P212+P213+P214)&lt;&gt;P210," * "&amp;$A210&amp;" , "&amp;$B211&amp;" plus "&amp;$B212&amp;" plus "&amp;$B213&amp;" plus "&amp;$B214&amp;" For age "&amp;$P$20&amp;" "&amp;$P$21&amp;" should be equal to "&amp;$B210&amp;""&amp;CHAR(10),""),IF((Q211+Q212+Q213+Q214)&lt;&gt;Q210," * "&amp;$A210&amp;" , "&amp;$B211&amp;" plus "&amp;$B212&amp;" plus "&amp;$B213&amp;" plus "&amp;$B214&amp;" For age "&amp;$P$20&amp;" "&amp;$Q$21&amp;" should be equal to "&amp;$B210&amp;""&amp;CHAR(10),""),IF((R211+R212+R213+R214)&lt;&gt;R210," * "&amp;$A210&amp;" , "&amp;$B211&amp;" plus "&amp;$B212&amp;" plus "&amp;$B213&amp;" plus "&amp;$B214&amp;" For age "&amp;$R$20&amp;" "&amp;$R$21&amp;" should be equal to "&amp;$B210&amp;""&amp;CHAR(10),""),IF((S211+S212+S213+S214)&lt;&gt;S210," * "&amp;$A210&amp;" , "&amp;$B211&amp;" plus "&amp;$B212&amp;" plus "&amp;$B213&amp;" plus "&amp;$B214&amp;" For age "&amp;$R$20&amp;" "&amp;$S$21&amp;" should be equal to "&amp;$B210&amp;""&amp;CHAR(10),""),IF((T211+T212+T213+T214)&lt;&gt;T210," * "&amp;$A210&amp;" , "&amp;$B211&amp;" plus "&amp;$B212&amp;" plus "&amp;$B213&amp;" plus "&amp;$B214&amp;" For age "&amp;$T$20&amp;" "&amp;$T$21&amp;" should be equal to "&amp;$B210&amp;""&amp;CHAR(10),""),IF((U211+U212+U213+U214)&lt;&gt;U210," * "&amp;$A210&amp;" , "&amp;$B211&amp;" plus "&amp;$B212&amp;" plus "&amp;$B213&amp;" plus "&amp;$B214&amp;" For age "&amp;$T$20&amp;" "&amp;$U$21&amp;" should be equal to "&amp;$B210&amp;""&amp;CHAR(10),""),IF((V211+V212+V213+V214)&lt;&gt;V210," * "&amp;$A210&amp;" , "&amp;$B211&amp;" plus "&amp;$B212&amp;" plus "&amp;$B213&amp;" plus "&amp;$B214&amp;" For age "&amp;$V$20&amp;" "&amp;$V$21&amp;" should be equal to "&amp;$B210&amp;""&amp;CHAR(10),""),IF((W211+W212+W213+W214)&lt;&gt;W210," * "&amp;$A210&amp;" , "&amp;$B211&amp;" plus "&amp;$B212&amp;" plus "&amp;$B213&amp;" plus "&amp;$B214&amp;" For age "&amp;$V$20&amp;" "&amp;$W$21&amp;" should be equal to "&amp;$B210&amp;""&amp;CHAR(10),""),IF((X211+X212+X213+X214)&lt;&gt;X210," * "&amp;$A210&amp;" , "&amp;$B211&amp;" plus "&amp;$B212&amp;" plus "&amp;$B213&amp;" plus "&amp;$B214&amp;" For age "&amp;$X$20&amp;" "&amp;$X$21&amp;" should be equal to "&amp;$B210&amp;""&amp;CHAR(10),""),IF((Y211+Y212+Y213+Y214)&lt;&gt;Y210," * "&amp;$A210&amp;" , "&amp;$B211&amp;" plus "&amp;$B212&amp;" plus "&amp;$B213&amp;" plus "&amp;$B214&amp;" For age "&amp;$X$20&amp;" "&amp;$Y$21&amp;" should be equal to "&amp;$B210&amp;""&amp;CHAR(10),""),IF((Z211+Z212+Z213+Z214)&lt;&gt;Z210," * "&amp;$A210&amp;" , "&amp;$B211&amp;" plus "&amp;$B212&amp;" plus "&amp;$B213&amp;" plus "&amp;$B214&amp;" For age "&amp;$Z$20&amp;" "&amp;$Z$21&amp;" should be equal to "&amp;$B210&amp;""&amp;CHAR(10),""),IF((AA211+AA212+AA213+AA214)&lt;&gt;AA210," * "&amp;$A210&amp;" , "&amp;$B211&amp;" plus "&amp;$B212&amp;" plus "&amp;$B213&amp;" plus "&amp;$B214&amp;" For age "&amp;$Z$20&amp;" "&amp;$AA$21&amp;" should be equal to "&amp;$B210&amp;""&amp;CHAR(10),""))</f>
        <v/>
      </c>
      <c r="AL210" s="97"/>
      <c r="AM210" s="534"/>
      <c r="AN210" s="529"/>
      <c r="AO210" s="330">
        <v>322</v>
      </c>
      <c r="AQ210" s="1046"/>
      <c r="AR210" s="1046"/>
      <c r="AS210" s="1046"/>
    </row>
    <row r="211" spans="1:45" s="7" customFormat="1" x14ac:dyDescent="0.6">
      <c r="A211" s="885"/>
      <c r="B211" s="711" t="s">
        <v>389</v>
      </c>
      <c r="C211" s="542" t="s">
        <v>399</v>
      </c>
      <c r="D211" s="543"/>
      <c r="E211" s="544"/>
      <c r="F211" s="545"/>
      <c r="G211" s="423"/>
      <c r="H211" s="423"/>
      <c r="I211" s="423"/>
      <c r="J211" s="423"/>
      <c r="K211" s="423"/>
      <c r="L211" s="423"/>
      <c r="M211" s="423"/>
      <c r="N211" s="423"/>
      <c r="O211" s="423"/>
      <c r="P211" s="423"/>
      <c r="Q211" s="423"/>
      <c r="R211" s="423"/>
      <c r="S211" s="423"/>
      <c r="T211" s="423"/>
      <c r="U211" s="423"/>
      <c r="V211" s="423"/>
      <c r="W211" s="423"/>
      <c r="X211" s="423"/>
      <c r="Y211" s="423"/>
      <c r="Z211" s="546">
        <f t="shared" si="114"/>
        <v>0</v>
      </c>
      <c r="AA211" s="546">
        <f t="shared" si="114"/>
        <v>0</v>
      </c>
      <c r="AB211" s="423"/>
      <c r="AC211" s="423"/>
      <c r="AD211" s="423"/>
      <c r="AE211" s="423"/>
      <c r="AF211" s="423"/>
      <c r="AG211" s="423"/>
      <c r="AH211" s="423"/>
      <c r="AI211" s="423"/>
      <c r="AJ211" s="260">
        <f t="shared" ref="AJ211:AJ214" si="119">SUM(D211:AA211)</f>
        <v>0</v>
      </c>
      <c r="AK211" s="174" t="str">
        <f>CONCATENATE(IF(D208&lt;D210," * Newly Tested Positives "&amp;$D$6&amp;" "&amp;$D$7&amp;" is more than TB Cases newly tested for HIV"&amp;CHAR(10),""),IF(E208&lt;E210," * Newly Tested Positives "&amp;$D$6&amp;" "&amp;$E$7&amp;" is more than TB Cases newly tested for HIV"&amp;CHAR(10),""),IF(F208&lt;F210," * Newly Tested Positives "&amp;$F$6&amp;" "&amp;$F$7&amp;" is more than TB Cases newly tested for HIV"&amp;CHAR(10),""),IF(G208&lt;G210," * Newly Tested Positives "&amp;$F$6&amp;" "&amp;$G$7&amp;" is more than TB Cases newly tested for HIV"&amp;CHAR(10),""),IF(H208&lt;H210," * Newly Tested Positives "&amp;$H$6&amp;" "&amp;$H$7&amp;" is more than TB Cases newly tested for HIV"&amp;CHAR(10),""),IF(I208&lt;I210," * Newly Tested Positives "&amp;$H$6&amp;" "&amp;$I$7&amp;" is more than TB Cases newly tested for HIV"&amp;CHAR(10),""),IF(J208&lt;J210," * Newly Tested Positives "&amp;$J$6&amp;" "&amp;$J$7&amp;" is more than TB Cases newly tested for HIV"&amp;CHAR(10),""),IF(K208&lt;K210," * Newly Tested Positives "&amp;$J$6&amp;" "&amp;$K$7&amp;" is more than TB Cases newly tested for HIV"&amp;CHAR(10),""),IF(L208&lt;L210," * Newly Tested Positives "&amp;$L$6&amp;" "&amp;$L$7&amp;" is more than TB Cases newly tested for HIV"&amp;CHAR(10),""),IF(M208&lt;M210," * Newly Tested Positives "&amp;$L$6&amp;" "&amp;$M$7&amp;" is more than TB Cases newly tested for HIV"&amp;CHAR(10),""),IF(N208&lt;N210," * Newly Tested Positives "&amp;$N$6&amp;" "&amp;$N$7&amp;" is more than TB Cases newly tested for HIV"&amp;CHAR(10),""),IF(O208&lt;O210," * Newly Tested Positives "&amp;$N$6&amp;" "&amp;$O$7&amp;" is more than TB Cases newly tested for HIV"&amp;CHAR(10),""),IF(P208&lt;P210," * Newly Tested Positives "&amp;$P$6&amp;" "&amp;$P$7&amp;" is more than TB Cases newly tested for HIV"&amp;CHAR(10),""),IF(Q208&lt;Q210," * Newly Tested Positives "&amp;$P$6&amp;" "&amp;$Q$7&amp;" is more than TB Cases newly tested for HIV"&amp;CHAR(10),""),IF(R208&lt;R210," * Newly Tested Positives "&amp;$R$6&amp;" "&amp;$R$7&amp;" is more than TB Cases newly tested for HIV"&amp;CHAR(10),""),IF(S208&lt;S210," * Newly Tested Positives "&amp;$R$6&amp;" "&amp;$S$7&amp;" is more than TB Cases newly tested for HIV"&amp;CHAR(10),""),IF(T208&lt;T210," * Newly Tested Positives "&amp;$T$6&amp;" "&amp;$T$7&amp;" is more than TB Cases newly tested for HIV"&amp;CHAR(10),""),IF(U208&lt;U210," * Newly Tested Positives "&amp;$T$6&amp;" "&amp;$U$7&amp;" is more than TB Cases newly tested for HIV"&amp;CHAR(10),""),IF(V208&lt;V210," * Newly Tested Positives "&amp;$V$6&amp;" "&amp;$V$7&amp;" is more than TB Cases newly tested for HIV"&amp;CHAR(10),""),IF(W208&lt;W210," * Newly Tested Positives "&amp;$V$6&amp;" "&amp;$W$7&amp;" is more than TB Cases newly tested for HIV"&amp;CHAR(10),""),IF(X208&lt;X210," * Newly Tested Positives "&amp;$X$6&amp;" "&amp;$X$7&amp;" is more than TB Cases newly tested for HIV"&amp;CHAR(10),""),IF(Y208&lt;Y210," * Newly Tested Positives "&amp;$X$6&amp;" "&amp;$Y$7&amp;" is more than TB Cases newly tested for HIV"&amp;CHAR(10),""),IF(Z208&lt;Z210," * Newly Tested Positives "&amp;$Z$6&amp;" "&amp;$Z$7&amp;" is more than TB Cases newly tested for HIV"&amp;CHAR(10),""),IF(AA208&lt;AA210," * Newly Tested Positives "&amp;$Z$6&amp;" "&amp;$AA$7&amp;" is more than TB Cases newly tested for HIV"&amp;CHAR(10),""))</f>
        <v/>
      </c>
      <c r="AL211" s="97"/>
      <c r="AM211" s="534"/>
      <c r="AN211" s="529"/>
      <c r="AO211" s="330"/>
      <c r="AQ211" s="1046"/>
      <c r="AR211" s="1046"/>
      <c r="AS211" s="1046"/>
    </row>
    <row r="212" spans="1:45" s="7" customFormat="1" x14ac:dyDescent="0.6">
      <c r="A212" s="885"/>
      <c r="B212" s="711" t="s">
        <v>373</v>
      </c>
      <c r="C212" s="542" t="s">
        <v>400</v>
      </c>
      <c r="D212" s="547"/>
      <c r="E212" s="548"/>
      <c r="F212" s="146"/>
      <c r="G212" s="148"/>
      <c r="H212" s="148"/>
      <c r="I212" s="148"/>
      <c r="J212" s="148"/>
      <c r="K212" s="148"/>
      <c r="L212" s="148"/>
      <c r="M212" s="148"/>
      <c r="N212" s="148"/>
      <c r="O212" s="148"/>
      <c r="P212" s="148"/>
      <c r="Q212" s="148"/>
      <c r="R212" s="148"/>
      <c r="S212" s="148"/>
      <c r="T212" s="148"/>
      <c r="U212" s="148"/>
      <c r="V212" s="148"/>
      <c r="W212" s="148"/>
      <c r="X212" s="148"/>
      <c r="Y212" s="148"/>
      <c r="Z212" s="546">
        <f t="shared" si="114"/>
        <v>0</v>
      </c>
      <c r="AA212" s="546">
        <f t="shared" si="114"/>
        <v>0</v>
      </c>
      <c r="AB212" s="148"/>
      <c r="AC212" s="148"/>
      <c r="AD212" s="148"/>
      <c r="AE212" s="148"/>
      <c r="AF212" s="148"/>
      <c r="AG212" s="148"/>
      <c r="AH212" s="148"/>
      <c r="AI212" s="148"/>
      <c r="AJ212" s="135">
        <f t="shared" si="119"/>
        <v>0</v>
      </c>
      <c r="AK212" s="174"/>
      <c r="AL212" s="97"/>
      <c r="AM212" s="534"/>
      <c r="AN212" s="529"/>
      <c r="AO212" s="330"/>
      <c r="AQ212" s="1046"/>
      <c r="AR212" s="1046"/>
      <c r="AS212" s="1046"/>
    </row>
    <row r="213" spans="1:45" s="7" customFormat="1" x14ac:dyDescent="0.6">
      <c r="A213" s="885"/>
      <c r="B213" s="711" t="s">
        <v>375</v>
      </c>
      <c r="C213" s="542" t="s">
        <v>401</v>
      </c>
      <c r="D213" s="547"/>
      <c r="E213" s="548"/>
      <c r="F213" s="150"/>
      <c r="G213" s="151"/>
      <c r="H213" s="151"/>
      <c r="I213" s="151"/>
      <c r="J213" s="151"/>
      <c r="K213" s="151"/>
      <c r="L213" s="151"/>
      <c r="M213" s="151"/>
      <c r="N213" s="151"/>
      <c r="O213" s="151"/>
      <c r="P213" s="151"/>
      <c r="Q213" s="151"/>
      <c r="R213" s="151"/>
      <c r="S213" s="151"/>
      <c r="T213" s="151"/>
      <c r="U213" s="151"/>
      <c r="V213" s="151"/>
      <c r="W213" s="151"/>
      <c r="X213" s="151"/>
      <c r="Y213" s="151"/>
      <c r="Z213" s="546">
        <f t="shared" si="114"/>
        <v>0</v>
      </c>
      <c r="AA213" s="546">
        <f t="shared" si="114"/>
        <v>0</v>
      </c>
      <c r="AB213" s="151"/>
      <c r="AC213" s="151"/>
      <c r="AD213" s="151"/>
      <c r="AE213" s="151"/>
      <c r="AF213" s="151"/>
      <c r="AG213" s="151"/>
      <c r="AH213" s="151"/>
      <c r="AI213" s="151"/>
      <c r="AJ213" s="135">
        <f t="shared" si="119"/>
        <v>0</v>
      </c>
      <c r="AK213" s="549"/>
      <c r="AL213" s="97"/>
      <c r="AM213" s="534"/>
      <c r="AN213" s="529"/>
      <c r="AO213" s="330"/>
      <c r="AQ213" s="1046"/>
      <c r="AR213" s="1046"/>
      <c r="AS213" s="1046"/>
    </row>
    <row r="214" spans="1:45" s="7" customFormat="1" ht="31.5" thickBot="1" x14ac:dyDescent="0.65">
      <c r="A214" s="885"/>
      <c r="B214" s="711" t="s">
        <v>377</v>
      </c>
      <c r="C214" s="542" t="s">
        <v>402</v>
      </c>
      <c r="D214" s="550"/>
      <c r="E214" s="551"/>
      <c r="F214" s="153"/>
      <c r="G214" s="154"/>
      <c r="H214" s="154"/>
      <c r="I214" s="154"/>
      <c r="J214" s="154"/>
      <c r="K214" s="154"/>
      <c r="L214" s="154"/>
      <c r="M214" s="154"/>
      <c r="N214" s="154"/>
      <c r="O214" s="154"/>
      <c r="P214" s="154"/>
      <c r="Q214" s="154"/>
      <c r="R214" s="154"/>
      <c r="S214" s="154"/>
      <c r="T214" s="154"/>
      <c r="U214" s="154"/>
      <c r="V214" s="154"/>
      <c r="W214" s="154"/>
      <c r="X214" s="154"/>
      <c r="Y214" s="154"/>
      <c r="Z214" s="546">
        <f t="shared" si="114"/>
        <v>0</v>
      </c>
      <c r="AA214" s="546">
        <f t="shared" si="114"/>
        <v>0</v>
      </c>
      <c r="AB214" s="154"/>
      <c r="AC214" s="154"/>
      <c r="AD214" s="154"/>
      <c r="AE214" s="154"/>
      <c r="AF214" s="154"/>
      <c r="AG214" s="154"/>
      <c r="AH214" s="154"/>
      <c r="AI214" s="154"/>
      <c r="AJ214" s="168">
        <f t="shared" si="119"/>
        <v>0</v>
      </c>
      <c r="AK214" s="549"/>
      <c r="AL214" s="97"/>
      <c r="AM214" s="534"/>
      <c r="AN214" s="529"/>
      <c r="AO214" s="330"/>
      <c r="AQ214" s="1046"/>
      <c r="AR214" s="1046"/>
      <c r="AS214" s="1046"/>
    </row>
    <row r="215" spans="1:45" s="7" customFormat="1" ht="31.5" thickBot="1" x14ac:dyDescent="0.65">
      <c r="A215" s="886"/>
      <c r="B215" s="712" t="s">
        <v>235</v>
      </c>
      <c r="C215" s="542" t="s">
        <v>236</v>
      </c>
      <c r="D215" s="552">
        <f>D205</f>
        <v>0</v>
      </c>
      <c r="E215" s="552">
        <f>E205</f>
        <v>0</v>
      </c>
      <c r="F215" s="552">
        <f t="shared" ref="F215:Y215" si="120">F210+F205</f>
        <v>0</v>
      </c>
      <c r="G215" s="552">
        <f t="shared" si="120"/>
        <v>0</v>
      </c>
      <c r="H215" s="552">
        <f t="shared" si="120"/>
        <v>0</v>
      </c>
      <c r="I215" s="552">
        <f t="shared" si="120"/>
        <v>0</v>
      </c>
      <c r="J215" s="552">
        <f t="shared" si="120"/>
        <v>0</v>
      </c>
      <c r="K215" s="552">
        <f t="shared" si="120"/>
        <v>0</v>
      </c>
      <c r="L215" s="552">
        <f t="shared" si="120"/>
        <v>0</v>
      </c>
      <c r="M215" s="552">
        <f t="shared" si="120"/>
        <v>0</v>
      </c>
      <c r="N215" s="552">
        <f t="shared" si="120"/>
        <v>0</v>
      </c>
      <c r="O215" s="552">
        <f t="shared" si="120"/>
        <v>0</v>
      </c>
      <c r="P215" s="552">
        <f t="shared" si="120"/>
        <v>0</v>
      </c>
      <c r="Q215" s="552">
        <f t="shared" si="120"/>
        <v>0</v>
      </c>
      <c r="R215" s="552">
        <f t="shared" si="120"/>
        <v>0</v>
      </c>
      <c r="S215" s="552">
        <f t="shared" si="120"/>
        <v>0</v>
      </c>
      <c r="T215" s="552">
        <f t="shared" si="120"/>
        <v>0</v>
      </c>
      <c r="U215" s="552">
        <f t="shared" si="120"/>
        <v>0</v>
      </c>
      <c r="V215" s="552">
        <f t="shared" si="120"/>
        <v>0</v>
      </c>
      <c r="W215" s="552">
        <f t="shared" si="120"/>
        <v>0</v>
      </c>
      <c r="X215" s="552">
        <f t="shared" si="120"/>
        <v>0</v>
      </c>
      <c r="Y215" s="552">
        <f t="shared" si="120"/>
        <v>0</v>
      </c>
      <c r="Z215" s="525">
        <f t="shared" si="114"/>
        <v>0</v>
      </c>
      <c r="AA215" s="525">
        <f t="shared" si="115"/>
        <v>0</v>
      </c>
      <c r="AB215" s="552">
        <f t="shared" ref="AB215:AI215" si="121">AB210+AB205</f>
        <v>0</v>
      </c>
      <c r="AC215" s="552">
        <f t="shared" si="121"/>
        <v>0</v>
      </c>
      <c r="AD215" s="552">
        <f t="shared" si="121"/>
        <v>0</v>
      </c>
      <c r="AE215" s="552">
        <f t="shared" si="121"/>
        <v>0</v>
      </c>
      <c r="AF215" s="552">
        <f t="shared" si="121"/>
        <v>0</v>
      </c>
      <c r="AG215" s="552">
        <f t="shared" si="121"/>
        <v>0</v>
      </c>
      <c r="AH215" s="552">
        <f t="shared" si="121"/>
        <v>0</v>
      </c>
      <c r="AI215" s="552">
        <f t="shared" si="121"/>
        <v>0</v>
      </c>
      <c r="AJ215" s="553">
        <f t="shared" si="112"/>
        <v>0</v>
      </c>
      <c r="AK215" s="554"/>
      <c r="AL215" s="97"/>
      <c r="AM215" s="534"/>
      <c r="AN215" s="529"/>
      <c r="AO215" s="330">
        <v>323</v>
      </c>
      <c r="AQ215" s="1046"/>
      <c r="AR215" s="1046"/>
      <c r="AS215" s="1046"/>
    </row>
    <row r="216" spans="1:45" ht="31.5" thickBot="1" x14ac:dyDescent="0.65">
      <c r="A216" s="852" t="s">
        <v>673</v>
      </c>
      <c r="B216" s="859"/>
      <c r="C216" s="859"/>
      <c r="D216" s="859"/>
      <c r="E216" s="859"/>
      <c r="F216" s="859"/>
      <c r="G216" s="859"/>
      <c r="H216" s="859"/>
      <c r="I216" s="859"/>
      <c r="J216" s="859"/>
      <c r="K216" s="859"/>
      <c r="L216" s="859"/>
      <c r="M216" s="859"/>
      <c r="N216" s="859"/>
      <c r="O216" s="859"/>
      <c r="P216" s="859"/>
      <c r="Q216" s="859"/>
      <c r="R216" s="859"/>
      <c r="S216" s="859"/>
      <c r="T216" s="859"/>
      <c r="U216" s="859"/>
      <c r="V216" s="859"/>
      <c r="W216" s="859"/>
      <c r="X216" s="859"/>
      <c r="Y216" s="859"/>
      <c r="Z216" s="859"/>
      <c r="AA216" s="859"/>
      <c r="AB216" s="859"/>
      <c r="AC216" s="859"/>
      <c r="AD216" s="859"/>
      <c r="AE216" s="859"/>
      <c r="AF216" s="859"/>
      <c r="AG216" s="859"/>
      <c r="AH216" s="859"/>
      <c r="AI216" s="859"/>
      <c r="AJ216" s="859"/>
      <c r="AK216" s="859"/>
      <c r="AL216" s="859"/>
      <c r="AM216" s="859"/>
      <c r="AN216" s="860"/>
      <c r="AO216" s="330">
        <v>316</v>
      </c>
    </row>
    <row r="217" spans="1:45" s="7" customFormat="1" ht="56.25" x14ac:dyDescent="0.6">
      <c r="A217" s="884" t="s">
        <v>674</v>
      </c>
      <c r="B217" s="713" t="s">
        <v>239</v>
      </c>
      <c r="C217" s="555" t="s">
        <v>237</v>
      </c>
      <c r="D217" s="535"/>
      <c r="E217" s="536"/>
      <c r="F217" s="556"/>
      <c r="G217" s="556"/>
      <c r="H217" s="556"/>
      <c r="I217" s="556"/>
      <c r="J217" s="556"/>
      <c r="K217" s="556"/>
      <c r="L217" s="556"/>
      <c r="M217" s="556"/>
      <c r="N217" s="556"/>
      <c r="O217" s="556"/>
      <c r="P217" s="556"/>
      <c r="Q217" s="556"/>
      <c r="R217" s="556"/>
      <c r="S217" s="556"/>
      <c r="T217" s="556"/>
      <c r="U217" s="556"/>
      <c r="V217" s="556"/>
      <c r="W217" s="556"/>
      <c r="X217" s="556"/>
      <c r="Y217" s="556"/>
      <c r="Z217" s="525">
        <f t="shared" si="114"/>
        <v>0</v>
      </c>
      <c r="AA217" s="525">
        <f t="shared" si="115"/>
        <v>0</v>
      </c>
      <c r="AB217" s="556"/>
      <c r="AC217" s="556"/>
      <c r="AD217" s="556"/>
      <c r="AE217" s="556"/>
      <c r="AF217" s="556"/>
      <c r="AG217" s="556"/>
      <c r="AH217" s="556"/>
      <c r="AI217" s="556"/>
      <c r="AJ217" s="557">
        <f t="shared" si="112"/>
        <v>0</v>
      </c>
      <c r="AK217" s="539"/>
      <c r="AL217" s="97"/>
      <c r="AM217" s="539" t="str">
        <f>CONCATENATE(IF(D210&gt;D217," * Newly Tested Positives "&amp;$D$6&amp;" "&amp;$D$7&amp;" is more than Total Positive Clients newly started on ART"&amp;CHAR(10),""),IF(E210&gt;E217," * Newly Tested Positives "&amp;$D$6&amp;" "&amp;$E$7&amp;" is more than Total Positive Clients newly started on ART"&amp;CHAR(10),""),IF(F210&gt;F217," * Newly Tested Positives "&amp;$F$6&amp;" "&amp;$F$7&amp;" is more than Total Positive Clients newly started on ART"&amp;CHAR(10),""),IF(G210&gt;G217," * Newly Tested Positives "&amp;$F$6&amp;" "&amp;$G$7&amp;" is more than Total Positive Clients newly started on ART"&amp;CHAR(10),""),IF(H210&gt;H217," * Newly Tested Positives "&amp;$H$6&amp;" "&amp;$H$7&amp;" is more than Total Positive Clients newly started on ART"&amp;CHAR(10),""),IF(I210&gt;I217," * Newly Tested Positives "&amp;$H$6&amp;" "&amp;$I$7&amp;" is more than Total Positive Clients newly started on ART"&amp;CHAR(10),""),IF(J210&gt;J217," * Newly Tested Positives "&amp;$J$6&amp;" "&amp;$J$7&amp;" is more than Total Positive Clients newly started on ART"&amp;CHAR(10),""),IF(K210&gt;K217," * Newly Tested Positives "&amp;$J$6&amp;" "&amp;$K$7&amp;" is more than Total Positive Clients newly started on ART"&amp;CHAR(10),""),IF(L210&gt;L217," * Newly Tested Positives "&amp;$L$6&amp;" "&amp;$L$7&amp;" is more than Total Positive Clients newly started on ART"&amp;CHAR(10),""),IF(M210&gt;M217," * Newly Tested Positives "&amp;$L$6&amp;" "&amp;$M$7&amp;" is more than Total Positive Clients newly started on ART"&amp;CHAR(10),""),IF(N210&gt;N217," * Newly Tested Positives "&amp;$N$6&amp;" "&amp;$N$7&amp;" is more than Total Positive Clients newly started on ART"&amp;CHAR(10),""),IF(O210&gt;O217," * Newly Tested Positives "&amp;$N$6&amp;" "&amp;$O$7&amp;" is more than Total Positive Clients newly started on ART"&amp;CHAR(10),""),IF(P210&gt;P217," * Newly Tested Positives "&amp;$P$6&amp;" "&amp;$P$7&amp;" is more than Total Positive Clients newly started on ART"&amp;CHAR(10),""),IF(Q210&gt;Q217," * Newly Tested Positives "&amp;$P$6&amp;" "&amp;$Q$7&amp;" is more than Total Positive Clients newly started on ART"&amp;CHAR(10),""),IF(R210&gt;R217," * Newly Tested Positives "&amp;$R$6&amp;" "&amp;$R$7&amp;" is more than Total Positive Clients newly started on ART"&amp;CHAR(10),""),IF(S210&gt;S217," * Newly Tested Positives "&amp;$R$6&amp;" "&amp;$S$7&amp;" is more than Total Positive Clients newly started on ART"&amp;CHAR(10),""),IF(T210&gt;T217," * Newly Tested Positives "&amp;$T$6&amp;" "&amp;$T$7&amp;" is more than Total Positive Clients newly started on ART"&amp;CHAR(10),""),IF(U210&gt;U217," * Newly Tested Positives "&amp;$T$6&amp;" "&amp;$U$7&amp;" is more than Total Positive Clients newly started on ART"&amp;CHAR(10),""),IF(V210&gt;V217," * Newly Tested Positives "&amp;$V$6&amp;" "&amp;$V$7&amp;" is more than Total Positive Clients newly started on ART"&amp;CHAR(10),""),IF(W210&gt;W217," * Newly Tested Positives "&amp;$V$6&amp;" "&amp;$W$7&amp;" is more than Total Positive Clients newly started on ART"&amp;CHAR(10),""),IF(X210&gt;X217," * Newly Tested Positives "&amp;$X$6&amp;" "&amp;$X$7&amp;" is more than Total Positive Clients newly started on ART"&amp;CHAR(10),""),IF(Y210&gt;Y217," * Newly Tested Positives "&amp;$X$6&amp;" "&amp;$Y$7&amp;" is more than Total Positive Clients newly started on ART"&amp;CHAR(10),""),IF(Z210&gt;Z217," * Newly Tested Positives "&amp;$Z$6&amp;" "&amp;$Z$7&amp;" is more than Total Positive Clients newly started on ART"&amp;CHAR(10),""),IF(AA210&gt;AA217," * Newly Tested Positives "&amp;$Z$6&amp;" "&amp;$AA$7&amp;" is more than Total Positive Clients newly started on ART"&amp;CHAR(10),""))</f>
        <v/>
      </c>
      <c r="AN217" s="529"/>
      <c r="AO217" s="330">
        <v>324</v>
      </c>
      <c r="AQ217" s="1046"/>
      <c r="AR217" s="1046"/>
      <c r="AS217" s="1046"/>
    </row>
    <row r="218" spans="1:45" s="7" customFormat="1" ht="56.25" x14ac:dyDescent="0.6">
      <c r="A218" s="885"/>
      <c r="B218" s="714" t="s">
        <v>241</v>
      </c>
      <c r="C218" s="530" t="s">
        <v>238</v>
      </c>
      <c r="D218" s="541"/>
      <c r="E218" s="541"/>
      <c r="F218" s="541"/>
      <c r="G218" s="541"/>
      <c r="H218" s="541"/>
      <c r="I218" s="541"/>
      <c r="J218" s="541"/>
      <c r="K218" s="541"/>
      <c r="L218" s="541"/>
      <c r="M218" s="541"/>
      <c r="N218" s="541"/>
      <c r="O218" s="541"/>
      <c r="P218" s="541"/>
      <c r="Q218" s="541"/>
      <c r="R218" s="541"/>
      <c r="S218" s="541"/>
      <c r="T218" s="541"/>
      <c r="U218" s="541"/>
      <c r="V218" s="541"/>
      <c r="W218" s="541"/>
      <c r="X218" s="541"/>
      <c r="Y218" s="541"/>
      <c r="Z218" s="525">
        <f>SUM(AB218,AD218,AF218,AH218)</f>
        <v>0</v>
      </c>
      <c r="AA218" s="525">
        <f>SUM(AC218,AE218,AG218,AI218)</f>
        <v>0</v>
      </c>
      <c r="AB218" s="541"/>
      <c r="AC218" s="541"/>
      <c r="AD218" s="541"/>
      <c r="AE218" s="541"/>
      <c r="AF218" s="541"/>
      <c r="AG218" s="541"/>
      <c r="AH218" s="541"/>
      <c r="AI218" s="541"/>
      <c r="AJ218" s="532">
        <f t="shared" si="112"/>
        <v>0</v>
      </c>
      <c r="AK218" s="539" t="str">
        <f>CONCATENATE(IF(D205&lt;&gt;D218," * TB Cases Already on ART at entry in TB clinic "&amp;$D$6&amp;" "&amp;$D$7&amp;" is Not equal to  TB cases with known HIV +ve status"&amp;CHAR(10),""),IF(E205&lt;&gt;E218," * TB Cases Already on ART at entry in TB clinic "&amp;$D$6&amp;" "&amp;$E$7&amp;" is Not equal to  TB cases with known HIV +ve status"&amp;CHAR(10),""),IF(F205&lt;&gt;F218," * TB Cases Already on ART at entry in TB clinic "&amp;$F$6&amp;" "&amp;$F$7&amp;" is Not equal to  TB cases with known HIV +ve status"&amp;CHAR(10),""),IF(G205&lt;&gt;G218," * TB Cases Already on ART at entry in TB clinic "&amp;$F$6&amp;" "&amp;$G$7&amp;" is Not equal to  TB cases with known HIV +ve status"&amp;CHAR(10),""),IF(H205&lt;&gt;H218," * TB Cases Already on ART at entry in TB clinic "&amp;$H$6&amp;" "&amp;$H$7&amp;" is Not equal to  TB cases with known HIV +ve status"&amp;CHAR(10),""),IF(I205&lt;&gt;I218," * TB Cases Already on ART at entry in TB clinic "&amp;$H$6&amp;" "&amp;$I$7&amp;" is Not equal to  TB cases with known HIV +ve status"&amp;CHAR(10),""),IF(J205&lt;&gt;J218," * TB Cases Already on ART at entry in TB clinic "&amp;$J$6&amp;" "&amp;$J$7&amp;" is Not equal to  TB cases with known HIV +ve status"&amp;CHAR(10),""),IF(K205&lt;&gt;K218," * TB Cases Already on ART at entry in TB clinic "&amp;$J$6&amp;" "&amp;$K$7&amp;" is Not equal to  TB cases with known HIV +ve status"&amp;CHAR(10),""),IF(L205&lt;&gt;L218," * TB Cases Already on ART at entry in TB clinic "&amp;$L$6&amp;" "&amp;$L$7&amp;" is Not equal to  TB cases with known HIV +ve status"&amp;CHAR(10),""),IF(M205&lt;&gt;M218," * TB Cases Already on ART at entry in TB clinic "&amp;$L$6&amp;" "&amp;$M$7&amp;" is Not equal to  TB cases with known HIV +ve status"&amp;CHAR(10),""),IF(N205&lt;&gt;N218," * TB Cases Already on ART at entry in TB clinic "&amp;$N$6&amp;" "&amp;$N$7&amp;" is Not equal to  TB cases with known HIV +ve status"&amp;CHAR(10),""),IF(O205&lt;&gt;O218," * TB Cases Already on ART at entry in TB clinic "&amp;$N$6&amp;" "&amp;$O$7&amp;" is Not equal to  TB cases with known HIV +ve status"&amp;CHAR(10),""),IF(P205&lt;&gt;P218," * TB Cases Already on ART at entry in TB clinic "&amp;$P$6&amp;" "&amp;$P$7&amp;" is Not equal to  TB cases with known HIV +ve status"&amp;CHAR(10),""),IF(Q205&lt;&gt;Q218," * TB Cases Already on ART at entry in TB clinic "&amp;$P$6&amp;" "&amp;$Q$7&amp;" is Not equal to  TB cases with known HIV +ve status"&amp;CHAR(10),""),IF(R205&lt;&gt;R218," * TB Cases Already on ART at entry in TB clinic "&amp;$R$6&amp;" "&amp;$R$7&amp;" is Not equal to  TB cases with known HIV +ve status"&amp;CHAR(10),""),IF(S205&lt;&gt;S218," * TB Cases Already on ART at entry in TB clinic "&amp;$R$6&amp;" "&amp;$S$7&amp;" is Not equal to  TB cases with known HIV +ve status"&amp;CHAR(10),""),IF(T205&lt;&gt;T218," * TB Cases Already on ART at entry in TB clinic "&amp;$T$6&amp;" "&amp;$T$7&amp;" is Not equal to  TB cases with known HIV +ve status"&amp;CHAR(10),""),IF(U205&lt;&gt;U218," * TB Cases Already on ART at entry in TB clinic "&amp;$T$6&amp;" "&amp;$U$7&amp;" is Not equal to  TB cases with known HIV +ve status"&amp;CHAR(10),""),IF(V205&lt;&gt;V218," * TB Cases Already on ART at entry in TB clinic "&amp;$V$6&amp;" "&amp;$V$7&amp;" is Not equal to  TB cases with known HIV +ve status"&amp;CHAR(10),""),IF(W205&lt;&gt;W218," * TB Cases Already on ART at entry in TB clinic "&amp;$V$6&amp;" "&amp;$W$7&amp;" is Not equal to  TB cases with known HIV +ve status"&amp;CHAR(10),""),IF(X205&lt;&gt;X218," * TB Cases Already on ART at entry in TB clinic "&amp;$X$6&amp;" "&amp;$X$7&amp;" is Not equal to  TB cases with known HIV +ve status"&amp;CHAR(10),""),IF(Y205&lt;&gt;Y218," * TB Cases Already on ART at entry in TB clinic "&amp;$X$6&amp;" "&amp;$Y$7&amp;" is Not equal to  TB cases with known HIV +ve status"&amp;CHAR(10),""),IF(Z205&lt;&gt;Z218," * TB Cases Already on ART at entry in TB clinic "&amp;$Z$6&amp;" "&amp;$Z$7&amp;" is Not equal to  TB cases with known HIV +ve status"&amp;CHAR(10),""),IF(AA205&lt;&gt;AA218," * TB Cases Already on ART at entry in TB clinic "&amp;$Z$6&amp;" "&amp;$AA$7&amp;" is Not equal to  TB cases with known HIV +ve status"&amp;CHAR(10),""))</f>
        <v/>
      </c>
      <c r="AL218" s="97"/>
      <c r="AM218" s="534"/>
      <c r="AN218" s="529"/>
      <c r="AO218" s="330">
        <v>325</v>
      </c>
      <c r="AQ218" s="1046"/>
      <c r="AR218" s="1046"/>
      <c r="AS218" s="1046"/>
    </row>
    <row r="219" spans="1:45" s="7" customFormat="1" ht="57" thickBot="1" x14ac:dyDescent="0.65">
      <c r="A219" s="886"/>
      <c r="B219" s="715" t="s">
        <v>244</v>
      </c>
      <c r="C219" s="558" t="s">
        <v>243</v>
      </c>
      <c r="D219" s="559">
        <f t="shared" ref="D219:Y219" si="122">D218+D217</f>
        <v>0</v>
      </c>
      <c r="E219" s="559">
        <f t="shared" si="122"/>
        <v>0</v>
      </c>
      <c r="F219" s="559">
        <f t="shared" si="122"/>
        <v>0</v>
      </c>
      <c r="G219" s="559">
        <f t="shared" si="122"/>
        <v>0</v>
      </c>
      <c r="H219" s="559">
        <f t="shared" si="122"/>
        <v>0</v>
      </c>
      <c r="I219" s="559">
        <f t="shared" si="122"/>
        <v>0</v>
      </c>
      <c r="J219" s="559">
        <f t="shared" si="122"/>
        <v>0</v>
      </c>
      <c r="K219" s="559">
        <f t="shared" si="122"/>
        <v>0</v>
      </c>
      <c r="L219" s="559">
        <f t="shared" si="122"/>
        <v>0</v>
      </c>
      <c r="M219" s="559">
        <f t="shared" si="122"/>
        <v>0</v>
      </c>
      <c r="N219" s="559">
        <f t="shared" si="122"/>
        <v>0</v>
      </c>
      <c r="O219" s="559">
        <f t="shared" si="122"/>
        <v>0</v>
      </c>
      <c r="P219" s="559">
        <f t="shared" si="122"/>
        <v>0</v>
      </c>
      <c r="Q219" s="559">
        <f t="shared" si="122"/>
        <v>0</v>
      </c>
      <c r="R219" s="559">
        <f t="shared" si="122"/>
        <v>0</v>
      </c>
      <c r="S219" s="559">
        <f t="shared" si="122"/>
        <v>0</v>
      </c>
      <c r="T219" s="559">
        <f t="shared" si="122"/>
        <v>0</v>
      </c>
      <c r="U219" s="559">
        <f t="shared" si="122"/>
        <v>0</v>
      </c>
      <c r="V219" s="559">
        <f t="shared" si="122"/>
        <v>0</v>
      </c>
      <c r="W219" s="559">
        <f t="shared" si="122"/>
        <v>0</v>
      </c>
      <c r="X219" s="559">
        <f t="shared" si="122"/>
        <v>0</v>
      </c>
      <c r="Y219" s="559">
        <f t="shared" si="122"/>
        <v>0</v>
      </c>
      <c r="Z219" s="525">
        <f>SUM(AB219,AD219,AF219,AH219)</f>
        <v>0</v>
      </c>
      <c r="AA219" s="525">
        <f>SUM(AC219,AE219,AG219,AI219)</f>
        <v>0</v>
      </c>
      <c r="AB219" s="559">
        <f t="shared" ref="AB219:AI219" si="123">AB218+AB217</f>
        <v>0</v>
      </c>
      <c r="AC219" s="559">
        <f t="shared" si="123"/>
        <v>0</v>
      </c>
      <c r="AD219" s="559">
        <f t="shared" si="123"/>
        <v>0</v>
      </c>
      <c r="AE219" s="559">
        <f t="shared" si="123"/>
        <v>0</v>
      </c>
      <c r="AF219" s="559">
        <f t="shared" si="123"/>
        <v>0</v>
      </c>
      <c r="AG219" s="559">
        <f t="shared" si="123"/>
        <v>0</v>
      </c>
      <c r="AH219" s="559">
        <f t="shared" si="123"/>
        <v>0</v>
      </c>
      <c r="AI219" s="559">
        <f t="shared" si="123"/>
        <v>0</v>
      </c>
      <c r="AJ219" s="560">
        <f t="shared" si="112"/>
        <v>0</v>
      </c>
      <c r="AK219" s="539" t="str">
        <f>CONCATENATE(IF(D209&lt;D219," * HIV coinfected clients started on ART "&amp;$D$6&amp;" "&amp;$D$7&amp;" is more than TB cases with documented HIV status"&amp;CHAR(10),""),IF(E209&lt;E219," * HIV coinfected clients started on ART "&amp;$D$6&amp;" "&amp;$E$7&amp;" is more than TB cases with documented HIV status"&amp;CHAR(10),""),IF(F209&lt;F219," * HIV coinfected clients started on ART "&amp;$F$6&amp;" "&amp;$F$7&amp;" is more than TB cases with documented HIV status"&amp;CHAR(10),""),IF(G209&lt;G219," * HIV coinfected clients started on ART "&amp;$F$6&amp;" "&amp;$G$7&amp;" is more than TB cases with documented HIV status"&amp;CHAR(10),""),IF(H209&lt;H219," * HIV coinfected clients started on ART "&amp;$H$6&amp;" "&amp;$H$7&amp;" is more than TB cases with documented HIV status"&amp;CHAR(10),""),IF(I209&lt;I219," * HIV coinfected clients started on ART "&amp;$H$6&amp;" "&amp;$I$7&amp;" is more than TB cases with documented HIV status"&amp;CHAR(10),""),IF(J209&lt;J219," * HIV coinfected clients started on ART "&amp;$J$6&amp;" "&amp;$J$7&amp;" is more than TB cases with documented HIV status"&amp;CHAR(10),""),IF(K209&lt;K219," * HIV coinfected clients started on ART "&amp;$J$6&amp;" "&amp;$K$7&amp;" is more than TB cases with documented HIV status"&amp;CHAR(10),""),IF(L209&lt;L219," * HIV coinfected clients started on ART "&amp;$L$6&amp;" "&amp;$L$7&amp;" is more than TB cases with documented HIV status"&amp;CHAR(10),""),IF(M209&lt;M219," * HIV coinfected clients started on ART "&amp;$L$6&amp;" "&amp;$M$7&amp;" is more than TB cases with documented HIV status"&amp;CHAR(10),""),IF(N209&lt;N219," * HIV coinfected clients started on ART "&amp;$N$6&amp;" "&amp;$N$7&amp;" is more than TB cases with documented HIV status"&amp;CHAR(10),""),IF(O209&lt;O219," * HIV coinfected clients started on ART "&amp;$N$6&amp;" "&amp;$O$7&amp;" is more than TB cases with documented HIV status"&amp;CHAR(10),""),IF(P209&lt;P219," * HIV coinfected clients started on ART "&amp;$P$6&amp;" "&amp;$P$7&amp;" is more than TB cases with documented HIV status"&amp;CHAR(10),""),IF(Q209&lt;Q219," * HIV coinfected clients started on ART "&amp;$P$6&amp;" "&amp;$Q$7&amp;" is more than TB cases with documented HIV status"&amp;CHAR(10),""),IF(R209&lt;R219," * HIV coinfected clients started on ART "&amp;$R$6&amp;" "&amp;$R$7&amp;" is more than TB cases with documented HIV status"&amp;CHAR(10),""),IF(S209&lt;S219," * HIV coinfected clients started on ART "&amp;$R$6&amp;" "&amp;$S$7&amp;" is more than TB cases with documented HIV status"&amp;CHAR(10),""),IF(T209&lt;T219," * HIV coinfected clients started on ART "&amp;$T$6&amp;" "&amp;$T$7&amp;" is more than TB cases with documented HIV status"&amp;CHAR(10),""),IF(U209&lt;U219," * HIV coinfected clients started on ART "&amp;$T$6&amp;" "&amp;$U$7&amp;" is more than TB cases with documented HIV status"&amp;CHAR(10),""),IF(V209&lt;V219," * HIV coinfected clients started on ART "&amp;$V$6&amp;" "&amp;$V$7&amp;" is more than TB cases with documented HIV status"&amp;CHAR(10),""),IF(W209&lt;W219," * HIV coinfected clients started on ART "&amp;$V$6&amp;" "&amp;$W$7&amp;" is more than TB cases with documented HIV status"&amp;CHAR(10),""),IF(X209&lt;X219," * HIV coinfected clients started on ART "&amp;$X$6&amp;" "&amp;$X$7&amp;" is more than TB cases with documented HIV status"&amp;CHAR(10),""),IF(Y209&lt;Y219," * HIV coinfected clients started on ART "&amp;$X$6&amp;" "&amp;$Y$7&amp;" is more than TB cases with documented HIV status"&amp;CHAR(10),""),IF(Z209&lt;Z219," * HIV coinfected clients started on ART "&amp;$Z$6&amp;" "&amp;$Z$7&amp;" is more than TB cases with documented HIV status"&amp;CHAR(10),""),IF(AA209&lt;AA219," * HIV coinfected clients started on ART "&amp;$Z$6&amp;" "&amp;$AA$7&amp;" is more than TB cases with documented HIV status"&amp;CHAR(10),""))</f>
        <v/>
      </c>
      <c r="AL219" s="98"/>
      <c r="AM219" s="534"/>
      <c r="AN219" s="561"/>
      <c r="AO219" s="330">
        <v>326</v>
      </c>
      <c r="AQ219" s="1046"/>
      <c r="AR219" s="1046"/>
      <c r="AS219" s="1046"/>
    </row>
    <row r="220" spans="1:45" ht="31.5" thickBot="1" x14ac:dyDescent="0.65">
      <c r="A220" s="940" t="s">
        <v>651</v>
      </c>
      <c r="B220" s="941"/>
      <c r="C220" s="941"/>
      <c r="D220" s="941"/>
      <c r="E220" s="941"/>
      <c r="F220" s="941"/>
      <c r="G220" s="941"/>
      <c r="H220" s="941"/>
      <c r="I220" s="941"/>
      <c r="J220" s="941"/>
      <c r="K220" s="941"/>
      <c r="L220" s="941"/>
      <c r="M220" s="941"/>
      <c r="N220" s="941"/>
      <c r="O220" s="941"/>
      <c r="P220" s="941"/>
      <c r="Q220" s="941"/>
      <c r="R220" s="941"/>
      <c r="S220" s="941"/>
      <c r="T220" s="941"/>
      <c r="U220" s="941"/>
      <c r="V220" s="941"/>
      <c r="W220" s="941"/>
      <c r="X220" s="941"/>
      <c r="Y220" s="941"/>
      <c r="Z220" s="941"/>
      <c r="AA220" s="941"/>
      <c r="AB220" s="941"/>
      <c r="AC220" s="941"/>
      <c r="AD220" s="941"/>
      <c r="AE220" s="941"/>
      <c r="AF220" s="941"/>
      <c r="AG220" s="941"/>
      <c r="AH220" s="941"/>
      <c r="AI220" s="941"/>
      <c r="AJ220" s="941"/>
      <c r="AK220" s="941"/>
      <c r="AL220" s="941"/>
      <c r="AM220" s="941"/>
      <c r="AN220" s="942"/>
      <c r="AO220" s="330">
        <v>244</v>
      </c>
    </row>
    <row r="221" spans="1:45" ht="31.5" thickBot="1" x14ac:dyDescent="0.65">
      <c r="A221" s="858" t="s">
        <v>652</v>
      </c>
      <c r="B221" s="859"/>
      <c r="C221" s="859"/>
      <c r="D221" s="859"/>
      <c r="E221" s="859"/>
      <c r="F221" s="859"/>
      <c r="G221" s="859"/>
      <c r="H221" s="859"/>
      <c r="I221" s="859"/>
      <c r="J221" s="859"/>
      <c r="K221" s="859"/>
      <c r="L221" s="859"/>
      <c r="M221" s="859"/>
      <c r="N221" s="859"/>
      <c r="O221" s="859"/>
      <c r="P221" s="859"/>
      <c r="Q221" s="859"/>
      <c r="R221" s="859"/>
      <c r="S221" s="859"/>
      <c r="T221" s="859"/>
      <c r="U221" s="859"/>
      <c r="V221" s="859"/>
      <c r="W221" s="859"/>
      <c r="X221" s="859"/>
      <c r="Y221" s="859"/>
      <c r="Z221" s="859"/>
      <c r="AA221" s="859"/>
      <c r="AB221" s="859"/>
      <c r="AC221" s="859"/>
      <c r="AD221" s="859"/>
      <c r="AE221" s="859"/>
      <c r="AF221" s="859"/>
      <c r="AG221" s="859"/>
      <c r="AH221" s="859"/>
      <c r="AI221" s="859"/>
      <c r="AJ221" s="859"/>
      <c r="AK221" s="859"/>
      <c r="AL221" s="859"/>
      <c r="AM221" s="859"/>
      <c r="AN221" s="860"/>
      <c r="AO221" s="330"/>
    </row>
    <row r="222" spans="1:45" ht="26.25" customHeight="1" x14ac:dyDescent="0.6">
      <c r="A222" s="844" t="s">
        <v>18</v>
      </c>
      <c r="B222" s="850" t="s">
        <v>123</v>
      </c>
      <c r="C222" s="970" t="s">
        <v>122</v>
      </c>
      <c r="D222" s="848" t="s">
        <v>0</v>
      </c>
      <c r="E222" s="848"/>
      <c r="F222" s="848" t="s">
        <v>1</v>
      </c>
      <c r="G222" s="848"/>
      <c r="H222" s="848" t="s">
        <v>2</v>
      </c>
      <c r="I222" s="848"/>
      <c r="J222" s="848" t="s">
        <v>3</v>
      </c>
      <c r="K222" s="848"/>
      <c r="L222" s="848" t="s">
        <v>4</v>
      </c>
      <c r="M222" s="848"/>
      <c r="N222" s="848" t="s">
        <v>5</v>
      </c>
      <c r="O222" s="848"/>
      <c r="P222" s="848" t="s">
        <v>6</v>
      </c>
      <c r="Q222" s="848"/>
      <c r="R222" s="848" t="s">
        <v>7</v>
      </c>
      <c r="S222" s="848"/>
      <c r="T222" s="848" t="s">
        <v>8</v>
      </c>
      <c r="U222" s="848"/>
      <c r="V222" s="848" t="s">
        <v>15</v>
      </c>
      <c r="W222" s="848"/>
      <c r="X222" s="848" t="s">
        <v>16</v>
      </c>
      <c r="Y222" s="848"/>
      <c r="Z222" s="848" t="s">
        <v>9</v>
      </c>
      <c r="AA222" s="848"/>
      <c r="AB222" s="842" t="s">
        <v>365</v>
      </c>
      <c r="AC222" s="843"/>
      <c r="AD222" s="842" t="s">
        <v>366</v>
      </c>
      <c r="AE222" s="843"/>
      <c r="AF222" s="842" t="s">
        <v>427</v>
      </c>
      <c r="AG222" s="843"/>
      <c r="AH222" s="842" t="s">
        <v>428</v>
      </c>
      <c r="AI222" s="843"/>
      <c r="AJ222" s="846" t="s">
        <v>13</v>
      </c>
      <c r="AK222" s="881" t="s">
        <v>148</v>
      </c>
      <c r="AL222" s="879" t="s">
        <v>154</v>
      </c>
      <c r="AM222" s="883" t="s">
        <v>155</v>
      </c>
      <c r="AN222" s="943" t="s">
        <v>155</v>
      </c>
      <c r="AO222" s="330">
        <v>245</v>
      </c>
    </row>
    <row r="223" spans="1:45" ht="27" customHeight="1" thickBot="1" x14ac:dyDescent="0.65">
      <c r="A223" s="845"/>
      <c r="B223" s="851"/>
      <c r="C223" s="952"/>
      <c r="D223" s="114" t="s">
        <v>10</v>
      </c>
      <c r="E223" s="114" t="s">
        <v>11</v>
      </c>
      <c r="F223" s="114" t="s">
        <v>10</v>
      </c>
      <c r="G223" s="114" t="s">
        <v>11</v>
      </c>
      <c r="H223" s="114" t="s">
        <v>10</v>
      </c>
      <c r="I223" s="114" t="s">
        <v>11</v>
      </c>
      <c r="J223" s="114" t="s">
        <v>10</v>
      </c>
      <c r="K223" s="114" t="s">
        <v>11</v>
      </c>
      <c r="L223" s="114" t="s">
        <v>10</v>
      </c>
      <c r="M223" s="114" t="s">
        <v>11</v>
      </c>
      <c r="N223" s="114" t="s">
        <v>10</v>
      </c>
      <c r="O223" s="114" t="s">
        <v>11</v>
      </c>
      <c r="P223" s="114" t="s">
        <v>10</v>
      </c>
      <c r="Q223" s="114" t="s">
        <v>11</v>
      </c>
      <c r="R223" s="114" t="s">
        <v>10</v>
      </c>
      <c r="S223" s="114" t="s">
        <v>11</v>
      </c>
      <c r="T223" s="114" t="s">
        <v>10</v>
      </c>
      <c r="U223" s="114" t="s">
        <v>11</v>
      </c>
      <c r="V223" s="114" t="s">
        <v>10</v>
      </c>
      <c r="W223" s="114" t="s">
        <v>11</v>
      </c>
      <c r="X223" s="114" t="s">
        <v>10</v>
      </c>
      <c r="Y223" s="114" t="s">
        <v>11</v>
      </c>
      <c r="Z223" s="114" t="s">
        <v>10</v>
      </c>
      <c r="AA223" s="114" t="s">
        <v>11</v>
      </c>
      <c r="AB223" s="114" t="s">
        <v>10</v>
      </c>
      <c r="AC223" s="114" t="s">
        <v>11</v>
      </c>
      <c r="AD223" s="114" t="s">
        <v>10</v>
      </c>
      <c r="AE223" s="114" t="s">
        <v>11</v>
      </c>
      <c r="AF223" s="114" t="s">
        <v>10</v>
      </c>
      <c r="AG223" s="114" t="s">
        <v>11</v>
      </c>
      <c r="AH223" s="114" t="s">
        <v>10</v>
      </c>
      <c r="AI223" s="114" t="s">
        <v>11</v>
      </c>
      <c r="AJ223" s="847"/>
      <c r="AK223" s="882"/>
      <c r="AL223" s="880"/>
      <c r="AM223" s="883"/>
      <c r="AN223" s="944"/>
      <c r="AO223" s="330">
        <v>246</v>
      </c>
    </row>
    <row r="224" spans="1:45" s="19" customFormat="1" ht="31.5" thickBot="1" x14ac:dyDescent="0.65">
      <c r="A224" s="571" t="s">
        <v>768</v>
      </c>
      <c r="B224" s="770" t="s">
        <v>706</v>
      </c>
      <c r="C224" s="387" t="s">
        <v>116</v>
      </c>
      <c r="D224" s="562">
        <f t="shared" ref="D224:AI224" si="124">SUM(D225:D229)</f>
        <v>0</v>
      </c>
      <c r="E224" s="563">
        <f t="shared" si="124"/>
        <v>0</v>
      </c>
      <c r="F224" s="563">
        <f t="shared" si="124"/>
        <v>0</v>
      </c>
      <c r="G224" s="563">
        <f t="shared" si="124"/>
        <v>0</v>
      </c>
      <c r="H224" s="563">
        <f t="shared" si="124"/>
        <v>0</v>
      </c>
      <c r="I224" s="563">
        <f t="shared" si="124"/>
        <v>0</v>
      </c>
      <c r="J224" s="563">
        <f t="shared" si="124"/>
        <v>0</v>
      </c>
      <c r="K224" s="563">
        <f t="shared" si="124"/>
        <v>0</v>
      </c>
      <c r="L224" s="563">
        <f t="shared" si="124"/>
        <v>0</v>
      </c>
      <c r="M224" s="563">
        <f t="shared" si="124"/>
        <v>0</v>
      </c>
      <c r="N224" s="563">
        <f t="shared" si="124"/>
        <v>0</v>
      </c>
      <c r="O224" s="563">
        <f t="shared" si="124"/>
        <v>0</v>
      </c>
      <c r="P224" s="563">
        <f t="shared" si="124"/>
        <v>0</v>
      </c>
      <c r="Q224" s="563">
        <f t="shared" si="124"/>
        <v>0</v>
      </c>
      <c r="R224" s="563">
        <f t="shared" si="124"/>
        <v>0</v>
      </c>
      <c r="S224" s="563">
        <f t="shared" si="124"/>
        <v>0</v>
      </c>
      <c r="T224" s="563">
        <f t="shared" si="124"/>
        <v>0</v>
      </c>
      <c r="U224" s="563">
        <f t="shared" si="124"/>
        <v>0</v>
      </c>
      <c r="V224" s="563">
        <f t="shared" si="124"/>
        <v>0</v>
      </c>
      <c r="W224" s="563">
        <f t="shared" si="124"/>
        <v>0</v>
      </c>
      <c r="X224" s="563">
        <f t="shared" si="124"/>
        <v>0</v>
      </c>
      <c r="Y224" s="563">
        <f t="shared" si="124"/>
        <v>0</v>
      </c>
      <c r="Z224" s="563">
        <f t="shared" si="124"/>
        <v>0</v>
      </c>
      <c r="AA224" s="563">
        <f t="shared" si="124"/>
        <v>0</v>
      </c>
      <c r="AB224" s="563">
        <f t="shared" si="124"/>
        <v>0</v>
      </c>
      <c r="AC224" s="563">
        <f t="shared" si="124"/>
        <v>0</v>
      </c>
      <c r="AD224" s="563">
        <f t="shared" si="124"/>
        <v>0</v>
      </c>
      <c r="AE224" s="563">
        <f t="shared" si="124"/>
        <v>0</v>
      </c>
      <c r="AF224" s="563">
        <f t="shared" si="124"/>
        <v>0</v>
      </c>
      <c r="AG224" s="563">
        <f t="shared" si="124"/>
        <v>0</v>
      </c>
      <c r="AH224" s="563">
        <f t="shared" si="124"/>
        <v>0</v>
      </c>
      <c r="AI224" s="563">
        <f t="shared" si="124"/>
        <v>0</v>
      </c>
      <c r="AJ224" s="564">
        <f>SUM(D224:AA224)</f>
        <v>0</v>
      </c>
      <c r="AK224" s="349" t="str">
        <f>CONCATENATE(IF(D224&gt;D235," * Starting ART for Age "&amp;D6&amp;" "&amp;D7&amp;" is more than Current On ART"&amp;CHAR(10),""),IF(E224&gt;E235," * Starting ART for Age "&amp;D6&amp;" "&amp;E7&amp;" is more than Current On ART"&amp;CHAR(10),""),IF(F224&gt;F235," * Starting ART for Age "&amp;F6&amp;" "&amp;F7&amp;" is more than Current On ART"&amp;CHAR(10),""),IF(G224&gt;G235," * Starting ART for Age "&amp;F6&amp;" "&amp;G7&amp;" is more than Current On ART"&amp;CHAR(10),""),IF(H224&gt;H235," * Starting ART for Age "&amp;H6&amp;" "&amp;H7&amp;" is more than Current On ART"&amp;CHAR(10),""),IF(I224&gt;I235," * Starting ART for Age "&amp;H6&amp;" "&amp;I7&amp;" is more than Current On ART"&amp;CHAR(10),""),IF(J224&gt;J235," * Starting ART for Age "&amp;J6&amp;" "&amp;J7&amp;" is more than Current On ART"&amp;CHAR(10),""),IF(K224&gt;K235," * Starting ART for Age "&amp;J6&amp;" "&amp;K7&amp;" is more than Current On ART"&amp;CHAR(10),""),IF(L224&gt;L235," * Starting ART for Age "&amp;L6&amp;" "&amp;L7&amp;" is more than Current On ART"&amp;CHAR(10),""),IF(M224&gt;M235," * Starting ART for Age "&amp;L6&amp;" "&amp;M7&amp;" is more than Current On ART"&amp;CHAR(10),""),IF(N224&gt;N235," * Starting ART for Age "&amp;N6&amp;" "&amp;N7&amp;" is more than Current On ART"&amp;CHAR(10),""),IF(O224&gt;O235," * Starting ART for Age "&amp;N6&amp;" "&amp;O7&amp;" is more than Current On ART"&amp;CHAR(10),""),IF(P224&gt;P235," * Starting ART for Age "&amp;P6&amp;" "&amp;P7&amp;" is more than Current On ART"&amp;CHAR(10),""),IF(Q224&gt;Q235," * Starting ART for Age "&amp;P6&amp;" "&amp;Q7&amp;" is more than Current On ART"&amp;CHAR(10),""),IF(R224&gt;R235," * Starting ART for Age "&amp;R6&amp;" "&amp;R7&amp;" is more than Current On ART"&amp;CHAR(10),""),IF(S224&gt;S235," * Starting ART for Age "&amp;R6&amp;" "&amp;S7&amp;" is more than Current On ART"&amp;CHAR(10),""),IF(T224&gt;T235," * Starting ART for Age "&amp;T6&amp;" "&amp;T7&amp;" is more than Current On ART"&amp;CHAR(10),""),IF(U224&gt;U235," * Starting ART for Age "&amp;T6&amp;" "&amp;U7&amp;" is more than Current On ART"&amp;CHAR(10),""),IF(V224&gt;V235," * Starting ART for Age "&amp;V6&amp;" "&amp;V7&amp;" is more than Current On ART"&amp;CHAR(10),""),IF(W224&gt;W235," * Starting ART for Age "&amp;V6&amp;" "&amp;W7&amp;" is more than Current On ART"&amp;CHAR(10),""),IF(X224&gt;X235," * Starting ART for Age "&amp;X6&amp;" "&amp;X7&amp;" is more than Current On ART"&amp;CHAR(10),""),IF(Y224&gt;Y235," * Starting ART for Age "&amp;X6&amp;" "&amp;Y7&amp;" is more than Current On ART"&amp;CHAR(10),""),IF(Z224&gt;Z235," * Starting ART for Age "&amp;Z6&amp;" "&amp;Z7&amp;" is more than Current On ART"&amp;CHAR(10),""),IF(AA224&gt;AA235," * Starting ART for Age "&amp;Z6&amp;" "&amp;AA7&amp;" is more than Current On ART"&amp;CHAR(10),""))</f>
        <v/>
      </c>
      <c r="AL224" s="99" t="str">
        <f>CONCATENATE(AK224,AK225,AK226,AK227,AK228,AK229,AK230,AK235,AK236,AK237,AK238,AK239,AK240,AK241,AK243,AK242,AK244,AK245,AK246,AK247,AK248,AK231,AK232,AK233,AK234,AK261,AK262,AK263,AK235)</f>
        <v/>
      </c>
      <c r="AM224" s="136"/>
      <c r="AN224" s="416" t="str">
        <f>CONCATENATE(AM224,AM225,AM226,AM227,AM228,AM229,AM230,AM235,AM236,AM237,AM238,AM239,AM240,AM241,AM242,AM243,AM244,AM245,AM246,AM247,AM248,AM234,AM233,AM232,AM231)</f>
        <v/>
      </c>
      <c r="AO224" s="330">
        <v>247</v>
      </c>
      <c r="AQ224" s="1050"/>
      <c r="AR224" s="1050"/>
      <c r="AS224" s="1050"/>
    </row>
    <row r="225" spans="1:45" x14ac:dyDescent="0.6">
      <c r="A225" s="876" t="s">
        <v>769</v>
      </c>
      <c r="B225" s="747" t="s">
        <v>161</v>
      </c>
      <c r="C225" s="115" t="s">
        <v>249</v>
      </c>
      <c r="D225" s="61"/>
      <c r="E225" s="64"/>
      <c r="F225" s="64"/>
      <c r="G225" s="64"/>
      <c r="H225" s="64"/>
      <c r="I225" s="64"/>
      <c r="J225" s="64"/>
      <c r="K225" s="64"/>
      <c r="L225" s="12"/>
      <c r="M225" s="12"/>
      <c r="N225" s="12"/>
      <c r="O225" s="12"/>
      <c r="P225" s="12"/>
      <c r="Q225" s="12"/>
      <c r="R225" s="12"/>
      <c r="S225" s="12"/>
      <c r="T225" s="12"/>
      <c r="U225" s="12"/>
      <c r="V225" s="12"/>
      <c r="W225" s="12"/>
      <c r="X225" s="12"/>
      <c r="Y225" s="12"/>
      <c r="Z225" s="546">
        <f t="shared" ref="Z225:AA229" si="125">SUM(AB225,AD225,AF225,AH225)</f>
        <v>0</v>
      </c>
      <c r="AA225" s="546">
        <f t="shared" si="125"/>
        <v>0</v>
      </c>
      <c r="AB225" s="35"/>
      <c r="AC225" s="35"/>
      <c r="AD225" s="35"/>
      <c r="AE225" s="35"/>
      <c r="AF225" s="35"/>
      <c r="AG225" s="35"/>
      <c r="AH225" s="35"/>
      <c r="AI225" s="35"/>
      <c r="AJ225" s="565">
        <f t="shared" ref="AJ225:AJ229" si="126">SUM(D225:AA225)</f>
        <v>0</v>
      </c>
      <c r="AK225" s="349"/>
      <c r="AL225" s="100"/>
      <c r="AM225" s="136"/>
      <c r="AN225" s="421"/>
      <c r="AO225" s="330">
        <v>248</v>
      </c>
    </row>
    <row r="226" spans="1:45" x14ac:dyDescent="0.6">
      <c r="A226" s="877"/>
      <c r="B226" s="766" t="s">
        <v>157</v>
      </c>
      <c r="C226" s="566" t="s">
        <v>250</v>
      </c>
      <c r="D226" s="78"/>
      <c r="E226" s="78"/>
      <c r="F226" s="78"/>
      <c r="G226" s="78"/>
      <c r="H226" s="78"/>
      <c r="I226" s="78"/>
      <c r="J226" s="78"/>
      <c r="K226" s="78"/>
      <c r="L226" s="21"/>
      <c r="M226" s="9"/>
      <c r="N226" s="9"/>
      <c r="O226" s="9"/>
      <c r="P226" s="9"/>
      <c r="Q226" s="9"/>
      <c r="R226" s="9"/>
      <c r="S226" s="9"/>
      <c r="T226" s="9"/>
      <c r="U226" s="9"/>
      <c r="V226" s="9"/>
      <c r="W226" s="9"/>
      <c r="X226" s="9"/>
      <c r="Y226" s="9"/>
      <c r="Z226" s="546">
        <f t="shared" si="125"/>
        <v>0</v>
      </c>
      <c r="AA226" s="546">
        <f t="shared" si="125"/>
        <v>0</v>
      </c>
      <c r="AB226" s="33"/>
      <c r="AC226" s="33"/>
      <c r="AD226" s="33"/>
      <c r="AE226" s="33"/>
      <c r="AF226" s="33"/>
      <c r="AG226" s="33"/>
      <c r="AH226" s="33"/>
      <c r="AI226" s="33"/>
      <c r="AJ226" s="567">
        <f t="shared" si="126"/>
        <v>0</v>
      </c>
      <c r="AK226" s="349"/>
      <c r="AL226" s="100"/>
      <c r="AM226" s="136"/>
      <c r="AN226" s="421"/>
      <c r="AO226" s="330">
        <v>249</v>
      </c>
    </row>
    <row r="227" spans="1:45" x14ac:dyDescent="0.6">
      <c r="A227" s="877"/>
      <c r="B227" s="766" t="s">
        <v>158</v>
      </c>
      <c r="C227" s="566" t="s">
        <v>251</v>
      </c>
      <c r="D227" s="78"/>
      <c r="E227" s="78"/>
      <c r="F227" s="78"/>
      <c r="G227" s="78"/>
      <c r="H227" s="78"/>
      <c r="I227" s="78"/>
      <c r="J227" s="78"/>
      <c r="K227" s="78"/>
      <c r="L227" s="21"/>
      <c r="M227" s="78"/>
      <c r="N227" s="9"/>
      <c r="O227" s="78"/>
      <c r="P227" s="9"/>
      <c r="Q227" s="78"/>
      <c r="R227" s="9"/>
      <c r="S227" s="78"/>
      <c r="T227" s="9"/>
      <c r="U227" s="78"/>
      <c r="V227" s="9"/>
      <c r="W227" s="78"/>
      <c r="X227" s="9"/>
      <c r="Y227" s="78"/>
      <c r="Z227" s="546">
        <f t="shared" si="125"/>
        <v>0</v>
      </c>
      <c r="AA227" s="546">
        <f t="shared" si="125"/>
        <v>0</v>
      </c>
      <c r="AB227" s="33"/>
      <c r="AC227" s="33"/>
      <c r="AD227" s="33"/>
      <c r="AE227" s="33"/>
      <c r="AF227" s="33"/>
      <c r="AG227" s="33"/>
      <c r="AH227" s="33"/>
      <c r="AI227" s="33"/>
      <c r="AJ227" s="567">
        <f t="shared" si="126"/>
        <v>0</v>
      </c>
      <c r="AK227" s="349"/>
      <c r="AL227" s="100"/>
      <c r="AM227" s="136"/>
      <c r="AN227" s="421"/>
      <c r="AO227" s="330">
        <v>250</v>
      </c>
    </row>
    <row r="228" spans="1:45" x14ac:dyDescent="0.6">
      <c r="A228" s="877"/>
      <c r="B228" s="766" t="s">
        <v>159</v>
      </c>
      <c r="C228" s="566" t="s">
        <v>252</v>
      </c>
      <c r="D228" s="78"/>
      <c r="E228" s="78"/>
      <c r="F228" s="78"/>
      <c r="G228" s="78"/>
      <c r="H228" s="78"/>
      <c r="I228" s="78"/>
      <c r="J228" s="78"/>
      <c r="K228" s="78"/>
      <c r="L228" s="78"/>
      <c r="M228" s="9"/>
      <c r="N228" s="78"/>
      <c r="O228" s="9"/>
      <c r="P228" s="78"/>
      <c r="Q228" s="9"/>
      <c r="R228" s="78"/>
      <c r="S228" s="9"/>
      <c r="T228" s="78"/>
      <c r="U228" s="9"/>
      <c r="V228" s="78"/>
      <c r="W228" s="9"/>
      <c r="X228" s="78"/>
      <c r="Y228" s="9"/>
      <c r="Z228" s="546">
        <f t="shared" si="125"/>
        <v>0</v>
      </c>
      <c r="AA228" s="546">
        <f t="shared" si="125"/>
        <v>0</v>
      </c>
      <c r="AB228" s="33"/>
      <c r="AC228" s="33"/>
      <c r="AD228" s="33"/>
      <c r="AE228" s="33"/>
      <c r="AF228" s="33"/>
      <c r="AG228" s="33"/>
      <c r="AH228" s="33"/>
      <c r="AI228" s="33"/>
      <c r="AJ228" s="567">
        <f t="shared" si="126"/>
        <v>0</v>
      </c>
      <c r="AK228" s="349"/>
      <c r="AL228" s="100"/>
      <c r="AM228" s="136"/>
      <c r="AN228" s="421"/>
      <c r="AO228" s="330">
        <v>252</v>
      </c>
    </row>
    <row r="229" spans="1:45" ht="31.5" thickBot="1" x14ac:dyDescent="0.65">
      <c r="A229" s="878"/>
      <c r="B229" s="748" t="s">
        <v>160</v>
      </c>
      <c r="C229" s="392" t="s">
        <v>253</v>
      </c>
      <c r="D229" s="78"/>
      <c r="E229" s="78"/>
      <c r="F229" s="78"/>
      <c r="G229" s="78"/>
      <c r="H229" s="78"/>
      <c r="I229" s="78"/>
      <c r="J229" s="78"/>
      <c r="K229" s="78"/>
      <c r="L229" s="15"/>
      <c r="M229" s="11"/>
      <c r="N229" s="11"/>
      <c r="O229" s="11"/>
      <c r="P229" s="11"/>
      <c r="Q229" s="11"/>
      <c r="R229" s="11"/>
      <c r="S229" s="11"/>
      <c r="T229" s="11"/>
      <c r="U229" s="11"/>
      <c r="V229" s="11"/>
      <c r="W229" s="11"/>
      <c r="X229" s="11"/>
      <c r="Y229" s="11"/>
      <c r="Z229" s="546">
        <f t="shared" si="125"/>
        <v>0</v>
      </c>
      <c r="AA229" s="546">
        <f t="shared" si="125"/>
        <v>0</v>
      </c>
      <c r="AB229" s="33"/>
      <c r="AC229" s="33"/>
      <c r="AD229" s="33"/>
      <c r="AE229" s="33"/>
      <c r="AF229" s="33"/>
      <c r="AG229" s="33"/>
      <c r="AH229" s="33"/>
      <c r="AI229" s="33"/>
      <c r="AJ229" s="570">
        <f t="shared" si="126"/>
        <v>0</v>
      </c>
      <c r="AK229" s="349"/>
      <c r="AL229" s="100"/>
      <c r="AM229" s="136"/>
      <c r="AN229" s="421"/>
      <c r="AO229" s="330">
        <v>253</v>
      </c>
    </row>
    <row r="230" spans="1:45" ht="30.75" customHeight="1" thickBot="1" x14ac:dyDescent="0.65">
      <c r="A230" s="828" t="s">
        <v>770</v>
      </c>
      <c r="B230" s="771" t="s">
        <v>656</v>
      </c>
      <c r="C230" s="387" t="s">
        <v>117</v>
      </c>
      <c r="D230" s="77"/>
      <c r="E230" s="75"/>
      <c r="F230" s="75"/>
      <c r="G230" s="75"/>
      <c r="H230" s="75"/>
      <c r="I230" s="75"/>
      <c r="J230" s="75"/>
      <c r="K230" s="43"/>
      <c r="L230" s="76"/>
      <c r="M230" s="43"/>
      <c r="N230" s="76"/>
      <c r="O230" s="43"/>
      <c r="P230" s="76"/>
      <c r="Q230" s="43"/>
      <c r="R230" s="76"/>
      <c r="S230" s="43"/>
      <c r="T230" s="76"/>
      <c r="U230" s="43"/>
      <c r="V230" s="76"/>
      <c r="W230" s="43"/>
      <c r="X230" s="76"/>
      <c r="Y230" s="43"/>
      <c r="Z230" s="76"/>
      <c r="AA230" s="79"/>
      <c r="AB230" s="73"/>
      <c r="AC230" s="74"/>
      <c r="AD230" s="74"/>
      <c r="AE230" s="74"/>
      <c r="AF230" s="74"/>
      <c r="AG230" s="74"/>
      <c r="AH230" s="74"/>
      <c r="AI230" s="71"/>
      <c r="AJ230" s="575">
        <f t="shared" ref="AJ230:AJ263" si="127">SUM(D230:AA230)</f>
        <v>0</v>
      </c>
      <c r="AK230" s="349" t="str">
        <f>CONCATENATE(IF(D230&gt;D224," * F07-02 for Age "&amp;D6&amp;" "&amp;D7&amp;" is more than F07-01"&amp;CHAR(10),""),IF(E230&gt;E224," * F07-02 for Age "&amp;D6&amp;" "&amp;E7&amp;" is more than F07-01"&amp;CHAR(10),""),IF(F230&gt;F224," * F07-02 for Age "&amp;F6&amp;" "&amp;F7&amp;" is more than F07-01"&amp;CHAR(10),""),IF(G230&gt;G224," * F07-02 for Age "&amp;F6&amp;" "&amp;G7&amp;" is more than F07-01"&amp;CHAR(10),""),IF(H230&gt;H224," * F07-02 for Age "&amp;H6&amp;" "&amp;H7&amp;" is more than F07-01"&amp;CHAR(10),""),IF(I230&gt;I224," * F07-02 for Age "&amp;H6&amp;" "&amp;I7&amp;" is more than F07-01"&amp;CHAR(10),""),IF(J230&gt;J224," * F07-02 for Age "&amp;J6&amp;" "&amp;J7&amp;" is more than F07-01"&amp;CHAR(10),""),IF(K230&gt;K224," * F07-02 for Age "&amp;J6&amp;" "&amp;K7&amp;" is more than F07-01"&amp;CHAR(10),""),IF(L230&gt;L224," * F07-02 for Age "&amp;L6&amp;" "&amp;L7&amp;" is more than F07-01"&amp;CHAR(10),""),IF(M230&gt;M224," * F07-02 for Age "&amp;L6&amp;" "&amp;M7&amp;" is more than F07-01"&amp;CHAR(10),""),IF(N230&gt;N224," * F07-02 for Age "&amp;N6&amp;" "&amp;N7&amp;" is more than F07-01"&amp;CHAR(10),""),IF(O230&gt;O224," * F07-02 for Age "&amp;N6&amp;" "&amp;O7&amp;" is more than F07-01"&amp;CHAR(10),""),IF(P230&gt;P224," * F07-02 for Age "&amp;P6&amp;" "&amp;P7&amp;" is more than F07-01"&amp;CHAR(10),""),IF(Q230&gt;Q224," * F07-02 for Age "&amp;P6&amp;" "&amp;Q7&amp;" is more than F07-01"&amp;CHAR(10),""),IF(R230&gt;R224," * F07-02 for Age "&amp;R6&amp;" "&amp;R7&amp;" is more than F07-01"&amp;CHAR(10),""),IF(S230&gt;S224," * F07-02 for Age "&amp;R6&amp;" "&amp;S7&amp;" is more than F07-01"&amp;CHAR(10),""),IF(T230&gt;T224," * F07-02 for Age "&amp;T6&amp;" "&amp;T7&amp;" is more than F07-01"&amp;CHAR(10),""),IF(U230&gt;U224," * F07-02 for Age "&amp;T6&amp;" "&amp;U7&amp;" is more than F07-01"&amp;CHAR(10),""),IF(V230&gt;V224," * F07-02 for Age "&amp;V6&amp;" "&amp;V7&amp;" is more than F07-01"&amp;CHAR(10),""),IF(W230&gt;W224," * F07-02 for Age "&amp;V6&amp;" "&amp;W7&amp;" is more than F07-01"&amp;CHAR(10),""),IF(X230&gt;X224," * F07-02 for Age "&amp;X6&amp;" "&amp;X7&amp;" is more than F07-01"&amp;CHAR(10),""),IF(Y230&gt;Y224," * F07-02 for Age "&amp;X6&amp;" "&amp;Y7&amp;" is more than F07-01"&amp;CHAR(10),""),IF(Z230&gt;Z224," * F07-02 for Age "&amp;Z6&amp;" "&amp;Z7&amp;" is more than F07-01"&amp;CHAR(10),""),IF(AA230&gt;AA224," * F07-02 for Age "&amp;Z6&amp;" "&amp;AA7&amp;" is more than F07-01"&amp;CHAR(10),""),IF(AJ230&gt;AJ224," * Total F07-02 is more than Total F07-01"&amp;CHAR(10),""))</f>
        <v/>
      </c>
      <c r="AL230" s="100"/>
      <c r="AM230" s="138" t="str">
        <f>CONCATENATE(IF(AND(AJ224&gt;0,OR(SUM(AJ14,AJ22,AJ28,AJ34,AJ40,AJ46,AJ52,AJ88,AJ73,AJ153,AJ161,AJ165,AJ169)=0,SUM(AJ13,AJ21,AJ27,AJ33,AJ39,AJ45,AJ51,AJ87,AJ72,AJ152,AJ160,AJ164,AJ168)=0))," * This site started patients on ART yet it has 0 positives or zero tested "&amp;CHAR(10),""),"")</f>
        <v/>
      </c>
      <c r="AN230" s="421"/>
      <c r="AO230" s="330">
        <v>254</v>
      </c>
    </row>
    <row r="231" spans="1:45" ht="31.5" thickBot="1" x14ac:dyDescent="0.65">
      <c r="A231" s="861" t="s">
        <v>657</v>
      </c>
      <c r="B231" s="719" t="s">
        <v>544</v>
      </c>
      <c r="C231" s="160" t="s">
        <v>355</v>
      </c>
      <c r="D231" s="563">
        <f t="shared" ref="D231:AI231" si="128">SUM(D232:D234)</f>
        <v>0</v>
      </c>
      <c r="E231" s="563">
        <f t="shared" si="128"/>
        <v>0</v>
      </c>
      <c r="F231" s="563">
        <f t="shared" si="128"/>
        <v>0</v>
      </c>
      <c r="G231" s="563">
        <f t="shared" si="128"/>
        <v>0</v>
      </c>
      <c r="H231" s="563">
        <f t="shared" si="128"/>
        <v>0</v>
      </c>
      <c r="I231" s="563">
        <f t="shared" si="128"/>
        <v>0</v>
      </c>
      <c r="J231" s="563">
        <f t="shared" si="128"/>
        <v>0</v>
      </c>
      <c r="K231" s="563">
        <f t="shared" si="128"/>
        <v>0</v>
      </c>
      <c r="L231" s="563">
        <f t="shared" si="128"/>
        <v>0</v>
      </c>
      <c r="M231" s="563">
        <f t="shared" si="128"/>
        <v>0</v>
      </c>
      <c r="N231" s="563">
        <f t="shared" si="128"/>
        <v>0</v>
      </c>
      <c r="O231" s="563">
        <f t="shared" si="128"/>
        <v>0</v>
      </c>
      <c r="P231" s="563">
        <f t="shared" si="128"/>
        <v>0</v>
      </c>
      <c r="Q231" s="563">
        <f t="shared" si="128"/>
        <v>0</v>
      </c>
      <c r="R231" s="563">
        <f t="shared" si="128"/>
        <v>0</v>
      </c>
      <c r="S231" s="563">
        <f t="shared" si="128"/>
        <v>0</v>
      </c>
      <c r="T231" s="563">
        <f t="shared" si="128"/>
        <v>0</v>
      </c>
      <c r="U231" s="563">
        <f t="shared" si="128"/>
        <v>0</v>
      </c>
      <c r="V231" s="563">
        <f t="shared" si="128"/>
        <v>0</v>
      </c>
      <c r="W231" s="563">
        <f t="shared" si="128"/>
        <v>0</v>
      </c>
      <c r="X231" s="563">
        <f t="shared" si="128"/>
        <v>0</v>
      </c>
      <c r="Y231" s="563">
        <f t="shared" si="128"/>
        <v>0</v>
      </c>
      <c r="Z231" s="546">
        <f>SUM(AB231,AD231,AF231,AH231)</f>
        <v>0</v>
      </c>
      <c r="AA231" s="546">
        <f>SUM(AC231,AE231,AG231,AI231)</f>
        <v>0</v>
      </c>
      <c r="AB231" s="563">
        <f t="shared" si="128"/>
        <v>0</v>
      </c>
      <c r="AC231" s="563">
        <f t="shared" si="128"/>
        <v>0</v>
      </c>
      <c r="AD231" s="563">
        <f t="shared" si="128"/>
        <v>0</v>
      </c>
      <c r="AE231" s="563">
        <f t="shared" si="128"/>
        <v>0</v>
      </c>
      <c r="AF231" s="563">
        <f t="shared" si="128"/>
        <v>0</v>
      </c>
      <c r="AG231" s="563">
        <f t="shared" si="128"/>
        <v>0</v>
      </c>
      <c r="AH231" s="563">
        <f t="shared" si="128"/>
        <v>0</v>
      </c>
      <c r="AI231" s="563">
        <f t="shared" si="128"/>
        <v>0</v>
      </c>
      <c r="AJ231" s="567">
        <f t="shared" ref="AJ231:AJ234" si="129">SUM(D231:AA231)</f>
        <v>0</v>
      </c>
      <c r="AK231" s="349" t="str">
        <f>CONCATENATE(IF(D231&lt;&gt;D224," * starting ART disaggregation by CD4 For age "&amp;$D$6&amp;" "&amp;$D$7&amp;" should be equal to Total Patients starting ART"&amp;CHAR(10),""),IF(E231&lt;&gt;E224," * starting ART disaggregation by CD4 For age "&amp;$D$6&amp;" "&amp;$E$7&amp;" should be equal to Total Patients starting ART"&amp;CHAR(10),""),IF(F231&lt;&gt;F224," * starting ART disaggregation by CD4 For age "&amp;$F$6&amp;" "&amp;$F$7&amp;" should be equal to Total Patients starting ART"&amp;CHAR(10),""),IF(G231&lt;&gt;G224," * starting ART disaggregation by CD4 For age "&amp;$F$6&amp;" "&amp;$G$7&amp;" should be equal to Total Patients starting ART"&amp;CHAR(10),""),IF(H231&lt;&gt;H224," * starting ART disaggregation by CD4 For age "&amp;$H$6&amp;" "&amp;$H$7&amp;" should be equal to Total Patients starting ART"&amp;CHAR(10),""),IF(I231&lt;&gt;I224," * starting ART disaggregation by CD4 For age "&amp;$H$6&amp;" "&amp;$I$7&amp;" should be equal to Total Patients starting ART"&amp;CHAR(10),""),IF(J231&lt;&gt;J224," * starting ART disaggregation by CD4 For age "&amp;$J$6&amp;" "&amp;$J$7&amp;" should be equal to Total Patients starting ART"&amp;CHAR(10),""),IF(K231&lt;&gt;K224," * starting ART disaggregation by CD4 For age "&amp;$J$6&amp;" "&amp;$K$7&amp;" should be equal to Total Patients starting ART"&amp;CHAR(10),""),IF(L231&lt;&gt;L224," * starting ART disaggregation by CD4 For age "&amp;$L$6&amp;" "&amp;$L$7&amp;" should be equal to Total Patients starting ART"&amp;CHAR(10),""),IF(M231&lt;&gt;M224," * starting ART disaggregation by CD4 For age "&amp;$L$6&amp;" "&amp;$M$7&amp;" should be equal to Total Patients starting ART"&amp;CHAR(10),""),IF(N231&lt;&gt;N224," * starting ART disaggregation by CD4 For age "&amp;$N$6&amp;" "&amp;$N$7&amp;" should be equal to Total Patients starting ART"&amp;CHAR(10),""),IF(O231&lt;&gt;O224," * starting ART disaggregation by CD4 For age "&amp;$N$6&amp;" "&amp;$O$7&amp;" should be equal to Total Patients starting ART"&amp;CHAR(10),""),IF(P231&lt;&gt;P224," * starting ART disaggregation by CD4 For age "&amp;$P$6&amp;" "&amp;$P$7&amp;" should be equal to Total Patients starting ART"&amp;CHAR(10),""),IF(Q231&lt;&gt;Q224," * starting ART disaggregation by CD4 For age "&amp;$P$6&amp;" "&amp;$Q$7&amp;" should be equal to Total Patients starting ART"&amp;CHAR(10),""),IF(R231&lt;&gt;R224," * starting ART disaggregation by CD4 For age "&amp;$R$6&amp;" "&amp;$R$7&amp;" should be equal to Total Patients starting ART"&amp;CHAR(10),""),IF(S231&lt;&gt;S224," * starting ART disaggregation by CD4 For age "&amp;$R$6&amp;" "&amp;$S$7&amp;" should be equal to Total Patients starting ART"&amp;CHAR(10),""),IF(T231&lt;&gt;T224," * starting ART disaggregation by CD4 For age "&amp;$T$6&amp;" "&amp;$T$7&amp;" should be equal to Total Patients starting ART"&amp;CHAR(10),""),IF(U231&lt;&gt;U224," * starting ART disaggregation by CD4 For age "&amp;$T$6&amp;" "&amp;$U$7&amp;" should be equal to Total Patients starting ART"&amp;CHAR(10),""),IF(V231&lt;&gt;V224," * starting ART disaggregation by CD4 For age "&amp;$V$6&amp;" "&amp;$V$7&amp;" should be equal to Total Patients starting ART"&amp;CHAR(10),""),IF(W231&lt;&gt;W224," * starting ART disaggregation by CD4 For age "&amp;$V$6&amp;" "&amp;$W$7&amp;" should be equal to Total Patients starting ART"&amp;CHAR(10),""),IF(X231&lt;&gt;X224," * starting ART disaggregation by CD4 For age "&amp;$X$6&amp;" "&amp;$X$7&amp;" should be equal to Total Patients starting ART"&amp;CHAR(10),""),IF(Y231&lt;&gt;Y224," * starting ART disaggregation by CD4 For age "&amp;$X$6&amp;" "&amp;$Y$7&amp;" should be equal to Total Patients starting ART"&amp;CHAR(10),""),IF(Z231&lt;&gt;Z224," * starting ART disaggregation by CD4 For age "&amp;$Z$6&amp;" "&amp;$Z$7&amp;" should be equal to Total Patients starting ART"&amp;CHAR(10),""),IF(AA231&lt;&gt;AA224," * starting ART disaggregation by CD4 For age "&amp;$Z$6&amp;" "&amp;$AA$7&amp;" should be equal to Total Patients starting ART"&amp;CHAR(10),""))</f>
        <v/>
      </c>
      <c r="AL231" s="100"/>
      <c r="AM231" s="138"/>
      <c r="AN231" s="421"/>
      <c r="AO231" s="330">
        <v>255</v>
      </c>
    </row>
    <row r="232" spans="1:45" x14ac:dyDescent="0.6">
      <c r="A232" s="862"/>
      <c r="B232" s="766" t="s">
        <v>500</v>
      </c>
      <c r="C232" s="566" t="s">
        <v>502</v>
      </c>
      <c r="D232" s="72"/>
      <c r="E232" s="72"/>
      <c r="F232" s="72"/>
      <c r="G232" s="72"/>
      <c r="H232" s="21"/>
      <c r="I232" s="63"/>
      <c r="J232" s="9"/>
      <c r="K232" s="9"/>
      <c r="L232" s="9"/>
      <c r="M232" s="9"/>
      <c r="N232" s="9"/>
      <c r="O232" s="9"/>
      <c r="P232" s="9"/>
      <c r="Q232" s="9"/>
      <c r="R232" s="9"/>
      <c r="S232" s="9"/>
      <c r="T232" s="9"/>
      <c r="U232" s="9"/>
      <c r="V232" s="9"/>
      <c r="W232" s="9"/>
      <c r="X232" s="9"/>
      <c r="Y232" s="9"/>
      <c r="Z232" s="44">
        <f t="shared" ref="Z232:AA235" si="130">SUM(AB232,AD232,AF232,AH232)</f>
        <v>0</v>
      </c>
      <c r="AA232" s="44">
        <f>SUM(AC232,AE232,AG232,AI232)</f>
        <v>0</v>
      </c>
      <c r="AB232" s="33"/>
      <c r="AC232" s="33"/>
      <c r="AD232" s="33"/>
      <c r="AE232" s="33"/>
      <c r="AF232" s="33"/>
      <c r="AG232" s="33"/>
      <c r="AH232" s="33"/>
      <c r="AI232" s="33"/>
      <c r="AJ232" s="567">
        <f t="shared" si="129"/>
        <v>0</v>
      </c>
      <c r="AK232" s="349"/>
      <c r="AL232" s="100"/>
      <c r="AM232" s="138"/>
      <c r="AN232" s="421"/>
      <c r="AO232" s="330"/>
    </row>
    <row r="233" spans="1:45" x14ac:dyDescent="0.6">
      <c r="A233" s="862"/>
      <c r="B233" s="766" t="s">
        <v>505</v>
      </c>
      <c r="C233" s="396" t="s">
        <v>503</v>
      </c>
      <c r="D233" s="72"/>
      <c r="E233" s="72"/>
      <c r="F233" s="72"/>
      <c r="G233" s="72"/>
      <c r="H233" s="21"/>
      <c r="I233" s="9"/>
      <c r="J233" s="9"/>
      <c r="K233" s="9"/>
      <c r="L233" s="9"/>
      <c r="M233" s="9"/>
      <c r="N233" s="9"/>
      <c r="O233" s="9"/>
      <c r="P233" s="9"/>
      <c r="Q233" s="9"/>
      <c r="R233" s="9"/>
      <c r="S233" s="9"/>
      <c r="T233" s="9"/>
      <c r="U233" s="9"/>
      <c r="V233" s="9"/>
      <c r="W233" s="9"/>
      <c r="X233" s="9"/>
      <c r="Y233" s="9"/>
      <c r="Z233" s="44">
        <f t="shared" si="130"/>
        <v>0</v>
      </c>
      <c r="AA233" s="44">
        <f t="shared" si="130"/>
        <v>0</v>
      </c>
      <c r="AB233" s="33"/>
      <c r="AC233" s="33"/>
      <c r="AD233" s="33"/>
      <c r="AE233" s="33"/>
      <c r="AF233" s="33"/>
      <c r="AG233" s="33"/>
      <c r="AH233" s="33"/>
      <c r="AI233" s="33"/>
      <c r="AJ233" s="567">
        <f t="shared" si="129"/>
        <v>0</v>
      </c>
      <c r="AK233" s="349"/>
      <c r="AL233" s="100"/>
      <c r="AM233" s="138"/>
      <c r="AN233" s="421"/>
      <c r="AO233" s="330"/>
    </row>
    <row r="234" spans="1:45" ht="33" customHeight="1" thickBot="1" x14ac:dyDescent="0.65">
      <c r="A234" s="863"/>
      <c r="B234" s="766" t="s">
        <v>501</v>
      </c>
      <c r="C234" s="392" t="s">
        <v>504</v>
      </c>
      <c r="D234" s="15"/>
      <c r="E234" s="15"/>
      <c r="F234" s="15"/>
      <c r="G234" s="15"/>
      <c r="H234" s="15"/>
      <c r="I234" s="11"/>
      <c r="J234" s="11"/>
      <c r="K234" s="11"/>
      <c r="L234" s="11"/>
      <c r="M234" s="11"/>
      <c r="N234" s="11"/>
      <c r="O234" s="11"/>
      <c r="P234" s="11"/>
      <c r="Q234" s="11"/>
      <c r="R234" s="11"/>
      <c r="S234" s="11"/>
      <c r="T234" s="11"/>
      <c r="U234" s="11"/>
      <c r="V234" s="11"/>
      <c r="W234" s="11"/>
      <c r="X234" s="11"/>
      <c r="Y234" s="60"/>
      <c r="Z234" s="44">
        <f t="shared" si="130"/>
        <v>0</v>
      </c>
      <c r="AA234" s="44">
        <f t="shared" si="130"/>
        <v>0</v>
      </c>
      <c r="AB234" s="33"/>
      <c r="AC234" s="33"/>
      <c r="AD234" s="33"/>
      <c r="AE234" s="33"/>
      <c r="AF234" s="33"/>
      <c r="AG234" s="33"/>
      <c r="AH234" s="33"/>
      <c r="AI234" s="33"/>
      <c r="AJ234" s="567">
        <f t="shared" si="129"/>
        <v>0</v>
      </c>
      <c r="AK234" s="349"/>
      <c r="AL234" s="100"/>
      <c r="AM234" s="138"/>
      <c r="AN234" s="421"/>
      <c r="AO234" s="330"/>
    </row>
    <row r="235" spans="1:45" s="10" customFormat="1" ht="33" customHeight="1" thickBot="1" x14ac:dyDescent="0.6">
      <c r="A235" s="375" t="s">
        <v>658</v>
      </c>
      <c r="B235" s="770" t="s">
        <v>343</v>
      </c>
      <c r="C235" s="387" t="s">
        <v>119</v>
      </c>
      <c r="D235" s="576">
        <f t="shared" ref="D235:Y235" si="131">SUM(D236:D240)</f>
        <v>0</v>
      </c>
      <c r="E235" s="576">
        <f t="shared" si="131"/>
        <v>0</v>
      </c>
      <c r="F235" s="576">
        <f t="shared" si="131"/>
        <v>0</v>
      </c>
      <c r="G235" s="576">
        <f t="shared" si="131"/>
        <v>0</v>
      </c>
      <c r="H235" s="576">
        <f t="shared" si="131"/>
        <v>0</v>
      </c>
      <c r="I235" s="576">
        <f t="shared" si="131"/>
        <v>0</v>
      </c>
      <c r="J235" s="576">
        <f t="shared" si="131"/>
        <v>0</v>
      </c>
      <c r="K235" s="576">
        <f t="shared" si="131"/>
        <v>0</v>
      </c>
      <c r="L235" s="576">
        <f t="shared" si="131"/>
        <v>0</v>
      </c>
      <c r="M235" s="576">
        <f t="shared" si="131"/>
        <v>0</v>
      </c>
      <c r="N235" s="576">
        <f t="shared" si="131"/>
        <v>0</v>
      </c>
      <c r="O235" s="576">
        <f t="shared" si="131"/>
        <v>0</v>
      </c>
      <c r="P235" s="576">
        <f t="shared" si="131"/>
        <v>0</v>
      </c>
      <c r="Q235" s="576">
        <f t="shared" si="131"/>
        <v>0</v>
      </c>
      <c r="R235" s="576">
        <f t="shared" si="131"/>
        <v>0</v>
      </c>
      <c r="S235" s="576">
        <f t="shared" si="131"/>
        <v>0</v>
      </c>
      <c r="T235" s="576">
        <f t="shared" si="131"/>
        <v>0</v>
      </c>
      <c r="U235" s="576">
        <f t="shared" si="131"/>
        <v>0</v>
      </c>
      <c r="V235" s="576">
        <f t="shared" si="131"/>
        <v>0</v>
      </c>
      <c r="W235" s="576">
        <f t="shared" si="131"/>
        <v>0</v>
      </c>
      <c r="X235" s="576">
        <f t="shared" si="131"/>
        <v>0</v>
      </c>
      <c r="Y235" s="576">
        <f t="shared" si="131"/>
        <v>0</v>
      </c>
      <c r="Z235" s="577">
        <f t="shared" si="130"/>
        <v>0</v>
      </c>
      <c r="AA235" s="577">
        <f t="shared" si="130"/>
        <v>0</v>
      </c>
      <c r="AB235" s="576">
        <f t="shared" ref="AB235:AJ235" si="132">SUM(AB236:AB240)</f>
        <v>0</v>
      </c>
      <c r="AC235" s="576">
        <f t="shared" si="132"/>
        <v>0</v>
      </c>
      <c r="AD235" s="576">
        <f t="shared" si="132"/>
        <v>0</v>
      </c>
      <c r="AE235" s="576">
        <f t="shared" si="132"/>
        <v>0</v>
      </c>
      <c r="AF235" s="576">
        <f t="shared" si="132"/>
        <v>0</v>
      </c>
      <c r="AG235" s="576">
        <f t="shared" si="132"/>
        <v>0</v>
      </c>
      <c r="AH235" s="576">
        <f t="shared" si="132"/>
        <v>0</v>
      </c>
      <c r="AI235" s="576">
        <f t="shared" si="132"/>
        <v>0</v>
      </c>
      <c r="AJ235" s="578">
        <f t="shared" si="132"/>
        <v>0</v>
      </c>
      <c r="AK235" s="579" t="str">
        <f>CONCATENATE(IF(D235&lt;&gt;D247,""&amp;CHAR(10)&amp;"  * Current on ART by month of dispense F07-16 for age "&amp;D222&amp;" "&amp;D223&amp;" is not equal to Clients current On ART F07-03 age  "&amp;D222&amp;" "&amp;D223&amp;"",""),IF(E235&lt;&gt;E247,""&amp;CHAR(10)&amp;"  * Current on ART by month of dispense F07-16 for age "&amp;D222&amp;" "&amp;E223&amp;" is not equal to Clients current On ART F07-03 age  "&amp;D222&amp;" "&amp;E223&amp;"",""),IF(F235&lt;&gt;F247,""&amp;CHAR(10)&amp;"  * Current on ART by month of dispense F07-16 for age "&amp;F222&amp;" "&amp;F223&amp;" is not equal to Clients current On ART F07-03 age  "&amp;F222&amp;" "&amp;F223&amp;"",""),IF(G235&lt;&gt;G247,""&amp;CHAR(10)&amp;"  * Current on ART by month of dispense F07-16 for age "&amp;F222&amp;" "&amp;G223&amp;" is not equal to Clients current On ART F07-03 age  "&amp;F222&amp;" "&amp;G223&amp;"",""),IF(H235&lt;&gt;H247,""&amp;CHAR(10)&amp;"  * Current on ART by month of dispense F07-16 for age "&amp;H222&amp;" "&amp;H223&amp;" is not equal to Clients current On ART F07-03 age  "&amp;H222&amp;" "&amp;H223&amp;"",""),IF(I235&lt;&gt;I247,""&amp;CHAR(10)&amp;"  * Current on ART by month of dispense F07-16 for age "&amp;H222&amp;" "&amp;I223&amp;" is not equal to Clients current On ART F07-03 age  "&amp;H222&amp;" "&amp;I223&amp;"",""),IF(J235&lt;&gt;J247,""&amp;CHAR(10)&amp;"  * Current on ART by month of dispense F07-16 for age "&amp;J222&amp;" "&amp;J223&amp;" is not equal to Clients current On ART F07-03 age  "&amp;J222&amp;" "&amp;J223&amp;"",""),IF(K235&lt;&gt;K247,""&amp;CHAR(10)&amp;"  * Current on ART by month of dispense F07-16 for age "&amp;J222&amp;" "&amp;K223&amp;" is not equal to Clients current On ART F07-03 age  "&amp;J222&amp;" "&amp;K223&amp;"",""),IF(L235&lt;&gt;L247,""&amp;CHAR(10)&amp;"  * Current on ART by month of dispense F07-16 for age "&amp;L222&amp;" "&amp;L223&amp;" is not equal to Clients current On ART F07-03 age  "&amp;L222&amp;" "&amp;L223&amp;"",""),IF(M235&lt;&gt;M247,""&amp;CHAR(10)&amp;"  * Current on ART by month of dispense F07-16 for age "&amp;L222&amp;" "&amp;M223&amp;" is not equal to Clients current On ART F07-03 age  "&amp;L222&amp;" "&amp;M223&amp;"",""),IF(N235&lt;&gt;N247,""&amp;CHAR(10)&amp;"  * Current on ART by month of dispense F07-16 for age "&amp;N222&amp;" "&amp;N223&amp;" is not equal to Clients current On ART F07-03 age  "&amp;N222&amp;" "&amp;N223&amp;"",""),IF(O235&lt;&gt;O247,""&amp;CHAR(10)&amp;"  * Current on ART by month of dispense F07-16 for age "&amp;N222&amp;" "&amp;O223&amp;" is not equal to Clients current On ART F07-03 age  "&amp;N222&amp;" "&amp;O223&amp;"",""),IF(P235&lt;&gt;P247,""&amp;CHAR(10)&amp;"  * Current on ART by month of dispense F07-16 for age "&amp;P222&amp;" "&amp;P223&amp;" is not equal to Clients current On ART F07-03 age  "&amp;P222&amp;" "&amp;P223&amp;"",""),IF(Q235&lt;&gt;Q247,""&amp;CHAR(10)&amp;"  * Current on ART by month of dispense F07-16 for age "&amp;P222&amp;" "&amp;Q223&amp;" is not equal to Clients current On ART F07-03 age  "&amp;P222&amp;" "&amp;Q223&amp;"",""),IF(R235&lt;&gt;R247,""&amp;CHAR(10)&amp;"  * Current on ART by month of dispense F07-16 for age "&amp;R222&amp;" "&amp;R223&amp;" is not equal to Clients current On ART F07-03 age  "&amp;R222&amp;" "&amp;R223&amp;"",""),IF(S235&lt;&gt;S247,""&amp;CHAR(10)&amp;"  * Current on ART by month of dispense F07-16 for age "&amp;R222&amp;" "&amp;S223&amp;" is not equal to Clients current On ART F07-03 age  "&amp;R222&amp;" "&amp;S223&amp;"",""),IF(T235&lt;&gt;T247,""&amp;CHAR(10)&amp;"  * Current on ART by month of dispense F07-16 for age "&amp;T222&amp;" "&amp;T223&amp;" is not equal to Clients current On ART F07-03 age  "&amp;T222&amp;" "&amp;T223&amp;"",""),IF(U235&lt;&gt;U247,""&amp;CHAR(10)&amp;"  * Current on ART by month of dispense F07-16 for age "&amp;T222&amp;" "&amp;U223&amp;" is not equal to Clients current On ART F07-03 age  "&amp;T222&amp;" "&amp;U223&amp;"",""),IF(V235&lt;&gt;V247,""&amp;CHAR(10)&amp;"  * Current on ART by month of dispense F07-16 for age "&amp;V222&amp;" "&amp;V223&amp;" is not equal to Clients current On ART F07-03 age  "&amp;V222&amp;" "&amp;V223&amp;"",""),IF(W235&lt;&gt;W247,""&amp;CHAR(10)&amp;"  * Current on ART by month of dispense F07-16 for age "&amp;V222&amp;" "&amp;W223&amp;" is not equal to Clients current On ART F07-03 age  "&amp;V222&amp;" "&amp;W223&amp;"",""),IF(X235&lt;&gt;X247,""&amp;CHAR(10)&amp;"  * Current on ART by month of dispense F07-16 for age "&amp;X222&amp;" "&amp;X223&amp;" is not equal to Clients current On ART F07-03 age  "&amp;X222&amp;" "&amp;X223&amp;"",""),IF(Y235&lt;&gt;Y247,""&amp;CHAR(10)&amp;"  * Current on ART by month of dispense F07-16 for age "&amp;X222&amp;" "&amp;Y223&amp;" is not equal to Clients current On ART F07-03 age  "&amp;X222&amp;" "&amp;Y223&amp;"",""),IF(Z235&lt;&gt;Z247,""&amp;CHAR(10)&amp;"  * Current on ART by month of dispense F07-16 for age "&amp;Z222&amp;" "&amp;Z223&amp;" is not equal to Clients current On ART F07-03 age  "&amp;Z222&amp;" "&amp;Z223&amp;"",""),IF(AA235&lt;&gt;AA247,""&amp;CHAR(10)&amp;"  * Current on ART by month of dispense F07-16 for age "&amp;Z222&amp;" "&amp;AA223&amp;" is not equal to Clients current On ART F07-03 age  "&amp;Z222&amp;" "&amp;AA223&amp;"",""))</f>
        <v/>
      </c>
      <c r="AL235" s="100"/>
      <c r="AM235" s="580"/>
      <c r="AN235" s="421"/>
      <c r="AO235" s="581">
        <v>257</v>
      </c>
      <c r="AQ235" s="1047"/>
      <c r="AR235" s="1047"/>
      <c r="AS235" s="1047"/>
    </row>
    <row r="236" spans="1:45" x14ac:dyDescent="0.6">
      <c r="A236" s="933" t="s">
        <v>659</v>
      </c>
      <c r="B236" s="772" t="s">
        <v>161</v>
      </c>
      <c r="C236" s="411" t="s">
        <v>162</v>
      </c>
      <c r="D236" s="51"/>
      <c r="E236" s="8"/>
      <c r="F236" s="8"/>
      <c r="G236" s="8"/>
      <c r="H236" s="8"/>
      <c r="I236" s="8"/>
      <c r="J236" s="8"/>
      <c r="K236" s="8"/>
      <c r="L236" s="8"/>
      <c r="M236" s="8"/>
      <c r="N236" s="8"/>
      <c r="O236" s="8"/>
      <c r="P236" s="8"/>
      <c r="Q236" s="8"/>
      <c r="R236" s="8"/>
      <c r="S236" s="8"/>
      <c r="T236" s="8"/>
      <c r="U236" s="8"/>
      <c r="V236" s="8"/>
      <c r="W236" s="8"/>
      <c r="X236" s="8"/>
      <c r="Y236" s="32"/>
      <c r="Z236" s="50">
        <f t="shared" ref="Z236:Z246" si="133">SUM(AB236,AD236,AF236,AH236)</f>
        <v>0</v>
      </c>
      <c r="AA236" s="50">
        <f t="shared" ref="AA236:AA246" si="134">SUM(AC236,AE236,AG236,AI236)</f>
        <v>0</v>
      </c>
      <c r="AB236" s="52"/>
      <c r="AC236" s="32"/>
      <c r="AD236" s="32"/>
      <c r="AE236" s="32"/>
      <c r="AF236" s="32"/>
      <c r="AG236" s="32"/>
      <c r="AH236" s="32"/>
      <c r="AI236" s="32"/>
      <c r="AJ236" s="584">
        <f t="shared" si="127"/>
        <v>0</v>
      </c>
      <c r="AK236" s="349"/>
      <c r="AL236" s="100"/>
      <c r="AM236" s="136"/>
      <c r="AN236" s="421"/>
      <c r="AO236" s="330">
        <v>258</v>
      </c>
    </row>
    <row r="237" spans="1:45" x14ac:dyDescent="0.6">
      <c r="A237" s="934"/>
      <c r="B237" s="766" t="s">
        <v>157</v>
      </c>
      <c r="C237" s="127" t="s">
        <v>163</v>
      </c>
      <c r="D237" s="78"/>
      <c r="E237" s="78"/>
      <c r="F237" s="78"/>
      <c r="G237" s="78"/>
      <c r="H237" s="78"/>
      <c r="I237" s="78"/>
      <c r="J237" s="78"/>
      <c r="K237" s="78"/>
      <c r="L237" s="9"/>
      <c r="M237" s="9"/>
      <c r="N237" s="9"/>
      <c r="O237" s="9"/>
      <c r="P237" s="9"/>
      <c r="Q237" s="9"/>
      <c r="R237" s="9"/>
      <c r="S237" s="9"/>
      <c r="T237" s="9"/>
      <c r="U237" s="9"/>
      <c r="V237" s="9"/>
      <c r="W237" s="9"/>
      <c r="X237" s="9"/>
      <c r="Y237" s="33"/>
      <c r="Z237" s="44">
        <f t="shared" si="133"/>
        <v>0</v>
      </c>
      <c r="AA237" s="44">
        <f t="shared" si="134"/>
        <v>0</v>
      </c>
      <c r="AB237" s="38"/>
      <c r="AC237" s="33"/>
      <c r="AD237" s="33"/>
      <c r="AE237" s="33"/>
      <c r="AF237" s="33"/>
      <c r="AG237" s="33"/>
      <c r="AH237" s="33"/>
      <c r="AI237" s="33"/>
      <c r="AJ237" s="585">
        <f t="shared" si="127"/>
        <v>0</v>
      </c>
      <c r="AK237" s="349"/>
      <c r="AL237" s="100"/>
      <c r="AM237" s="136"/>
      <c r="AN237" s="421"/>
      <c r="AO237" s="330">
        <v>259</v>
      </c>
    </row>
    <row r="238" spans="1:45" x14ac:dyDescent="0.6">
      <c r="A238" s="934"/>
      <c r="B238" s="766" t="s">
        <v>158</v>
      </c>
      <c r="C238" s="127" t="s">
        <v>164</v>
      </c>
      <c r="D238" s="78"/>
      <c r="E238" s="78"/>
      <c r="F238" s="78"/>
      <c r="G238" s="78"/>
      <c r="H238" s="78"/>
      <c r="I238" s="78"/>
      <c r="J238" s="78"/>
      <c r="K238" s="78"/>
      <c r="L238" s="9"/>
      <c r="M238" s="78"/>
      <c r="N238" s="9"/>
      <c r="O238" s="78"/>
      <c r="P238" s="9"/>
      <c r="Q238" s="78"/>
      <c r="R238" s="9"/>
      <c r="S238" s="78"/>
      <c r="T238" s="9"/>
      <c r="U238" s="78"/>
      <c r="V238" s="9"/>
      <c r="W238" s="78"/>
      <c r="X238" s="9"/>
      <c r="Y238" s="78"/>
      <c r="Z238" s="44">
        <f t="shared" si="133"/>
        <v>0</v>
      </c>
      <c r="AA238" s="44">
        <f t="shared" si="134"/>
        <v>0</v>
      </c>
      <c r="AB238" s="38"/>
      <c r="AC238" s="33"/>
      <c r="AD238" s="33"/>
      <c r="AE238" s="33"/>
      <c r="AF238" s="33"/>
      <c r="AG238" s="33"/>
      <c r="AH238" s="33"/>
      <c r="AI238" s="33"/>
      <c r="AJ238" s="585">
        <f t="shared" si="127"/>
        <v>0</v>
      </c>
      <c r="AK238" s="349"/>
      <c r="AL238" s="100"/>
      <c r="AM238" s="136"/>
      <c r="AN238" s="421"/>
      <c r="AO238" s="330">
        <v>260</v>
      </c>
    </row>
    <row r="239" spans="1:45" x14ac:dyDescent="0.6">
      <c r="A239" s="934"/>
      <c r="B239" s="766" t="s">
        <v>159</v>
      </c>
      <c r="C239" s="127" t="s">
        <v>165</v>
      </c>
      <c r="D239" s="78"/>
      <c r="E239" s="78"/>
      <c r="F239" s="78"/>
      <c r="G239" s="78"/>
      <c r="H239" s="78"/>
      <c r="I239" s="78"/>
      <c r="J239" s="78"/>
      <c r="K239" s="78"/>
      <c r="L239" s="78"/>
      <c r="M239" s="9"/>
      <c r="N239" s="78"/>
      <c r="O239" s="9"/>
      <c r="P239" s="78"/>
      <c r="Q239" s="9"/>
      <c r="R239" s="78"/>
      <c r="S239" s="9"/>
      <c r="T239" s="78"/>
      <c r="U239" s="9"/>
      <c r="V239" s="78"/>
      <c r="W239" s="9"/>
      <c r="X239" s="78"/>
      <c r="Y239" s="33"/>
      <c r="Z239" s="44">
        <f t="shared" si="133"/>
        <v>0</v>
      </c>
      <c r="AA239" s="44">
        <f t="shared" si="134"/>
        <v>0</v>
      </c>
      <c r="AB239" s="38"/>
      <c r="AC239" s="33"/>
      <c r="AD239" s="33"/>
      <c r="AE239" s="33"/>
      <c r="AF239" s="33"/>
      <c r="AG239" s="33"/>
      <c r="AH239" s="33"/>
      <c r="AI239" s="33"/>
      <c r="AJ239" s="585">
        <f t="shared" si="127"/>
        <v>0</v>
      </c>
      <c r="AK239" s="349"/>
      <c r="AL239" s="100"/>
      <c r="AM239" s="136"/>
      <c r="AN239" s="421"/>
      <c r="AO239" s="330">
        <v>262</v>
      </c>
    </row>
    <row r="240" spans="1:45" ht="31.5" thickBot="1" x14ac:dyDescent="0.65">
      <c r="A240" s="935"/>
      <c r="B240" s="748" t="s">
        <v>160</v>
      </c>
      <c r="C240" s="337" t="s">
        <v>166</v>
      </c>
      <c r="D240" s="78"/>
      <c r="E240" s="78"/>
      <c r="F240" s="78"/>
      <c r="G240" s="78"/>
      <c r="H240" s="78"/>
      <c r="I240" s="78"/>
      <c r="J240" s="78"/>
      <c r="K240" s="78"/>
      <c r="L240" s="11"/>
      <c r="M240" s="11"/>
      <c r="N240" s="11"/>
      <c r="O240" s="11"/>
      <c r="P240" s="11"/>
      <c r="Q240" s="11"/>
      <c r="R240" s="11"/>
      <c r="S240" s="11"/>
      <c r="T240" s="11"/>
      <c r="U240" s="11"/>
      <c r="V240" s="11"/>
      <c r="W240" s="11"/>
      <c r="X240" s="11"/>
      <c r="Y240" s="34"/>
      <c r="Z240" s="44">
        <f t="shared" si="133"/>
        <v>0</v>
      </c>
      <c r="AA240" s="44">
        <f t="shared" si="134"/>
        <v>0</v>
      </c>
      <c r="AB240" s="40"/>
      <c r="AC240" s="34"/>
      <c r="AD240" s="34"/>
      <c r="AE240" s="34"/>
      <c r="AF240" s="34"/>
      <c r="AG240" s="34"/>
      <c r="AH240" s="34"/>
      <c r="AI240" s="34"/>
      <c r="AJ240" s="586">
        <f t="shared" si="127"/>
        <v>0</v>
      </c>
      <c r="AK240" s="349"/>
      <c r="AL240" s="100"/>
      <c r="AM240" s="136"/>
      <c r="AN240" s="421"/>
      <c r="AO240" s="330">
        <v>263</v>
      </c>
    </row>
    <row r="241" spans="1:45" ht="30.75" customHeight="1" x14ac:dyDescent="0.6">
      <c r="A241" s="861" t="s">
        <v>660</v>
      </c>
      <c r="B241" s="747" t="s">
        <v>192</v>
      </c>
      <c r="C241" s="115" t="s">
        <v>172</v>
      </c>
      <c r="D241" s="41"/>
      <c r="E241" s="12"/>
      <c r="F241" s="12"/>
      <c r="G241" s="12"/>
      <c r="H241" s="12"/>
      <c r="I241" s="12"/>
      <c r="J241" s="12"/>
      <c r="K241" s="12"/>
      <c r="L241" s="12"/>
      <c r="M241" s="12"/>
      <c r="N241" s="12"/>
      <c r="O241" s="12"/>
      <c r="P241" s="12"/>
      <c r="Q241" s="12"/>
      <c r="R241" s="12"/>
      <c r="S241" s="12"/>
      <c r="T241" s="12"/>
      <c r="U241" s="12"/>
      <c r="V241" s="12"/>
      <c r="W241" s="12"/>
      <c r="X241" s="12"/>
      <c r="Y241" s="35"/>
      <c r="Z241" s="44">
        <f t="shared" si="133"/>
        <v>0</v>
      </c>
      <c r="AA241" s="44">
        <f t="shared" si="134"/>
        <v>0</v>
      </c>
      <c r="AB241" s="37"/>
      <c r="AC241" s="35"/>
      <c r="AD241" s="35"/>
      <c r="AE241" s="35"/>
      <c r="AF241" s="35"/>
      <c r="AG241" s="35"/>
      <c r="AH241" s="35"/>
      <c r="AI241" s="35"/>
      <c r="AJ241" s="587">
        <f t="shared" si="127"/>
        <v>0</v>
      </c>
      <c r="AK241" s="349"/>
      <c r="AL241" s="100"/>
      <c r="AM241" s="136"/>
      <c r="AN241" s="421"/>
      <c r="AO241" s="330">
        <v>264</v>
      </c>
    </row>
    <row r="242" spans="1:45" x14ac:dyDescent="0.6">
      <c r="A242" s="862"/>
      <c r="B242" s="766" t="s">
        <v>167</v>
      </c>
      <c r="C242" s="127" t="s">
        <v>173</v>
      </c>
      <c r="D242" s="42"/>
      <c r="E242" s="9"/>
      <c r="F242" s="9"/>
      <c r="G242" s="9"/>
      <c r="H242" s="9"/>
      <c r="I242" s="9"/>
      <c r="J242" s="9"/>
      <c r="K242" s="9"/>
      <c r="L242" s="9"/>
      <c r="M242" s="9"/>
      <c r="N242" s="9"/>
      <c r="O242" s="9"/>
      <c r="P242" s="9"/>
      <c r="Q242" s="9"/>
      <c r="R242" s="9"/>
      <c r="S242" s="9"/>
      <c r="T242" s="9"/>
      <c r="U242" s="9"/>
      <c r="V242" s="9"/>
      <c r="W242" s="9"/>
      <c r="X242" s="9"/>
      <c r="Y242" s="33"/>
      <c r="Z242" s="44">
        <f t="shared" si="133"/>
        <v>0</v>
      </c>
      <c r="AA242" s="44">
        <f t="shared" si="134"/>
        <v>0</v>
      </c>
      <c r="AB242" s="38"/>
      <c r="AC242" s="33"/>
      <c r="AD242" s="33"/>
      <c r="AE242" s="33"/>
      <c r="AF242" s="33"/>
      <c r="AG242" s="33"/>
      <c r="AH242" s="33"/>
      <c r="AI242" s="33"/>
      <c r="AJ242" s="585">
        <f t="shared" si="127"/>
        <v>0</v>
      </c>
      <c r="AK242" s="349"/>
      <c r="AL242" s="100"/>
      <c r="AM242" s="136"/>
      <c r="AN242" s="421"/>
      <c r="AO242" s="330">
        <v>265</v>
      </c>
    </row>
    <row r="243" spans="1:45" x14ac:dyDescent="0.6">
      <c r="A243" s="862"/>
      <c r="B243" s="766" t="s">
        <v>168</v>
      </c>
      <c r="C243" s="127" t="s">
        <v>174</v>
      </c>
      <c r="D243" s="42"/>
      <c r="E243" s="9"/>
      <c r="F243" s="9"/>
      <c r="G243" s="9"/>
      <c r="H243" s="9"/>
      <c r="I243" s="9"/>
      <c r="J243" s="9"/>
      <c r="K243" s="9"/>
      <c r="L243" s="9"/>
      <c r="M243" s="9"/>
      <c r="N243" s="9"/>
      <c r="O243" s="9"/>
      <c r="P243" s="9"/>
      <c r="Q243" s="9"/>
      <c r="R243" s="9"/>
      <c r="S243" s="9"/>
      <c r="T243" s="9"/>
      <c r="U243" s="9"/>
      <c r="V243" s="9"/>
      <c r="W243" s="9"/>
      <c r="X243" s="9"/>
      <c r="Y243" s="33"/>
      <c r="Z243" s="44">
        <f t="shared" si="133"/>
        <v>0</v>
      </c>
      <c r="AA243" s="44">
        <f t="shared" si="134"/>
        <v>0</v>
      </c>
      <c r="AB243" s="38"/>
      <c r="AC243" s="33"/>
      <c r="AD243" s="33"/>
      <c r="AE243" s="33"/>
      <c r="AF243" s="33"/>
      <c r="AG243" s="33"/>
      <c r="AH243" s="33"/>
      <c r="AI243" s="33"/>
      <c r="AJ243" s="585">
        <f t="shared" si="127"/>
        <v>0</v>
      </c>
      <c r="AK243" s="349"/>
      <c r="AL243" s="100"/>
      <c r="AM243" s="136"/>
      <c r="AN243" s="421"/>
      <c r="AO243" s="330">
        <v>266</v>
      </c>
    </row>
    <row r="244" spans="1:45" x14ac:dyDescent="0.6">
      <c r="A244" s="862"/>
      <c r="B244" s="766" t="s">
        <v>169</v>
      </c>
      <c r="C244" s="127" t="s">
        <v>175</v>
      </c>
      <c r="D244" s="42"/>
      <c r="E244" s="9"/>
      <c r="F244" s="9"/>
      <c r="G244" s="9"/>
      <c r="H244" s="9"/>
      <c r="I244" s="9"/>
      <c r="J244" s="9"/>
      <c r="K244" s="9"/>
      <c r="L244" s="9"/>
      <c r="M244" s="9"/>
      <c r="N244" s="9"/>
      <c r="O244" s="9"/>
      <c r="P244" s="9"/>
      <c r="Q244" s="9"/>
      <c r="R244" s="9"/>
      <c r="S244" s="9"/>
      <c r="T244" s="9"/>
      <c r="U244" s="9"/>
      <c r="V244" s="9"/>
      <c r="W244" s="9"/>
      <c r="X244" s="9"/>
      <c r="Y244" s="33"/>
      <c r="Z244" s="44">
        <f t="shared" si="133"/>
        <v>0</v>
      </c>
      <c r="AA244" s="44">
        <f t="shared" si="134"/>
        <v>0</v>
      </c>
      <c r="AB244" s="38"/>
      <c r="AC244" s="33"/>
      <c r="AD244" s="33"/>
      <c r="AE244" s="33"/>
      <c r="AF244" s="33"/>
      <c r="AG244" s="33"/>
      <c r="AH244" s="33"/>
      <c r="AI244" s="33"/>
      <c r="AJ244" s="585">
        <f t="shared" si="127"/>
        <v>0</v>
      </c>
      <c r="AK244" s="349"/>
      <c r="AL244" s="100"/>
      <c r="AM244" s="136"/>
      <c r="AN244" s="421"/>
      <c r="AO244" s="330">
        <v>267</v>
      </c>
    </row>
    <row r="245" spans="1:45" x14ac:dyDescent="0.6">
      <c r="A245" s="862"/>
      <c r="B245" s="766" t="s">
        <v>170</v>
      </c>
      <c r="C245" s="127" t="s">
        <v>176</v>
      </c>
      <c r="D245" s="42"/>
      <c r="E245" s="9"/>
      <c r="F245" s="9"/>
      <c r="G245" s="9"/>
      <c r="H245" s="9"/>
      <c r="I245" s="9"/>
      <c r="J245" s="9"/>
      <c r="K245" s="9"/>
      <c r="L245" s="9"/>
      <c r="M245" s="9"/>
      <c r="N245" s="9"/>
      <c r="O245" s="9"/>
      <c r="P245" s="9"/>
      <c r="Q245" s="9"/>
      <c r="R245" s="9"/>
      <c r="S245" s="9"/>
      <c r="T245" s="9"/>
      <c r="U245" s="9"/>
      <c r="V245" s="9"/>
      <c r="W245" s="9"/>
      <c r="X245" s="9"/>
      <c r="Y245" s="33"/>
      <c r="Z245" s="44">
        <f t="shared" si="133"/>
        <v>0</v>
      </c>
      <c r="AA245" s="44">
        <f t="shared" si="134"/>
        <v>0</v>
      </c>
      <c r="AB245" s="38"/>
      <c r="AC245" s="33"/>
      <c r="AD245" s="33"/>
      <c r="AE245" s="33"/>
      <c r="AF245" s="33"/>
      <c r="AG245" s="33"/>
      <c r="AH245" s="33"/>
      <c r="AI245" s="33"/>
      <c r="AJ245" s="585">
        <f t="shared" si="127"/>
        <v>0</v>
      </c>
      <c r="AK245" s="349"/>
      <c r="AL245" s="100"/>
      <c r="AM245" s="136"/>
      <c r="AN245" s="421"/>
      <c r="AO245" s="330">
        <v>268</v>
      </c>
    </row>
    <row r="246" spans="1:45" x14ac:dyDescent="0.6">
      <c r="A246" s="862"/>
      <c r="B246" s="766" t="s">
        <v>171</v>
      </c>
      <c r="C246" s="127" t="s">
        <v>177</v>
      </c>
      <c r="D246" s="42"/>
      <c r="E246" s="9"/>
      <c r="F246" s="9"/>
      <c r="G246" s="9"/>
      <c r="H246" s="9"/>
      <c r="I246" s="9"/>
      <c r="J246" s="9"/>
      <c r="K246" s="9"/>
      <c r="L246" s="9"/>
      <c r="M246" s="9"/>
      <c r="N246" s="9"/>
      <c r="O246" s="9"/>
      <c r="P246" s="9"/>
      <c r="Q246" s="9"/>
      <c r="R246" s="9"/>
      <c r="S246" s="9"/>
      <c r="T246" s="9"/>
      <c r="U246" s="9"/>
      <c r="V246" s="9"/>
      <c r="W246" s="9"/>
      <c r="X246" s="9"/>
      <c r="Y246" s="33"/>
      <c r="Z246" s="44">
        <f t="shared" si="133"/>
        <v>0</v>
      </c>
      <c r="AA246" s="44">
        <f t="shared" si="134"/>
        <v>0</v>
      </c>
      <c r="AB246" s="38"/>
      <c r="AC246" s="33"/>
      <c r="AD246" s="33"/>
      <c r="AE246" s="33"/>
      <c r="AF246" s="33"/>
      <c r="AG246" s="33"/>
      <c r="AH246" s="33"/>
      <c r="AI246" s="33"/>
      <c r="AJ246" s="585">
        <f t="shared" si="127"/>
        <v>0</v>
      </c>
      <c r="AK246" s="349"/>
      <c r="AL246" s="100"/>
      <c r="AM246" s="136"/>
      <c r="AN246" s="421"/>
      <c r="AO246" s="330">
        <v>269</v>
      </c>
    </row>
    <row r="247" spans="1:45" ht="31.5" thickBot="1" x14ac:dyDescent="0.65">
      <c r="A247" s="863"/>
      <c r="B247" s="773" t="s">
        <v>190</v>
      </c>
      <c r="C247" s="337" t="s">
        <v>191</v>
      </c>
      <c r="D247" s="45">
        <f>SUM(D241:D246)</f>
        <v>0</v>
      </c>
      <c r="E247" s="46">
        <f t="shared" ref="E247:Y247" si="135">SUM(E241:E246)</f>
        <v>0</v>
      </c>
      <c r="F247" s="46">
        <f t="shared" si="135"/>
        <v>0</v>
      </c>
      <c r="G247" s="46">
        <f t="shared" si="135"/>
        <v>0</v>
      </c>
      <c r="H247" s="46">
        <f t="shared" si="135"/>
        <v>0</v>
      </c>
      <c r="I247" s="46">
        <f t="shared" si="135"/>
        <v>0</v>
      </c>
      <c r="J247" s="46">
        <f t="shared" si="135"/>
        <v>0</v>
      </c>
      <c r="K247" s="46">
        <f t="shared" si="135"/>
        <v>0</v>
      </c>
      <c r="L247" s="46">
        <f t="shared" si="135"/>
        <v>0</v>
      </c>
      <c r="M247" s="46">
        <f t="shared" si="135"/>
        <v>0</v>
      </c>
      <c r="N247" s="46">
        <f t="shared" si="135"/>
        <v>0</v>
      </c>
      <c r="O247" s="46">
        <f t="shared" si="135"/>
        <v>0</v>
      </c>
      <c r="P247" s="46">
        <f t="shared" si="135"/>
        <v>0</v>
      </c>
      <c r="Q247" s="46">
        <f t="shared" si="135"/>
        <v>0</v>
      </c>
      <c r="R247" s="46">
        <f t="shared" si="135"/>
        <v>0</v>
      </c>
      <c r="S247" s="46">
        <f t="shared" si="135"/>
        <v>0</v>
      </c>
      <c r="T247" s="46">
        <f t="shared" si="135"/>
        <v>0</v>
      </c>
      <c r="U247" s="46">
        <f t="shared" si="135"/>
        <v>0</v>
      </c>
      <c r="V247" s="46">
        <f t="shared" si="135"/>
        <v>0</v>
      </c>
      <c r="W247" s="46">
        <f t="shared" si="135"/>
        <v>0</v>
      </c>
      <c r="X247" s="46">
        <f t="shared" si="135"/>
        <v>0</v>
      </c>
      <c r="Y247" s="47">
        <f t="shared" si="135"/>
        <v>0</v>
      </c>
      <c r="Z247" s="48">
        <f>SUM(AB247,AD247,AF247,AH247)</f>
        <v>0</v>
      </c>
      <c r="AA247" s="48">
        <f>SUM(AC247,AE247,AG247,AI247)</f>
        <v>0</v>
      </c>
      <c r="AB247" s="49">
        <f t="shared" ref="AB247:AG247" si="136">SUM(AB241:AB246)</f>
        <v>0</v>
      </c>
      <c r="AC247" s="46">
        <f t="shared" si="136"/>
        <v>0</v>
      </c>
      <c r="AD247" s="46">
        <f t="shared" si="136"/>
        <v>0</v>
      </c>
      <c r="AE247" s="46">
        <f t="shared" si="136"/>
        <v>0</v>
      </c>
      <c r="AF247" s="46">
        <f t="shared" si="136"/>
        <v>0</v>
      </c>
      <c r="AG247" s="46">
        <f t="shared" si="136"/>
        <v>0</v>
      </c>
      <c r="AH247" s="46">
        <f>SUM(AH241:AH246)</f>
        <v>0</v>
      </c>
      <c r="AI247" s="46">
        <f>SUM(AI241:AI246)</f>
        <v>0</v>
      </c>
      <c r="AJ247" s="588">
        <f t="shared" si="127"/>
        <v>0</v>
      </c>
      <c r="AK247" s="349"/>
      <c r="AL247" s="100"/>
      <c r="AM247" s="136"/>
      <c r="AN247" s="421"/>
      <c r="AO247" s="330">
        <v>270</v>
      </c>
    </row>
    <row r="248" spans="1:45" ht="51.75" customHeight="1" thickBot="1" x14ac:dyDescent="0.65">
      <c r="A248" s="706" t="s">
        <v>661</v>
      </c>
      <c r="B248" s="774" t="s">
        <v>662</v>
      </c>
      <c r="C248" s="589" t="s">
        <v>144</v>
      </c>
      <c r="D248" s="590"/>
      <c r="E248" s="591"/>
      <c r="F248" s="591"/>
      <c r="G248" s="591"/>
      <c r="H248" s="591"/>
      <c r="I248" s="591"/>
      <c r="J248" s="592"/>
      <c r="K248" s="593"/>
      <c r="L248" s="591"/>
      <c r="M248" s="594"/>
      <c r="N248" s="591"/>
      <c r="O248" s="594"/>
      <c r="P248" s="591"/>
      <c r="Q248" s="594"/>
      <c r="R248" s="591"/>
      <c r="S248" s="594"/>
      <c r="T248" s="591"/>
      <c r="U248" s="594"/>
      <c r="V248" s="591"/>
      <c r="W248" s="594"/>
      <c r="X248" s="591"/>
      <c r="Y248" s="594"/>
      <c r="Z248" s="591"/>
      <c r="AA248" s="595"/>
      <c r="AB248" s="596"/>
      <c r="AC248" s="597"/>
      <c r="AD248" s="597"/>
      <c r="AE248" s="597"/>
      <c r="AF248" s="597"/>
      <c r="AG248" s="597"/>
      <c r="AH248" s="598"/>
      <c r="AI248" s="599"/>
      <c r="AJ248" s="488">
        <f t="shared" si="127"/>
        <v>0</v>
      </c>
      <c r="AK248" s="349" t="str">
        <f>(IF(AJ235&gt;0,IF(#REF!=0,"TX_CURR ever initiated on IPT cannot be Zero",""),""))</f>
        <v/>
      </c>
      <c r="AL248" s="101"/>
      <c r="AM248" s="136"/>
      <c r="AN248" s="471"/>
      <c r="AO248" s="330">
        <v>271</v>
      </c>
    </row>
    <row r="249" spans="1:45" ht="31.5" thickBot="1" x14ac:dyDescent="0.65">
      <c r="A249" s="858" t="s">
        <v>663</v>
      </c>
      <c r="B249" s="859"/>
      <c r="C249" s="859"/>
      <c r="D249" s="859"/>
      <c r="E249" s="859"/>
      <c r="F249" s="859"/>
      <c r="G249" s="859"/>
      <c r="H249" s="859"/>
      <c r="I249" s="859"/>
      <c r="J249" s="859"/>
      <c r="K249" s="859"/>
      <c r="L249" s="859"/>
      <c r="M249" s="859"/>
      <c r="N249" s="859"/>
      <c r="O249" s="859"/>
      <c r="P249" s="859"/>
      <c r="Q249" s="859"/>
      <c r="R249" s="859"/>
      <c r="S249" s="859"/>
      <c r="T249" s="859"/>
      <c r="U249" s="859"/>
      <c r="V249" s="859"/>
      <c r="W249" s="859"/>
      <c r="X249" s="859"/>
      <c r="Y249" s="859"/>
      <c r="Z249" s="859"/>
      <c r="AA249" s="859"/>
      <c r="AB249" s="859"/>
      <c r="AC249" s="859"/>
      <c r="AD249" s="859"/>
      <c r="AE249" s="859"/>
      <c r="AF249" s="859"/>
      <c r="AG249" s="859"/>
      <c r="AH249" s="859"/>
      <c r="AI249" s="859"/>
      <c r="AJ249" s="859"/>
      <c r="AK249" s="859"/>
      <c r="AL249" s="859"/>
      <c r="AM249" s="859"/>
      <c r="AN249" s="860"/>
      <c r="AO249" s="330"/>
    </row>
    <row r="250" spans="1:45" ht="31.5" thickBot="1" x14ac:dyDescent="0.65">
      <c r="A250" s="937" t="s">
        <v>664</v>
      </c>
      <c r="B250" s="773" t="s">
        <v>341</v>
      </c>
      <c r="C250" s="337" t="s">
        <v>121</v>
      </c>
      <c r="D250" s="600">
        <f t="shared" ref="D250:AI250" si="137">SUM(D252,D251,D255)</f>
        <v>0</v>
      </c>
      <c r="E250" s="600">
        <f t="shared" si="137"/>
        <v>0</v>
      </c>
      <c r="F250" s="600">
        <f t="shared" si="137"/>
        <v>0</v>
      </c>
      <c r="G250" s="600">
        <f t="shared" si="137"/>
        <v>0</v>
      </c>
      <c r="H250" s="600">
        <f t="shared" si="137"/>
        <v>0</v>
      </c>
      <c r="I250" s="600">
        <f t="shared" si="137"/>
        <v>0</v>
      </c>
      <c r="J250" s="600">
        <f t="shared" si="137"/>
        <v>0</v>
      </c>
      <c r="K250" s="600">
        <f t="shared" si="137"/>
        <v>0</v>
      </c>
      <c r="L250" s="600">
        <f t="shared" si="137"/>
        <v>0</v>
      </c>
      <c r="M250" s="600">
        <f t="shared" si="137"/>
        <v>0</v>
      </c>
      <c r="N250" s="600">
        <f t="shared" si="137"/>
        <v>0</v>
      </c>
      <c r="O250" s="600">
        <f t="shared" si="137"/>
        <v>0</v>
      </c>
      <c r="P250" s="600">
        <f t="shared" si="137"/>
        <v>0</v>
      </c>
      <c r="Q250" s="600">
        <f t="shared" si="137"/>
        <v>0</v>
      </c>
      <c r="R250" s="600">
        <f t="shared" si="137"/>
        <v>0</v>
      </c>
      <c r="S250" s="600">
        <f t="shared" si="137"/>
        <v>0</v>
      </c>
      <c r="T250" s="600">
        <f t="shared" si="137"/>
        <v>0</v>
      </c>
      <c r="U250" s="600">
        <f t="shared" si="137"/>
        <v>0</v>
      </c>
      <c r="V250" s="600">
        <f t="shared" si="137"/>
        <v>0</v>
      </c>
      <c r="W250" s="600">
        <f t="shared" si="137"/>
        <v>0</v>
      </c>
      <c r="X250" s="600">
        <f t="shared" si="137"/>
        <v>0</v>
      </c>
      <c r="Y250" s="600">
        <f t="shared" si="137"/>
        <v>0</v>
      </c>
      <c r="Z250" s="600">
        <f t="shared" si="137"/>
        <v>0</v>
      </c>
      <c r="AA250" s="600">
        <f t="shared" si="137"/>
        <v>0</v>
      </c>
      <c r="AB250" s="600">
        <f t="shared" si="137"/>
        <v>0</v>
      </c>
      <c r="AC250" s="600">
        <f t="shared" si="137"/>
        <v>0</v>
      </c>
      <c r="AD250" s="600">
        <f t="shared" si="137"/>
        <v>0</v>
      </c>
      <c r="AE250" s="600">
        <f t="shared" si="137"/>
        <v>0</v>
      </c>
      <c r="AF250" s="600">
        <f t="shared" si="137"/>
        <v>0</v>
      </c>
      <c r="AG250" s="600">
        <f t="shared" si="137"/>
        <v>0</v>
      </c>
      <c r="AH250" s="600">
        <f t="shared" si="137"/>
        <v>0</v>
      </c>
      <c r="AI250" s="600">
        <f t="shared" si="137"/>
        <v>0</v>
      </c>
      <c r="AJ250" s="373">
        <f>SUM(D250:AA250)</f>
        <v>0</v>
      </c>
      <c r="AK250" s="349" t="str">
        <f>CONCATENATE(IF(D250&gt;D235," * Total Screened For TB  for Age "&amp;D6&amp;" "&amp;D7&amp;" is more than Current On ART "&amp;CHAR(10),""),IF(E250&gt;E235," * Total Screened For TB  for Age "&amp;D6&amp;" "&amp;E7&amp;" is more than Current On ART "&amp;CHAR(10),""),IF(F250&gt;F235," * Total Screened For TB  for Age "&amp;F6&amp;" "&amp;F7&amp;" is more than Current On ART "&amp;CHAR(10),""),IF(G250&gt;G235," * Total Screened For TB  for Age "&amp;F6&amp;" "&amp;G7&amp;" is more than Current On ART "&amp;CHAR(10),""),IF(H250&gt;H235," * Total Screened For TB  for Age "&amp;H6&amp;" "&amp;H7&amp;" is more than Current On ART "&amp;CHAR(10),""),IF(I250&gt;I235," * Total Screened For TB  for Age "&amp;H6&amp;" "&amp;I7&amp;" is more than Current On ART "&amp;CHAR(10),""),IF(J250&gt;J235," * Total Screened For TB  for Age "&amp;J6&amp;" "&amp;J7&amp;" is more than Current On ART "&amp;CHAR(10),""),IF(K250&gt;K235," * Total Screened For TB  for Age "&amp;J6&amp;" "&amp;K7&amp;" is more than Current On ART "&amp;CHAR(10),""),IF(L250&gt;L235," * Total Screened For TB  for Age "&amp;L6&amp;" "&amp;L7&amp;" is more than Current On ART "&amp;CHAR(10),""),IF(M250&gt;M235," * Total Screened For TB  for Age "&amp;L6&amp;" "&amp;M7&amp;" is more than Current On ART "&amp;CHAR(10),""),IF(N250&gt;N235," * Total Screened For TB  for Age "&amp;N6&amp;" "&amp;N7&amp;" is more than Current On ART "&amp;CHAR(10),""),IF(O250&gt;O235," * Total Screened For TB  for Age "&amp;N6&amp;" "&amp;O7&amp;" is more than Current On ART "&amp;CHAR(10),""),IF(P250&gt;P235," * Total Screened For TB  for Age "&amp;P6&amp;" "&amp;P7&amp;" is more than Current On ART "&amp;CHAR(10),""),IF(Q250&gt;Q235," * Total Screened For TB  for Age "&amp;P6&amp;" "&amp;Q7&amp;" is more than Current On ART "&amp;CHAR(10),""),IF(R250&gt;R235," * Total Screened For TB  for Age "&amp;R6&amp;" "&amp;R7&amp;" is more than Current On ART "&amp;CHAR(10),""),IF(S250&gt;S235," * Total Screened For TB  for Age "&amp;R6&amp;" "&amp;S7&amp;" is more than Current On ART "&amp;CHAR(10),""),IF(T250&gt;T235," * Total Screened For TB  for Age "&amp;T6&amp;" "&amp;T7&amp;" is more than Current On ART "&amp;CHAR(10),""),IF(U250&gt;U235," * Total Screened For TB  for Age "&amp;T6&amp;" "&amp;U7&amp;" is more than Current On ART "&amp;CHAR(10),""),IF(V250&gt;V235," * Total Screened For TB  for Age "&amp;V6&amp;" "&amp;V7&amp;" is more than Current On ART "&amp;CHAR(10),""),IF(W250&gt;W235," * Total Screened For TB  for Age "&amp;V6&amp;" "&amp;W7&amp;" is more than Current On ART "&amp;CHAR(10),""),IF(X250&gt;X235," * Total Screened For TB  for Age "&amp;X6&amp;" "&amp;X7&amp;" is more than Current On ART "&amp;CHAR(10),""),IF(Y250&gt;Y235," * Total Screened For TB  for Age "&amp;X6&amp;" "&amp;Y7&amp;" is more than Current On ART "&amp;CHAR(10),""),IF(Z250&gt;Z235," * Total Screened For TB  for Age "&amp;Z6&amp;" "&amp;Z7&amp;" is more than Current On ART "&amp;CHAR(10),""),IF(AA250&gt;AA235," * Total Screened For TB  for Age "&amp;Z6&amp;" "&amp;AA7&amp;" is more than Current On ART "&amp;CHAR(10),""))</f>
        <v/>
      </c>
      <c r="AL250" s="100"/>
      <c r="AM250" s="136" t="str">
        <f>CONCATENATE(IF(D250&lt;D235," * Screened for TB for Age "&amp;D6&amp;" "&amp;D7&amp;" is less than Current On ART"&amp;CHAR(10),""),IF(E250&lt;E235," * Screened for TB for Age "&amp;D6&amp;" "&amp;E7&amp;" is less than Current On ART"&amp;CHAR(10),""),IF(F250&lt;F235," * Screened for TB for Age "&amp;F6&amp;" "&amp;F7&amp;" is less than Current On ART"&amp;CHAR(10),""),IF(G250&lt;G235," * Screened for TB for Age "&amp;F6&amp;" "&amp;G7&amp;" is less than Current On ART"&amp;CHAR(10),""),IF(H250&lt;H235," * Screened for TB for Age "&amp;H6&amp;" "&amp;H7&amp;" is less than Current On ART"&amp;CHAR(10),""),IF(I250&lt;I235," * Screened for TB for Age "&amp;H6&amp;" "&amp;I7&amp;" is less than Current On ART"&amp;CHAR(10),""),IF(J250&lt;J235," * Screened for TB for Age "&amp;J6&amp;" "&amp;J7&amp;" is less than Current On ART"&amp;CHAR(10),""),IF(K250&lt;K235," * Screened for TB for Age "&amp;J6&amp;" "&amp;K7&amp;" is less than Current On ART"&amp;CHAR(10),""),IF(L250&lt;L235," * Screened for TB for Age "&amp;L6&amp;" "&amp;L7&amp;" is less than Current On ART"&amp;CHAR(10),""),IF(M250&lt;M235," * Screened for TB for Age "&amp;L6&amp;" "&amp;M7&amp;" is less than Current On ART"&amp;CHAR(10),""),IF(N250&lt;N235," * Screened for TB for Age "&amp;N6&amp;" "&amp;N7&amp;" is less than Current On ART"&amp;CHAR(10),""),IF(O250&lt;O235," * Screened for TB for Age "&amp;N6&amp;" "&amp;O7&amp;" is less than Current On ART"&amp;CHAR(10),""),IF(P250&lt;P235," * Screened for TB for Age "&amp;P6&amp;" "&amp;P7&amp;" is less than Current On ART"&amp;CHAR(10),""),IF(Q250&lt;Q235," * Screened for TB for Age "&amp;P6&amp;" "&amp;Q7&amp;" is less than Current On ART"&amp;CHAR(10),""),IF(R250&lt;R235," * Screened for TB for Age "&amp;R6&amp;" "&amp;R7&amp;" is less than Current On ART"&amp;CHAR(10),""),IF(S250&lt;S235," * Screened for TB for Age "&amp;R6&amp;" "&amp;S7&amp;" is less than Current On ART"&amp;CHAR(10),""),IF(T250&lt;T235," * Screened for TB for Age "&amp;T6&amp;" "&amp;T7&amp;" is less than Current On ART"&amp;CHAR(10),""),IF(U250&lt;U235," * Screened for TB for Age "&amp;T6&amp;" "&amp;U7&amp;" is less than Current On ART"&amp;CHAR(10),""),IF(V250&lt;V235," * Screened for TB for Age "&amp;V6&amp;" "&amp;V7&amp;" is less than Current On ART"&amp;CHAR(10),""),IF(W250&lt;W235," * Screened for TB for Age "&amp;V6&amp;" "&amp;W7&amp;" is less than Current On ART"&amp;CHAR(10),""),IF(X250&lt;X235," * Screened for TB for Age "&amp;X6&amp;" "&amp;X7&amp;" is less than Current On ART"&amp;CHAR(10),""),IF(Y250&lt;Y235," * Screened for TB for Age "&amp;X6&amp;" "&amp;Y7&amp;" is less than Current On ART"&amp;CHAR(10),""),IF(Z250&lt;Z235," * Screened for TB for Age "&amp;Z6&amp;" "&amp;Z7&amp;" is less than Current On ART"&amp;CHAR(10),""),IF(AA250&lt;AA235," * Screened for TB for Age "&amp;Z6&amp;" "&amp;AA7&amp;" is less than Current On ART"&amp;CHAR(10),""))</f>
        <v/>
      </c>
      <c r="AN250" s="421"/>
      <c r="AO250" s="330">
        <v>277</v>
      </c>
    </row>
    <row r="251" spans="1:45" x14ac:dyDescent="0.6">
      <c r="A251" s="938"/>
      <c r="B251" s="772" t="s">
        <v>258</v>
      </c>
      <c r="C251" s="411" t="s">
        <v>248</v>
      </c>
      <c r="D251" s="14"/>
      <c r="E251" s="8"/>
      <c r="F251" s="8"/>
      <c r="G251" s="8"/>
      <c r="H251" s="8"/>
      <c r="I251" s="8"/>
      <c r="J251" s="8"/>
      <c r="K251" s="8"/>
      <c r="L251" s="8"/>
      <c r="M251" s="8"/>
      <c r="N251" s="8"/>
      <c r="O251" s="8"/>
      <c r="P251" s="8"/>
      <c r="Q251" s="8"/>
      <c r="R251" s="8"/>
      <c r="S251" s="8"/>
      <c r="T251" s="8"/>
      <c r="U251" s="8"/>
      <c r="V251" s="8"/>
      <c r="W251" s="8"/>
      <c r="X251" s="8"/>
      <c r="Y251" s="8"/>
      <c r="Z251" s="50">
        <f>SUM(AB251,AD251,AF251,AH251)</f>
        <v>0</v>
      </c>
      <c r="AA251" s="50">
        <f>SUM(AC251,AE251,AG251,AI251)</f>
        <v>0</v>
      </c>
      <c r="AB251" s="8"/>
      <c r="AC251" s="8"/>
      <c r="AD251" s="8"/>
      <c r="AE251" s="8"/>
      <c r="AF251" s="8"/>
      <c r="AG251" s="8"/>
      <c r="AH251" s="8"/>
      <c r="AI251" s="8"/>
      <c r="AJ251" s="6">
        <f>SUM(D251:AA251)</f>
        <v>0</v>
      </c>
      <c r="AK251" s="349"/>
      <c r="AL251" s="100"/>
      <c r="AM251" s="136"/>
      <c r="AN251" s="421"/>
      <c r="AO251" s="330">
        <v>275</v>
      </c>
    </row>
    <row r="252" spans="1:45" ht="31.5" thickBot="1" x14ac:dyDescent="0.65">
      <c r="A252" s="938"/>
      <c r="B252" s="766" t="s">
        <v>259</v>
      </c>
      <c r="C252" s="127" t="s">
        <v>254</v>
      </c>
      <c r="D252" s="21"/>
      <c r="E252" s="9"/>
      <c r="F252" s="9"/>
      <c r="G252" s="9"/>
      <c r="H252" s="9"/>
      <c r="I252" s="9"/>
      <c r="J252" s="9"/>
      <c r="K252" s="9"/>
      <c r="L252" s="9"/>
      <c r="M252" s="9"/>
      <c r="N252" s="9"/>
      <c r="O252" s="9"/>
      <c r="P252" s="9"/>
      <c r="Q252" s="9"/>
      <c r="R252" s="9"/>
      <c r="S252" s="9"/>
      <c r="T252" s="9"/>
      <c r="U252" s="9"/>
      <c r="V252" s="9"/>
      <c r="W252" s="9"/>
      <c r="X252" s="9"/>
      <c r="Y252" s="9"/>
      <c r="Z252" s="44">
        <f>SUM(AB252,AD252,AF252,AH252)</f>
        <v>0</v>
      </c>
      <c r="AA252" s="44">
        <f>SUM(AC252,AE252,AG252,AI252)</f>
        <v>0</v>
      </c>
      <c r="AB252" s="9"/>
      <c r="AC252" s="9"/>
      <c r="AD252" s="9"/>
      <c r="AE252" s="9"/>
      <c r="AF252" s="9"/>
      <c r="AG252" s="9"/>
      <c r="AH252" s="9"/>
      <c r="AI252" s="9"/>
      <c r="AJ252" s="16">
        <f>SUM(D252:AA252)</f>
        <v>0</v>
      </c>
      <c r="AK252" s="349" t="str">
        <f>IF(AJ235&gt;0,IF(AJ250&lt;1," No Patient was screened for TB",""),"")</f>
        <v/>
      </c>
      <c r="AL252" s="100"/>
      <c r="AM252" s="136"/>
      <c r="AN252" s="421"/>
      <c r="AO252" s="330">
        <v>276</v>
      </c>
    </row>
    <row r="253" spans="1:45" s="7" customFormat="1" ht="32.25" customHeight="1" x14ac:dyDescent="0.6">
      <c r="A253" s="938"/>
      <c r="B253" s="775" t="s">
        <v>353</v>
      </c>
      <c r="C253" s="411" t="s">
        <v>246</v>
      </c>
      <c r="D253" s="8"/>
      <c r="E253" s="8"/>
      <c r="F253" s="8"/>
      <c r="G253" s="8"/>
      <c r="H253" s="8"/>
      <c r="I253" s="8"/>
      <c r="J253" s="8"/>
      <c r="K253" s="8"/>
      <c r="L253" s="8"/>
      <c r="M253" s="8"/>
      <c r="N253" s="8"/>
      <c r="O253" s="8"/>
      <c r="P253" s="8"/>
      <c r="Q253" s="8"/>
      <c r="R253" s="8"/>
      <c r="S253" s="8"/>
      <c r="T253" s="8"/>
      <c r="U253" s="8"/>
      <c r="V253" s="8"/>
      <c r="W253" s="8"/>
      <c r="X253" s="8"/>
      <c r="Y253" s="32"/>
      <c r="Z253" s="65">
        <f t="shared" ref="Z253:Z259" si="138">SUM(AB253,AD253,AF253,AH253)</f>
        <v>0</v>
      </c>
      <c r="AA253" s="66">
        <f t="shared" ref="AA253:AA259" si="139">SUM(AC253,AE253,AG253,AI253)</f>
        <v>0</v>
      </c>
      <c r="AB253" s="14"/>
      <c r="AC253" s="8"/>
      <c r="AD253" s="8"/>
      <c r="AE253" s="8"/>
      <c r="AF253" s="8"/>
      <c r="AG253" s="8"/>
      <c r="AH253" s="8"/>
      <c r="AI253" s="8"/>
      <c r="AJ253" s="6">
        <f t="shared" si="127"/>
        <v>0</v>
      </c>
      <c r="AK253" s="174" t="str">
        <f>CONCATENATE(IF(D264&gt;D253," *  confirmed TB positive newly started on TB treatment "&amp;$D$6&amp;" "&amp;$D$7&amp;" is more than Screening positive for TB Newly enrolled on ART"&amp;CHAR(10),""),IF(E264&gt;E253," *  confirmed TB positive newly started on TB treatment "&amp;$D$6&amp;" "&amp;$E$7&amp;" is more than Screening positive for TB Newly enrolled on ART"&amp;CHAR(10),""),IF(F264&gt;F253," *  confirmed TB positive newly started on TB treatment "&amp;$F$6&amp;" "&amp;$F$7&amp;" is more than Screening positive for TB Newly enrolled on ART"&amp;CHAR(10),""),IF(G264&gt;G253," *  confirmed TB positive newly started on TB treatment "&amp;$F$6&amp;" "&amp;$G$7&amp;" is more than Screening positive for TB Newly enrolled on ART"&amp;CHAR(10),""),IF(H264&gt;H253," *  confirmed TB positive newly started on TB treatment "&amp;$H$6&amp;" "&amp;$H$7&amp;" is more than Screening positive for TB Newly enrolled on ART"&amp;CHAR(10),""),IF(I264&gt;I253," *  confirmed TB positive newly started on TB treatment "&amp;$H$6&amp;" "&amp;$I$7&amp;" is more than Screening positive for TB Newly enrolled on ART"&amp;CHAR(10),""),IF(J264&gt;J253," *  confirmed TB positive newly started on TB treatment "&amp;$J$6&amp;" "&amp;$J$7&amp;" is more than Screening positive for TB Newly enrolled on ART"&amp;CHAR(10),""),IF(K264&gt;K253," *  confirmed TB positive newly started on TB treatment "&amp;$J$6&amp;" "&amp;$K$7&amp;" is more than Screening positive for TB Newly enrolled on ART"&amp;CHAR(10),""),IF(L264&gt;L253," *  confirmed TB positive newly started on TB treatment "&amp;$L$6&amp;" "&amp;$L$7&amp;" is more than Screening positive for TB Newly enrolled on ART"&amp;CHAR(10),""),IF(M264&gt;M253," *  confirmed TB positive newly started on TB treatment "&amp;$L$6&amp;" "&amp;$M$7&amp;" is more than Screening positive for TB Newly enrolled on ART"&amp;CHAR(10),""),IF(N264&gt;N253," *  confirmed TB positive newly started on TB treatment "&amp;$N$6&amp;" "&amp;$N$7&amp;" is more than Screening positive for TB Newly enrolled on ART"&amp;CHAR(10),""),IF(O264&gt;O253," *  confirmed TB positive newly started on TB treatment "&amp;$N$6&amp;" "&amp;$O$7&amp;" is more than Screening positive for TB Newly enrolled on ART"&amp;CHAR(10),""),IF(P264&gt;P253," *  confirmed TB positive newly started on TB treatment "&amp;$P$6&amp;" "&amp;$P$7&amp;" is more than Screening positive for TB Newly enrolled on ART"&amp;CHAR(10),""),IF(Q264&gt;Q253," *  confirmed TB positive newly started on TB treatment "&amp;$P$6&amp;" "&amp;$Q$7&amp;" is more than Screening positive for TB Newly enrolled on ART"&amp;CHAR(10),""),IF(R264&gt;R253," *  confirmed TB positive newly started on TB treatment "&amp;$R$6&amp;" "&amp;$R$7&amp;" is more than Screening positive for TB Newly enrolled on ART"&amp;CHAR(10),""),IF(S264&gt;S253," *  confirmed TB positive newly started on TB treatment "&amp;$R$6&amp;" "&amp;$S$7&amp;" is more than Screening positive for TB Newly enrolled on ART"&amp;CHAR(10),""),IF(T264&gt;T253," *  confirmed TB positive newly started on TB treatment "&amp;$T$6&amp;" "&amp;$T$7&amp;" is more than Screening positive for TB Newly enrolled on ART"&amp;CHAR(10),""),IF(U264&gt;U253," *  confirmed TB positive newly started on TB treatment "&amp;$T$6&amp;" "&amp;$U$7&amp;" is more than Screening positive for TB Newly enrolled on ART"&amp;CHAR(10),""),IF(V264&gt;V253," *  confirmed TB positive newly started on TB treatment "&amp;$V$6&amp;" "&amp;$V$7&amp;" is more than Screening positive for TB Newly enrolled on ART"&amp;CHAR(10),""),IF(W264&gt;W253," *  confirmed TB positive newly started on TB treatment "&amp;$V$6&amp;" "&amp;$W$7&amp;" is more than Screening positive for TB Newly enrolled on ART"&amp;CHAR(10),""),IF(X264&gt;X253," *  confirmed TB positive newly started on TB treatment "&amp;$X$6&amp;" "&amp;$X$7&amp;" is more than Screening positive for TB Newly enrolled on ART"&amp;CHAR(10),""),IF(Y264&gt;Y253," *  confirmed TB positive newly started on TB treatment "&amp;$X$6&amp;" "&amp;$Y$7&amp;" is more than Screening positive for TB Newly enrolled on ART"&amp;CHAR(10),""),IF(Z264&gt;Z253," *  confirmed TB positive newly started on TB treatment "&amp;$Z$6&amp;" "&amp;$Z$7&amp;" is more than Screening positive for TB Newly enrolled on ART"&amp;CHAR(10),""),IF(AA264&gt;AA253," *  confirmed TB positive newly started on TB treatment "&amp;$Z$6&amp;" "&amp;$AA$7&amp;" is more than Screening positive for TB Newly enrolled on ART"&amp;CHAR(10),""))</f>
        <v/>
      </c>
      <c r="AL253" s="102" t="str">
        <f>CONCATENATE(AK253,AK254,AK255,AK251,AK252,AK250,AK256,AK257,AK258,AK259,AK260,AK264,AK265,AK266)</f>
        <v/>
      </c>
      <c r="AM253" s="138" t="str">
        <f>CONCATENATE(IF(D264&lt;D253," *  confirmed TB positive newly started on TB treatment "&amp;$D$6&amp;" "&amp;$D$7&amp;" is less than Screening positive for TB Newly enrolled on ART"&amp;CHAR(10),""),IF(E264&lt;E253," *  confirmed TB positive newly started on TB treatment "&amp;$D$6&amp;" "&amp;$E$7&amp;" is less than Screening positive for TB Newly enrolled on ART"&amp;CHAR(10),""),IF(F264&lt;F253," *  confirmed TB positive newly started on TB treatment "&amp;$F$6&amp;" "&amp;$F$7&amp;" is less than Screening positive for TB Newly enrolled on ART"&amp;CHAR(10),""),IF(G264&lt;G253," *  confirmed TB positive newly started on TB treatment "&amp;$F$6&amp;" "&amp;$G$7&amp;" is less than Screening positive for TB Newly enrolled on ART"&amp;CHAR(10),""),IF(H264&lt;H253," *  confirmed TB positive newly started on TB treatment "&amp;$H$6&amp;" "&amp;$H$7&amp;" is less than Screening positive for TB Newly enrolled on ART"&amp;CHAR(10),""),IF(I264&lt;I253," *  confirmed TB positive newly started on TB treatment "&amp;$H$6&amp;" "&amp;$I$7&amp;" is less than Screening positive for TB Newly enrolled on ART"&amp;CHAR(10),""),IF(J264&lt;J253," *  confirmed TB positive newly started on TB treatment "&amp;$J$6&amp;" "&amp;$J$7&amp;" is less than Screening positive for TB Newly enrolled on ART"&amp;CHAR(10),""),IF(K264&lt;K253," *  confirmed TB positive newly started on TB treatment "&amp;$J$6&amp;" "&amp;$K$7&amp;" is less than Screening positive for TB Newly enrolled on ART"&amp;CHAR(10),""),IF(L264&lt;L253," *  confirmed TB positive newly started on TB treatment "&amp;$L$6&amp;" "&amp;$L$7&amp;" is less than Screening positive for TB Newly enrolled on ART"&amp;CHAR(10),""),IF(M264&lt;M253," *  confirmed TB positive newly started on TB treatment "&amp;$L$6&amp;" "&amp;$M$7&amp;" is less than Screening positive for TB Newly enrolled on ART"&amp;CHAR(10),""),IF(N264&lt;N253," *  confirmed TB positive newly started on TB treatment "&amp;$N$6&amp;" "&amp;$N$7&amp;" is less than Screening positive for TB Newly enrolled on ART"&amp;CHAR(10),""),IF(O264&lt;O253," *  confirmed TB positive newly started on TB treatment "&amp;$N$6&amp;" "&amp;$O$7&amp;" is less than Screening positive for TB Newly enrolled on ART"&amp;CHAR(10),""),IF(P264&lt;P253," *  confirmed TB positive newly started on TB treatment "&amp;$P$6&amp;" "&amp;$P$7&amp;" is less than Screening positive for TB Newly enrolled on ART"&amp;CHAR(10),""),IF(Q264&lt;Q253," *  confirmed TB positive newly started on TB treatment "&amp;$P$6&amp;" "&amp;$Q$7&amp;" is less than Screening positive for TB Newly enrolled on ART"&amp;CHAR(10),""),IF(R264&lt;R253," *  confirmed TB positive newly started on TB treatment "&amp;$R$6&amp;" "&amp;$R$7&amp;" is less than Screening positive for TB Newly enrolled on ART"&amp;CHAR(10),""),IF(S264&lt;S253," *  confirmed TB positive newly started on TB treatment "&amp;$R$6&amp;" "&amp;$S$7&amp;" is less than Screening positive for TB Newly enrolled on ART"&amp;CHAR(10),""),IF(T264&lt;T253," *  confirmed TB positive newly started on TB treatment "&amp;$T$6&amp;" "&amp;$T$7&amp;" is less than Screening positive for TB Newly enrolled on ART"&amp;CHAR(10),""),IF(U264&lt;U253," *  confirmed TB positive newly started on TB treatment "&amp;$T$6&amp;" "&amp;$U$7&amp;" is less than Screening positive for TB Newly enrolled on ART"&amp;CHAR(10),""),IF(V264&lt;V253," *  confirmed TB positive newly started on TB treatment "&amp;$V$6&amp;" "&amp;$V$7&amp;" is less than Screening positive for TB Newly enrolled on ART"&amp;CHAR(10),""),IF(W264&lt;W253," *  confirmed TB positive newly started on TB treatment "&amp;$V$6&amp;" "&amp;$W$7&amp;" is less than Screening positive for TB Newly enrolled on ART"&amp;CHAR(10),""),IF(X264&lt;X253," *  confirmed TB positive newly started on TB treatment "&amp;$X$6&amp;" "&amp;$X$7&amp;" is less than Screening positive for TB Newly enrolled on ART"&amp;CHAR(10),""),IF(Y264&lt;Y253," *  confirmed TB positive newly started on TB treatment "&amp;$X$6&amp;" "&amp;$Y$7&amp;" is less than Screening positive for TB Newly enrolled on ART"&amp;CHAR(10),""),IF(Z264&lt;Z253," *  confirmed TB positive newly started on TB treatment "&amp;$Z$6&amp;" "&amp;$Z$7&amp;" is less than Screening positive for TB Newly enrolled on ART"&amp;CHAR(10),""),IF(AA264&lt;AA253," *  confirmed TB positive newly started on TB treatment "&amp;$Z$6&amp;" "&amp;$AA$7&amp;" is less than Screening positive for TB Newly enrolled on ART"&amp;CHAR(10),""))</f>
        <v/>
      </c>
      <c r="AN253" s="514" t="str">
        <f>CONCATENATE(AM253,AM254,AM255,AM251,AM252,AM250,AM256,AM257,AM258,AM259,AM260,AM264,AM265,AM266)</f>
        <v/>
      </c>
      <c r="AO253" s="330">
        <v>272</v>
      </c>
      <c r="AQ253" s="1046"/>
      <c r="AR253" s="1046"/>
      <c r="AS253" s="1046"/>
    </row>
    <row r="254" spans="1:45" ht="30.75" customHeight="1" x14ac:dyDescent="0.6">
      <c r="A254" s="938"/>
      <c r="B254" s="776" t="s">
        <v>361</v>
      </c>
      <c r="C254" s="127" t="s">
        <v>247</v>
      </c>
      <c r="D254" s="9"/>
      <c r="E254" s="9"/>
      <c r="F254" s="9"/>
      <c r="G254" s="9"/>
      <c r="H254" s="9"/>
      <c r="I254" s="9"/>
      <c r="J254" s="9"/>
      <c r="K254" s="9"/>
      <c r="L254" s="9"/>
      <c r="M254" s="9"/>
      <c r="N254" s="9"/>
      <c r="O254" s="9"/>
      <c r="P254" s="9"/>
      <c r="Q254" s="9"/>
      <c r="R254" s="9"/>
      <c r="S254" s="9"/>
      <c r="T254" s="9"/>
      <c r="U254" s="9"/>
      <c r="V254" s="9"/>
      <c r="W254" s="9"/>
      <c r="X254" s="9"/>
      <c r="Y254" s="33"/>
      <c r="Z254" s="69">
        <f t="shared" si="138"/>
        <v>0</v>
      </c>
      <c r="AA254" s="70">
        <f t="shared" si="139"/>
        <v>0</v>
      </c>
      <c r="AB254" s="21"/>
      <c r="AC254" s="9"/>
      <c r="AD254" s="9"/>
      <c r="AE254" s="9"/>
      <c r="AF254" s="9"/>
      <c r="AG254" s="9"/>
      <c r="AH254" s="9"/>
      <c r="AI254" s="9"/>
      <c r="AJ254" s="16">
        <f t="shared" si="127"/>
        <v>0</v>
      </c>
      <c r="AK254" s="349" t="str">
        <f>CONCATENATE(IF(D265&gt;D254," *  Confirmed TB positive already on ART and on TB treatment "&amp;$D$6&amp;" "&amp;$D$7&amp;" is more than Screening positive for TB Previously enrolled on ART"&amp;CHAR(10),""),IF(E265&gt;E254," *  Confirmed TB positive already on ART and on TB treatment "&amp;$D$6&amp;" "&amp;$E$7&amp;" is more than Screening positive for TB Previously enrolled on ART"&amp;CHAR(10),""),IF(F265&gt;F254," *  Confirmed TB positive already on ART and on TB treatment "&amp;$F$6&amp;" "&amp;$F$7&amp;" is more than Screening positive for TB Previously enrolled on ART"&amp;CHAR(10),""),IF(G265&gt;G254," *  Confirmed TB positive already on ART and on TB treatment "&amp;$F$6&amp;" "&amp;$G$7&amp;" is more than Screening positive for TB Previously enrolled on ART"&amp;CHAR(10),""),IF(H265&gt;H254," *  Confirmed TB positive already on ART and on TB treatment "&amp;$H$6&amp;" "&amp;$H$7&amp;" is more than Screening positive for TB Previously enrolled on ART"&amp;CHAR(10),""),IF(I265&gt;I254," *  Confirmed TB positive already on ART and on TB treatment "&amp;$H$6&amp;" "&amp;$I$7&amp;" is more than Screening positive for TB Previously enrolled on ART"&amp;CHAR(10),""),IF(J265&gt;J254," *  Confirmed TB positive already on ART and on TB treatment "&amp;$J$6&amp;" "&amp;$J$7&amp;" is more than Screening positive for TB Previously enrolled on ART"&amp;CHAR(10),""),IF(K265&gt;K254," *  Confirmed TB positive already on ART and on TB treatment "&amp;$J$6&amp;" "&amp;$K$7&amp;" is more than Screening positive for TB Previously enrolled on ART"&amp;CHAR(10),""),IF(L265&gt;L254," *  Confirmed TB positive already on ART and on TB treatment "&amp;$L$6&amp;" "&amp;$L$7&amp;" is more than Screening positive for TB Previously enrolled on ART"&amp;CHAR(10),""),IF(M265&gt;M254," *  Confirmed TB positive already on ART and on TB treatment "&amp;$L$6&amp;" "&amp;$M$7&amp;" is more than Screening positive for TB Previously enrolled on ART"&amp;CHAR(10),""),IF(N265&gt;N254," *  Confirmed TB positive already on ART and on TB treatment "&amp;$N$6&amp;" "&amp;$N$7&amp;" is more than Screening positive for TB Previously enrolled on ART"&amp;CHAR(10),""),IF(O265&gt;O254," *  Confirmed TB positive already on ART and on TB treatment "&amp;$N$6&amp;" "&amp;$O$7&amp;" is more than Screening positive for TB Previously enrolled on ART"&amp;CHAR(10),""),IF(P265&gt;P254," *  Confirmed TB positive already on ART and on TB treatment "&amp;$P$6&amp;" "&amp;$P$7&amp;" is more than Screening positive for TB Previously enrolled on ART"&amp;CHAR(10),""),IF(Q265&gt;Q254," *  Confirmed TB positive already on ART and on TB treatment "&amp;$P$6&amp;" "&amp;$Q$7&amp;" is more than Screening positive for TB Previously enrolled on ART"&amp;CHAR(10),""),IF(R265&gt;R254," *  Confirmed TB positive already on ART and on TB treatment "&amp;$R$6&amp;" "&amp;$R$7&amp;" is more than Screening positive for TB Previously enrolled on ART"&amp;CHAR(10),""),IF(S265&gt;S254," *  Confirmed TB positive already on ART and on TB treatment "&amp;$R$6&amp;" "&amp;$S$7&amp;" is more than Screening positive for TB Previously enrolled on ART"&amp;CHAR(10),""),IF(T265&gt;T254," *  Confirmed TB positive already on ART and on TB treatment "&amp;$T$6&amp;" "&amp;$T$7&amp;" is more than Screening positive for TB Previously enrolled on ART"&amp;CHAR(10),""),IF(U265&gt;U254," *  Confirmed TB positive already on ART and on TB treatment "&amp;$T$6&amp;" "&amp;$U$7&amp;" is more than Screening positive for TB Previously enrolled on ART"&amp;CHAR(10),""),IF(V265&gt;V254," *  Confirmed TB positive already on ART and on TB treatment "&amp;$V$6&amp;" "&amp;$V$7&amp;" is more than Screening positive for TB Previously enrolled on ART"&amp;CHAR(10),""),IF(W265&gt;W254," *  Confirmed TB positive already on ART and on TB treatment "&amp;$V$6&amp;" "&amp;$W$7&amp;" is more than Screening positive for TB Previously enrolled on ART"&amp;CHAR(10),""),IF(X265&gt;X254," *  Confirmed TB positive already on ART and on TB treatment "&amp;$X$6&amp;" "&amp;$X$7&amp;" is more than Screening positive for TB Previously enrolled on ART"&amp;CHAR(10),""),IF(Y265&gt;Y254," *  Confirmed TB positive already on ART and on TB treatment "&amp;$X$6&amp;" "&amp;$Y$7&amp;" is more than Screening positive for TB Previously enrolled on ART"&amp;CHAR(10),""),IF(Z265&gt;Z254," *  Confirmed TB positive already on ART and on TB treatment "&amp;$Z$6&amp;" "&amp;$Z$7&amp;" is more than Screening positive for TB Previously enrolled on ART"&amp;CHAR(10),""),IF(AA265&gt;AA254," *  Confirmed TB positive already on ART and on TB treatment "&amp;$Z$6&amp;" "&amp;$AA$7&amp;" is more than Screening positive for TB Previously enrolled on ART"&amp;CHAR(10),""))</f>
        <v/>
      </c>
      <c r="AL254" s="100"/>
      <c r="AM254" s="136" t="str">
        <f>CONCATENATE(IF(D265&lt;D254," *  Confirmed TB positive already on ART and on TB treatment "&amp;$D$6&amp;" "&amp;$D$7&amp;" is less than Screening positive for TB Previously enrolled on ART"&amp;CHAR(10),""),IF(E265&lt;E254," *  Confirmed TB positive already on ART and on TB treatment "&amp;$D$6&amp;" "&amp;$E$7&amp;" is less than Screening positive for TB Previously enrolled on ART"&amp;CHAR(10),""),IF(F265&lt;F254," *  Confirmed TB positive already on ART and on TB treatment "&amp;$F$6&amp;" "&amp;$F$7&amp;" is less than Screening positive for TB Previously enrolled on ART"&amp;CHAR(10),""),IF(G265&lt;G254," *  Confirmed TB positive already on ART and on TB treatment "&amp;$F$6&amp;" "&amp;$G$7&amp;" is less than Screening positive for TB Previously enrolled on ART"&amp;CHAR(10),""),IF(H265&lt;H254," *  Confirmed TB positive already on ART and on TB treatment "&amp;$H$6&amp;" "&amp;$H$7&amp;" is less than Screening positive for TB Previously enrolled on ART"&amp;CHAR(10),""),IF(I265&lt;I254," *  Confirmed TB positive already on ART and on TB treatment "&amp;$H$6&amp;" "&amp;$I$7&amp;" is less than Screening positive for TB Previously enrolled on ART"&amp;CHAR(10),""),IF(J265&lt;J254," *  Confirmed TB positive already on ART and on TB treatment "&amp;$J$6&amp;" "&amp;$J$7&amp;" is less than Screening positive for TB Previously enrolled on ART"&amp;CHAR(10),""),IF(K265&lt;K254," *  Confirmed TB positive already on ART and on TB treatment "&amp;$J$6&amp;" "&amp;$K$7&amp;" is less than Screening positive for TB Previously enrolled on ART"&amp;CHAR(10),""),IF(L265&lt;L254," *  Confirmed TB positive already on ART and on TB treatment "&amp;$L$6&amp;" "&amp;$L$7&amp;" is less than Screening positive for TB Previously enrolled on ART"&amp;CHAR(10),""),IF(M265&lt;M254," *  Confirmed TB positive already on ART and on TB treatment "&amp;$L$6&amp;" "&amp;$M$7&amp;" is less than Screening positive for TB Previously enrolled on ART"&amp;CHAR(10),""),IF(N265&lt;N254," *  Confirmed TB positive already on ART and on TB treatment "&amp;$N$6&amp;" "&amp;$N$7&amp;" is less than Screening positive for TB Previously enrolled on ART"&amp;CHAR(10),""),IF(O265&lt;O254," *  Confirmed TB positive already on ART and on TB treatment "&amp;$N$6&amp;" "&amp;$O$7&amp;" is less than Screening positive for TB Previously enrolled on ART"&amp;CHAR(10),""),IF(P265&lt;P254," *  Confirmed TB positive already on ART and on TB treatment "&amp;$P$6&amp;" "&amp;$P$7&amp;" is less than Screening positive for TB Previously enrolled on ART"&amp;CHAR(10),""),IF(Q265&lt;Q254," *  Confirmed TB positive already on ART and on TB treatment "&amp;$P$6&amp;" "&amp;$Q$7&amp;" is less than Screening positive for TB Previously enrolled on ART"&amp;CHAR(10),""),IF(R265&lt;R254," *  Confirmed TB positive already on ART and on TB treatment "&amp;$R$6&amp;" "&amp;$R$7&amp;" is less than Screening positive for TB Previously enrolled on ART"&amp;CHAR(10),""),IF(S265&lt;S254," *  Confirmed TB positive already on ART and on TB treatment "&amp;$R$6&amp;" "&amp;$S$7&amp;" is less than Screening positive for TB Previously enrolled on ART"&amp;CHAR(10),""),IF(T265&lt;T254," *  Confirmed TB positive already on ART and on TB treatment "&amp;$T$6&amp;" "&amp;$T$7&amp;" is less than Screening positive for TB Previously enrolled on ART"&amp;CHAR(10),""),IF(U265&lt;U254," *  Confirmed TB positive already on ART and on TB treatment "&amp;$T$6&amp;" "&amp;$U$7&amp;" is less than Screening positive for TB Previously enrolled on ART"&amp;CHAR(10),""),IF(V265&lt;V254," *  Confirmed TB positive already on ART and on TB treatment "&amp;$V$6&amp;" "&amp;$V$7&amp;" is less than Screening positive for TB Previously enrolled on ART"&amp;CHAR(10),""),IF(W265&lt;W254," *  Confirmed TB positive already on ART and on TB treatment "&amp;$V$6&amp;" "&amp;$W$7&amp;" is less than Screening positive for TB Previously enrolled on ART"&amp;CHAR(10),""),IF(X265&lt;X254," *  Confirmed TB positive already on ART and on TB treatment "&amp;$X$6&amp;" "&amp;$X$7&amp;" is less than Screening positive for TB Previously enrolled on ART"&amp;CHAR(10),""),IF(Y265&lt;Y254," *  Confirmed TB positive already on ART and on TB treatment "&amp;$X$6&amp;" "&amp;$Y$7&amp;" is less than Screening positive for TB Previously enrolled on ART"&amp;CHAR(10),""),IF(Z265&lt;Z254," *  Confirmed TB positive already on ART and on TB treatment "&amp;$Z$6&amp;" "&amp;$Z$7&amp;" is less than Screening positive for TB Previously enrolled on ART"&amp;CHAR(10),""),IF(AA265&lt;AA254," *  Confirmed TB positive already on ART and on TB treatment "&amp;$Z$6&amp;" "&amp;$AA$7&amp;" is less than Screening positive for TB Previously enrolled on ART"&amp;CHAR(10),""))</f>
        <v/>
      </c>
      <c r="AN254" s="421"/>
      <c r="AO254" s="330">
        <v>273</v>
      </c>
    </row>
    <row r="255" spans="1:45" ht="31.5" thickBot="1" x14ac:dyDescent="0.65">
      <c r="A255" s="938"/>
      <c r="B255" s="773" t="s">
        <v>340</v>
      </c>
      <c r="C255" s="337" t="s">
        <v>245</v>
      </c>
      <c r="D255" s="22">
        <f t="shared" ref="D255:Y255" si="140">D253+D254</f>
        <v>0</v>
      </c>
      <c r="E255" s="22">
        <f t="shared" si="140"/>
        <v>0</v>
      </c>
      <c r="F255" s="22">
        <f t="shared" si="140"/>
        <v>0</v>
      </c>
      <c r="G255" s="22">
        <f t="shared" si="140"/>
        <v>0</v>
      </c>
      <c r="H255" s="22">
        <f t="shared" si="140"/>
        <v>0</v>
      </c>
      <c r="I255" s="22">
        <f t="shared" si="140"/>
        <v>0</v>
      </c>
      <c r="J255" s="22">
        <f t="shared" si="140"/>
        <v>0</v>
      </c>
      <c r="K255" s="22">
        <f t="shared" si="140"/>
        <v>0</v>
      </c>
      <c r="L255" s="22">
        <f t="shared" si="140"/>
        <v>0</v>
      </c>
      <c r="M255" s="22">
        <f t="shared" si="140"/>
        <v>0</v>
      </c>
      <c r="N255" s="22">
        <f t="shared" si="140"/>
        <v>0</v>
      </c>
      <c r="O255" s="22">
        <f t="shared" si="140"/>
        <v>0</v>
      </c>
      <c r="P255" s="22">
        <f t="shared" si="140"/>
        <v>0</v>
      </c>
      <c r="Q255" s="22">
        <f t="shared" si="140"/>
        <v>0</v>
      </c>
      <c r="R255" s="22">
        <f t="shared" si="140"/>
        <v>0</v>
      </c>
      <c r="S255" s="22">
        <f t="shared" si="140"/>
        <v>0</v>
      </c>
      <c r="T255" s="22">
        <f t="shared" si="140"/>
        <v>0</v>
      </c>
      <c r="U255" s="22">
        <f t="shared" si="140"/>
        <v>0</v>
      </c>
      <c r="V255" s="22">
        <f t="shared" si="140"/>
        <v>0</v>
      </c>
      <c r="W255" s="22">
        <f t="shared" si="140"/>
        <v>0</v>
      </c>
      <c r="X255" s="22">
        <f t="shared" si="140"/>
        <v>0</v>
      </c>
      <c r="Y255" s="36">
        <f t="shared" si="140"/>
        <v>0</v>
      </c>
      <c r="Z255" s="67">
        <f t="shared" si="138"/>
        <v>0</v>
      </c>
      <c r="AA255" s="68">
        <f t="shared" si="139"/>
        <v>0</v>
      </c>
      <c r="AB255" s="22">
        <f t="shared" ref="AB255:AI255" si="141">AB253+AB254</f>
        <v>0</v>
      </c>
      <c r="AC255" s="22">
        <f t="shared" si="141"/>
        <v>0</v>
      </c>
      <c r="AD255" s="22">
        <f t="shared" si="141"/>
        <v>0</v>
      </c>
      <c r="AE255" s="22">
        <f t="shared" si="141"/>
        <v>0</v>
      </c>
      <c r="AF255" s="22">
        <f t="shared" si="141"/>
        <v>0</v>
      </c>
      <c r="AG255" s="22">
        <f t="shared" si="141"/>
        <v>0</v>
      </c>
      <c r="AH255" s="22">
        <f t="shared" si="141"/>
        <v>0</v>
      </c>
      <c r="AI255" s="22">
        <f t="shared" si="141"/>
        <v>0</v>
      </c>
      <c r="AJ255" s="18">
        <f t="shared" si="127"/>
        <v>0</v>
      </c>
      <c r="AK255" s="349"/>
      <c r="AL255" s="100"/>
      <c r="AM255" s="136"/>
      <c r="AN255" s="421"/>
      <c r="AO255" s="330">
        <v>274</v>
      </c>
    </row>
    <row r="256" spans="1:45" ht="60" customHeight="1" x14ac:dyDescent="0.6">
      <c r="A256" s="938"/>
      <c r="B256" s="747" t="s">
        <v>723</v>
      </c>
      <c r="C256" s="115" t="s">
        <v>255</v>
      </c>
      <c r="D256" s="20"/>
      <c r="E256" s="12"/>
      <c r="F256" s="12"/>
      <c r="G256" s="12"/>
      <c r="H256" s="12"/>
      <c r="I256" s="12"/>
      <c r="J256" s="12"/>
      <c r="K256" s="12"/>
      <c r="L256" s="12"/>
      <c r="M256" s="12"/>
      <c r="N256" s="12"/>
      <c r="O256" s="12"/>
      <c r="P256" s="12"/>
      <c r="Q256" s="12"/>
      <c r="R256" s="12"/>
      <c r="S256" s="12"/>
      <c r="T256" s="12"/>
      <c r="U256" s="12"/>
      <c r="V256" s="12"/>
      <c r="W256" s="12"/>
      <c r="X256" s="12"/>
      <c r="Y256" s="12"/>
      <c r="Z256" s="44">
        <f t="shared" si="138"/>
        <v>0</v>
      </c>
      <c r="AA256" s="44">
        <f t="shared" si="139"/>
        <v>0</v>
      </c>
      <c r="AB256" s="12"/>
      <c r="AC256" s="12"/>
      <c r="AD256" s="12"/>
      <c r="AE256" s="12"/>
      <c r="AF256" s="12"/>
      <c r="AG256" s="12"/>
      <c r="AH256" s="12"/>
      <c r="AI256" s="12"/>
      <c r="AJ256" s="17">
        <f t="shared" si="127"/>
        <v>0</v>
      </c>
      <c r="AK256" s="349"/>
      <c r="AL256" s="100"/>
      <c r="AM256" s="136"/>
      <c r="AN256" s="421"/>
      <c r="AO256" s="330">
        <v>278</v>
      </c>
    </row>
    <row r="257" spans="1:45" s="7" customFormat="1" ht="84" x14ac:dyDescent="0.6">
      <c r="A257" s="938"/>
      <c r="B257" s="766" t="s">
        <v>724</v>
      </c>
      <c r="C257" s="127" t="s">
        <v>256</v>
      </c>
      <c r="D257" s="21"/>
      <c r="E257" s="9"/>
      <c r="F257" s="9"/>
      <c r="G257" s="9"/>
      <c r="H257" s="9"/>
      <c r="I257" s="9"/>
      <c r="J257" s="9"/>
      <c r="K257" s="9"/>
      <c r="L257" s="9"/>
      <c r="M257" s="9"/>
      <c r="N257" s="9"/>
      <c r="O257" s="9"/>
      <c r="P257" s="9"/>
      <c r="Q257" s="9"/>
      <c r="R257" s="9"/>
      <c r="S257" s="9"/>
      <c r="T257" s="9"/>
      <c r="U257" s="9"/>
      <c r="V257" s="9"/>
      <c r="W257" s="9"/>
      <c r="X257" s="9"/>
      <c r="Y257" s="9"/>
      <c r="Z257" s="44">
        <f t="shared" si="138"/>
        <v>0</v>
      </c>
      <c r="AA257" s="44">
        <f t="shared" si="139"/>
        <v>0</v>
      </c>
      <c r="AB257" s="9"/>
      <c r="AC257" s="9"/>
      <c r="AD257" s="9"/>
      <c r="AE257" s="9"/>
      <c r="AF257" s="9"/>
      <c r="AG257" s="9"/>
      <c r="AH257" s="9"/>
      <c r="AI257" s="9"/>
      <c r="AJ257" s="16">
        <f t="shared" si="127"/>
        <v>0</v>
      </c>
      <c r="AK257" s="349"/>
      <c r="AL257" s="100"/>
      <c r="AM257" s="138"/>
      <c r="AN257" s="421"/>
      <c r="AO257" s="330">
        <v>279</v>
      </c>
      <c r="AQ257" s="1046"/>
      <c r="AR257" s="1046"/>
      <c r="AS257" s="1046"/>
    </row>
    <row r="258" spans="1:45" ht="59.25" customHeight="1" x14ac:dyDescent="0.6">
      <c r="A258" s="938"/>
      <c r="B258" s="766" t="s">
        <v>725</v>
      </c>
      <c r="C258" s="127" t="s">
        <v>257</v>
      </c>
      <c r="D258" s="21"/>
      <c r="E258" s="9"/>
      <c r="F258" s="9"/>
      <c r="G258" s="9"/>
      <c r="H258" s="9"/>
      <c r="I258" s="9"/>
      <c r="J258" s="9"/>
      <c r="K258" s="9"/>
      <c r="L258" s="9"/>
      <c r="M258" s="9"/>
      <c r="N258" s="9"/>
      <c r="O258" s="9"/>
      <c r="P258" s="9"/>
      <c r="Q258" s="9"/>
      <c r="R258" s="9"/>
      <c r="S258" s="9"/>
      <c r="T258" s="9"/>
      <c r="U258" s="9"/>
      <c r="V258" s="9"/>
      <c r="W258" s="9"/>
      <c r="X258" s="9"/>
      <c r="Y258" s="9"/>
      <c r="Z258" s="44">
        <f t="shared" si="138"/>
        <v>0</v>
      </c>
      <c r="AA258" s="44">
        <f t="shared" si="139"/>
        <v>0</v>
      </c>
      <c r="AB258" s="9"/>
      <c r="AC258" s="9"/>
      <c r="AD258" s="9"/>
      <c r="AE258" s="9"/>
      <c r="AF258" s="9"/>
      <c r="AG258" s="9"/>
      <c r="AH258" s="9"/>
      <c r="AI258" s="9"/>
      <c r="AJ258" s="16">
        <f t="shared" si="127"/>
        <v>0</v>
      </c>
      <c r="AK258" s="349"/>
      <c r="AL258" s="100"/>
      <c r="AM258" s="136"/>
      <c r="AN258" s="421"/>
      <c r="AO258" s="330">
        <v>280</v>
      </c>
    </row>
    <row r="259" spans="1:45" ht="32.25" customHeight="1" thickBot="1" x14ac:dyDescent="0.65">
      <c r="A259" s="938"/>
      <c r="B259" s="773" t="s">
        <v>549</v>
      </c>
      <c r="C259" s="337" t="s">
        <v>261</v>
      </c>
      <c r="D259" s="604">
        <f t="shared" ref="D259:Y259" si="142">SUM(D256:D258)</f>
        <v>0</v>
      </c>
      <c r="E259" s="604">
        <f t="shared" si="142"/>
        <v>0</v>
      </c>
      <c r="F259" s="604">
        <f t="shared" si="142"/>
        <v>0</v>
      </c>
      <c r="G259" s="604">
        <f t="shared" si="142"/>
        <v>0</v>
      </c>
      <c r="H259" s="604">
        <f t="shared" si="142"/>
        <v>0</v>
      </c>
      <c r="I259" s="604">
        <f t="shared" si="142"/>
        <v>0</v>
      </c>
      <c r="J259" s="604">
        <f t="shared" si="142"/>
        <v>0</v>
      </c>
      <c r="K259" s="604">
        <f t="shared" si="142"/>
        <v>0</v>
      </c>
      <c r="L259" s="604">
        <f t="shared" si="142"/>
        <v>0</v>
      </c>
      <c r="M259" s="604">
        <f t="shared" si="142"/>
        <v>0</v>
      </c>
      <c r="N259" s="604">
        <f t="shared" si="142"/>
        <v>0</v>
      </c>
      <c r="O259" s="604">
        <f t="shared" si="142"/>
        <v>0</v>
      </c>
      <c r="P259" s="604">
        <f t="shared" si="142"/>
        <v>0</v>
      </c>
      <c r="Q259" s="604">
        <f t="shared" si="142"/>
        <v>0</v>
      </c>
      <c r="R259" s="604">
        <f t="shared" si="142"/>
        <v>0</v>
      </c>
      <c r="S259" s="604">
        <f t="shared" si="142"/>
        <v>0</v>
      </c>
      <c r="T259" s="604">
        <f t="shared" si="142"/>
        <v>0</v>
      </c>
      <c r="U259" s="604">
        <f t="shared" si="142"/>
        <v>0</v>
      </c>
      <c r="V259" s="604">
        <f t="shared" si="142"/>
        <v>0</v>
      </c>
      <c r="W259" s="604">
        <f t="shared" si="142"/>
        <v>0</v>
      </c>
      <c r="X259" s="604">
        <f t="shared" si="142"/>
        <v>0</v>
      </c>
      <c r="Y259" s="604">
        <f t="shared" si="142"/>
        <v>0</v>
      </c>
      <c r="Z259" s="546">
        <f t="shared" si="138"/>
        <v>0</v>
      </c>
      <c r="AA259" s="546">
        <f t="shared" si="139"/>
        <v>0</v>
      </c>
      <c r="AB259" s="604">
        <f t="shared" ref="AB259:AI259" si="143">SUM(AB256:AB258)</f>
        <v>0</v>
      </c>
      <c r="AC259" s="604">
        <f t="shared" si="143"/>
        <v>0</v>
      </c>
      <c r="AD259" s="604">
        <f t="shared" si="143"/>
        <v>0</v>
      </c>
      <c r="AE259" s="604">
        <f t="shared" si="143"/>
        <v>0</v>
      </c>
      <c r="AF259" s="604">
        <f t="shared" si="143"/>
        <v>0</v>
      </c>
      <c r="AG259" s="604">
        <f t="shared" si="143"/>
        <v>0</v>
      </c>
      <c r="AH259" s="604">
        <f t="shared" si="143"/>
        <v>0</v>
      </c>
      <c r="AI259" s="604">
        <f t="shared" si="143"/>
        <v>0</v>
      </c>
      <c r="AJ259" s="373">
        <f t="shared" si="127"/>
        <v>0</v>
      </c>
      <c r="AK259" s="174" t="str">
        <f>CONCATENATE(IF(D260&gt;D259," *  Positive Result Returned For bacteriologic diagnosis "&amp;$D$6&amp;" "&amp;$D$7&amp;" is more than Total Patients whose specimens were sent"&amp;CHAR(10),""),IF(E260&gt;E259," *  Positive Result Returned For bacteriologic diagnosis "&amp;$D$6&amp;" "&amp;$E$7&amp;" is more than Total Patients whose specimens were sent"&amp;CHAR(10),""),IF(F260&gt;F259," *  Positive Result Returned For bacteriologic diagnosis "&amp;$F$6&amp;" "&amp;$F$7&amp;" is more than Total Patients whose specimens were sent"&amp;CHAR(10),""),IF(G260&gt;G259," *  Positive Result Returned For bacteriologic diagnosis "&amp;$F$6&amp;" "&amp;$G$7&amp;" is more than Total Patients whose specimens were sent"&amp;CHAR(10),""),IF(H260&gt;H259," *  Positive Result Returned For bacteriologic diagnosis "&amp;$H$6&amp;" "&amp;$H$7&amp;" is more than Total Patients whose specimens were sent"&amp;CHAR(10),""),IF(I260&gt;I259," *  Positive Result Returned For bacteriologic diagnosis "&amp;$H$6&amp;" "&amp;$I$7&amp;" is more than Total Patients whose specimens were sent"&amp;CHAR(10),""),IF(J260&gt;J259," *  Positive Result Returned For bacteriologic diagnosis "&amp;$J$6&amp;" "&amp;$J$7&amp;" is more than Total Patients whose specimens were sent"&amp;CHAR(10),""),IF(K260&gt;K259," *  Positive Result Returned For bacteriologic diagnosis "&amp;$J$6&amp;" "&amp;$K$7&amp;" is more than Total Patients whose specimens were sent"&amp;CHAR(10),""),IF(L260&gt;L259," *  Positive Result Returned For bacteriologic diagnosis "&amp;$L$6&amp;" "&amp;$L$7&amp;" is more than Total Patients whose specimens were sent"&amp;CHAR(10),""),IF(M260&gt;M259," *  Positive Result Returned For bacteriologic diagnosis "&amp;$L$6&amp;" "&amp;$M$7&amp;" is more than Total Patients whose specimens were sent"&amp;CHAR(10),""),IF(N260&gt;N259," *  Positive Result Returned For bacteriologic diagnosis "&amp;$N$6&amp;" "&amp;$N$7&amp;" is more than Total Patients whose specimens were sent"&amp;CHAR(10),""),IF(O260&gt;O259," *  Positive Result Returned For bacteriologic diagnosis "&amp;$N$6&amp;" "&amp;$O$7&amp;" is more than Total Patients whose specimens were sent"&amp;CHAR(10),""),IF(P260&gt;P259," *  Positive Result Returned For bacteriologic diagnosis "&amp;$P$6&amp;" "&amp;$P$7&amp;" is more than Total Patients whose specimens were sent"&amp;CHAR(10),""),IF(Q260&gt;Q259," *  Positive Result Returned For bacteriologic diagnosis "&amp;$P$6&amp;" "&amp;$Q$7&amp;" is more than Total Patients whose specimens were sent"&amp;CHAR(10),""),IF(R260&gt;R259," *  Positive Result Returned For bacteriologic diagnosis "&amp;$R$6&amp;" "&amp;$R$7&amp;" is more than Total Patients whose specimens were sent"&amp;CHAR(10),""),IF(S260&gt;S259," *  Positive Result Returned For bacteriologic diagnosis "&amp;$R$6&amp;" "&amp;$S$7&amp;" is more than Total Patients whose specimens were sent"&amp;CHAR(10),""),IF(T260&gt;T259," *  Positive Result Returned For bacteriologic diagnosis "&amp;$T$6&amp;" "&amp;$T$7&amp;" is more than Total Patients whose specimens were sent"&amp;CHAR(10),""),IF(U260&gt;U259," *  Positive Result Returned For bacteriologic diagnosis "&amp;$T$6&amp;" "&amp;$U$7&amp;" is more than Total Patients whose specimens were sent"&amp;CHAR(10),""),IF(V260&gt;V259," *  Positive Result Returned For bacteriologic diagnosis "&amp;$V$6&amp;" "&amp;$V$7&amp;" is more than Total Patients whose specimens were sent"&amp;CHAR(10),""),IF(W260&gt;W259," *  Positive Result Returned For bacteriologic diagnosis "&amp;$V$6&amp;" "&amp;$W$7&amp;" is more than Total Patients whose specimens were sent"&amp;CHAR(10),""),IF(X260&gt;X259," *  Positive Result Returned For bacteriologic diagnosis "&amp;$X$6&amp;" "&amp;$X$7&amp;" is more than Total Patients whose specimens were sent"&amp;CHAR(10),""),IF(Y260&gt;Y259," *  Positive Result Returned For bacteriologic diagnosis "&amp;$X$6&amp;" "&amp;$Y$7&amp;" is more than Total Patients whose specimens were sent"&amp;CHAR(10),""),IF(Z260&gt;Z259," *  Positive Result Returned For bacteriologic diagnosis "&amp;$Z$6&amp;" "&amp;$Z$7&amp;" is more than Total Patients whose specimens were sent"&amp;CHAR(10),""),IF(AA260&gt;AA259," *  Positive Result Returned For bacteriologic diagnosis "&amp;$Z$6&amp;" "&amp;$AA$7&amp;" is more than Total Patients whose specimens were sent"&amp;CHAR(10),""))</f>
        <v/>
      </c>
      <c r="AL259" s="100"/>
      <c r="AM259" s="136"/>
      <c r="AN259" s="421"/>
      <c r="AO259" s="330">
        <v>281</v>
      </c>
    </row>
    <row r="260" spans="1:45" ht="57" thickBot="1" x14ac:dyDescent="0.65">
      <c r="A260" s="939"/>
      <c r="B260" s="777" t="s">
        <v>260</v>
      </c>
      <c r="C260" s="365" t="s">
        <v>262</v>
      </c>
      <c r="D260" s="61"/>
      <c r="E260" s="61"/>
      <c r="F260" s="61"/>
      <c r="G260" s="61"/>
      <c r="H260" s="61"/>
      <c r="I260" s="61"/>
      <c r="J260" s="61"/>
      <c r="K260" s="61"/>
      <c r="L260" s="61"/>
      <c r="M260" s="61"/>
      <c r="N260" s="61"/>
      <c r="O260" s="61"/>
      <c r="P260" s="61"/>
      <c r="Q260" s="61"/>
      <c r="R260" s="61"/>
      <c r="S260" s="61"/>
      <c r="T260" s="61"/>
      <c r="U260" s="61"/>
      <c r="V260" s="61"/>
      <c r="W260" s="61"/>
      <c r="X260" s="61"/>
      <c r="Y260" s="61"/>
      <c r="Z260" s="48">
        <f t="shared" ref="Z260:AA265" si="144">SUM(AB260,AD260,AF260,AH260)</f>
        <v>0</v>
      </c>
      <c r="AA260" s="48">
        <f t="shared" si="144"/>
        <v>0</v>
      </c>
      <c r="AB260" s="61"/>
      <c r="AC260" s="61"/>
      <c r="AD260" s="61"/>
      <c r="AE260" s="61"/>
      <c r="AF260" s="61"/>
      <c r="AG260" s="61"/>
      <c r="AH260" s="61"/>
      <c r="AI260" s="61"/>
      <c r="AJ260" s="39">
        <f t="shared" si="127"/>
        <v>0</v>
      </c>
      <c r="AK260" s="174" t="str">
        <f>CONCATENATE(IF(D255&lt;D259," *  Total Screening positive for TB ( Presumptive TB Clients ) "&amp;$D$6&amp;" "&amp;$D$7&amp;" is less than Total Patients whose specimens were sent"&amp;CHAR(10),""),IF(E255&lt;E259," *  Total Screening positive for TB ( Presumptive TB Clients ) "&amp;$D$6&amp;" "&amp;$E$7&amp;" is less than Total Patients whose specimens were sent"&amp;CHAR(10),""),IF(F255&lt;F259," *  Total Screening positive for TB ( Presumptive TB Clients ) "&amp;$F$6&amp;" "&amp;$F$7&amp;" is less than Total Patients whose specimens were sent"&amp;CHAR(10),""),IF(G255&lt;G259," *  Total Screening positive for TB ( Presumptive TB Clients ) "&amp;$F$6&amp;" "&amp;$G$7&amp;" is less than Total Patients whose specimens were sent"&amp;CHAR(10),""),IF(H255&lt;H259," *  Total Screening positive for TB ( Presumptive TB Clients ) "&amp;$H$6&amp;" "&amp;$H$7&amp;" is less than Total Patients whose specimens were sent"&amp;CHAR(10),""),IF(I255&lt;I259," *  Total Screening positive for TB ( Presumptive TB Clients ) "&amp;$H$6&amp;" "&amp;$I$7&amp;" is less than Total Patients whose specimens were sent"&amp;CHAR(10),""),IF(J255&lt;J259," *  Total Screening positive for TB ( Presumptive TB Clients ) "&amp;$J$6&amp;" "&amp;$J$7&amp;" is less than Total Patients whose specimens were sent"&amp;CHAR(10),""),IF(K255&lt;K259," *  Total Screening positive for TB ( Presumptive TB Clients ) "&amp;$J$6&amp;" "&amp;$K$7&amp;" is less than Total Patients whose specimens were sent"&amp;CHAR(10),""),IF(L255&lt;L259," *  Total Screening positive for TB ( Presumptive TB Clients ) "&amp;$L$6&amp;" "&amp;$L$7&amp;" is less than Total Patients whose specimens were sent"&amp;CHAR(10),""),IF(M255&lt;M259," *  Total Screening positive for TB ( Presumptive TB Clients ) "&amp;$L$6&amp;" "&amp;$M$7&amp;" is less than Total Patients whose specimens were sent"&amp;CHAR(10),""),IF(N255&lt;N259," *  Total Screening positive for TB ( Presumptive TB Clients ) "&amp;$N$6&amp;" "&amp;$N$7&amp;" is less than Total Patients whose specimens were sent"&amp;CHAR(10),""),IF(O255&lt;O259," *  Total Screening positive for TB ( Presumptive TB Clients ) "&amp;$N$6&amp;" "&amp;$O$7&amp;" is less than Total Patients whose specimens were sent"&amp;CHAR(10),""),IF(P255&lt;P259," *  Total Screening positive for TB ( Presumptive TB Clients ) "&amp;$P$6&amp;" "&amp;$P$7&amp;" is less than Total Patients whose specimens were sent"&amp;CHAR(10),""),IF(Q255&lt;Q259," *  Total Screening positive for TB ( Presumptive TB Clients ) "&amp;$P$6&amp;" "&amp;$Q$7&amp;" is less than Total Patients whose specimens were sent"&amp;CHAR(10),""),IF(R255&lt;R259," *  Total Screening positive for TB ( Presumptive TB Clients ) "&amp;$R$6&amp;" "&amp;$R$7&amp;" is less than Total Patients whose specimens were sent"&amp;CHAR(10),""),IF(S255&lt;S259," *  Total Screening positive for TB ( Presumptive TB Clients ) "&amp;$R$6&amp;" "&amp;$S$7&amp;" is less than Total Patients whose specimens were sent"&amp;CHAR(10),""),IF(T255&lt;T259," *  Total Screening positive for TB ( Presumptive TB Clients ) "&amp;$T$6&amp;" "&amp;$T$7&amp;" is less than Total Patients whose specimens were sent"&amp;CHAR(10),""),IF(U255&lt;U259," *  Total Screening positive for TB ( Presumptive TB Clients ) "&amp;$T$6&amp;" "&amp;$U$7&amp;" is less than Total Patients whose specimens were sent"&amp;CHAR(10),""),IF(V255&lt;V259," *  Total Screening positive for TB ( Presumptive TB Clients ) "&amp;$V$6&amp;" "&amp;$V$7&amp;" is less than Total Patients whose specimens were sent"&amp;CHAR(10),""),IF(W255&lt;W259," *  Total Screening positive for TB ( Presumptive TB Clients ) "&amp;$V$6&amp;" "&amp;$W$7&amp;" is less than Total Patients whose specimens were sent"&amp;CHAR(10),""),IF(X255&lt;X259," *  Total Screening positive for TB ( Presumptive TB Clients ) "&amp;$X$6&amp;" "&amp;$X$7&amp;" is less than Total Patients whose specimens were sent"&amp;CHAR(10),""),IF(Y255&lt;Y259," *  Total Screening positive for TB ( Presumptive TB Clients ) "&amp;$X$6&amp;" "&amp;$Y$7&amp;" is less than Total Patients whose specimens were sent"&amp;CHAR(10),""),IF(Z255&lt;Z259," *  Total Screening positive for TB ( Presumptive TB Clients ) "&amp;$Z$6&amp;" "&amp;$Z$7&amp;" is less than Total Patients whose specimens were sent"&amp;CHAR(10),""),IF(AA255&lt;AA259," *  Total Screening positive for TB ( Presumptive TB Clients ) "&amp;$Z$6&amp;" "&amp;$AA$7&amp;" is less than Total Patients whose specimens were sent"&amp;CHAR(10),""))</f>
        <v/>
      </c>
      <c r="AL260" s="100"/>
      <c r="AM260" s="136"/>
      <c r="AN260" s="421"/>
      <c r="AO260" s="330">
        <v>282</v>
      </c>
    </row>
    <row r="261" spans="1:45" ht="47.25" customHeight="1" x14ac:dyDescent="0.6">
      <c r="A261" s="936" t="s">
        <v>665</v>
      </c>
      <c r="B261" s="778" t="s">
        <v>666</v>
      </c>
      <c r="C261" s="169" t="s">
        <v>506</v>
      </c>
      <c r="D261" s="54"/>
      <c r="E261" s="54"/>
      <c r="F261" s="54"/>
      <c r="G261" s="54"/>
      <c r="H261" s="54"/>
      <c r="I261" s="54"/>
      <c r="J261" s="54"/>
      <c r="K261" s="54"/>
      <c r="L261" s="54"/>
      <c r="M261" s="54"/>
      <c r="N261" s="54"/>
      <c r="O261" s="54"/>
      <c r="P261" s="54"/>
      <c r="Q261" s="54"/>
      <c r="R261" s="54"/>
      <c r="S261" s="54"/>
      <c r="T261" s="54"/>
      <c r="U261" s="54"/>
      <c r="V261" s="54"/>
      <c r="W261" s="54"/>
      <c r="X261" s="54"/>
      <c r="Y261" s="54"/>
      <c r="Z261" s="50">
        <f t="shared" si="144"/>
        <v>0</v>
      </c>
      <c r="AA261" s="50">
        <f t="shared" si="144"/>
        <v>0</v>
      </c>
      <c r="AB261" s="54"/>
      <c r="AC261" s="54"/>
      <c r="AD261" s="54"/>
      <c r="AE261" s="54"/>
      <c r="AF261" s="54"/>
      <c r="AG261" s="54"/>
      <c r="AH261" s="54"/>
      <c r="AI261" s="54"/>
      <c r="AJ261" s="57">
        <f t="shared" si="127"/>
        <v>0</v>
      </c>
      <c r="AK261" s="174" t="str">
        <f>CONCATENATE(IF(D250&lt;&gt;(D261+D262+D263)," * Total "&amp;A261&amp;" "&amp;$D$6&amp;" "&amp;$D$7&amp;" should be equal to "&amp;B250&amp;""&amp;CHAR(10),""),IF(E250&lt;&gt;(E261+E262+E263)," * Total "&amp;A261&amp;" "&amp;$D$6&amp;" "&amp;$E$7&amp;" should be equal to  "&amp;B250&amp;""&amp;CHAR(10),""),IF(F250&lt;&gt;(F261+F262+F263)," * Total "&amp;A261&amp;" "&amp;$F$6&amp;" "&amp;$F$7&amp;" should be equal to  "&amp;B250&amp;""&amp;CHAR(10),""),IF(G250&lt;&gt;(G261+G262+G263)," * Total "&amp;A261&amp;" "&amp;$F$6&amp;" "&amp;$G$7&amp;" should be equal to  "&amp;B250&amp;""&amp;CHAR(10),""),IF(H250&lt;&gt;(H261+H262+H263)," * Total "&amp;A261&amp;" "&amp;$H$6&amp;" "&amp;$H$7&amp;" should be equal to  "&amp;B250&amp;""&amp;CHAR(10),""),IF(I250&lt;&gt;(I261+I262+I263)," * Total "&amp;A261&amp;" "&amp;$H$6&amp;" "&amp;$I$7&amp;" should be equal to  "&amp;B250&amp;""&amp;CHAR(10),""),IF(J250&lt;&gt;(J261+J262+J263)," * Total "&amp;A261&amp;" "&amp;$J$6&amp;" "&amp;$J$7&amp;" should be equal to  "&amp;B250&amp;""&amp;CHAR(10),""),IF(K250&lt;&gt;(K261+K262+K263)," * Total "&amp;A261&amp;" "&amp;$J$6&amp;" "&amp;$K$7&amp;" should be equal to  "&amp;B250&amp;""&amp;CHAR(10),""),IF(L250&lt;&gt;(L261+L262+L263)," * Total "&amp;A261&amp;" "&amp;$L$6&amp;" "&amp;$L$7&amp;" should be equal to  "&amp;B250&amp;""&amp;CHAR(10),""),IF(M250&lt;&gt;(M261+M262+M263)," * Total "&amp;A261&amp;" "&amp;$L$6&amp;" "&amp;$M$7&amp;" should be equal to  "&amp;B250&amp;""&amp;CHAR(10),""),IF(N250&lt;&gt;(N261+N262+N263)," * Total "&amp;A261&amp;" "&amp;$N$6&amp;" "&amp;$N$7&amp;" should be equal to  "&amp;B250&amp;""&amp;CHAR(10),""),IF(O250&lt;&gt;(O261+O262+O263)," * Total "&amp;A261&amp;" "&amp;$N$6&amp;" "&amp;$O$7&amp;" should be equal to  "&amp;B250&amp;""&amp;CHAR(10),""),IF(P250&lt;&gt;(P261+P262+P263)," * Total "&amp;A261&amp;" "&amp;$P$6&amp;" "&amp;$P$7&amp;" should be equal to  "&amp;B250&amp;""&amp;CHAR(10),""),IF(Q250&lt;&gt;(Q261+Q262+Q263)," * Total "&amp;A261&amp;" "&amp;$P$6&amp;" "&amp;$Q$7&amp;" should be equal to  "&amp;B250&amp;""&amp;CHAR(10),""),IF(R250&lt;&gt;(R261+R262+R263)," * Total "&amp;A261&amp;" "&amp;$R$6&amp;" "&amp;$R$7&amp;" should be equal to  "&amp;B250&amp;""&amp;CHAR(10),""),IF(S250&lt;&gt;(S261+S262+S263)," * Total "&amp;A261&amp;" "&amp;$R$6&amp;" "&amp;$S$7&amp;" should be equal to  "&amp;B250&amp;""&amp;CHAR(10),""),IF(T250&lt;&gt;(T261+T262+T263)," * Total "&amp;A261&amp;" "&amp;$T$6&amp;" "&amp;$T$7&amp;" should be equal to  "&amp;B250&amp;""&amp;CHAR(10),""),IF(U250&lt;&gt;(U261+U262+U263)," * Total "&amp;A261&amp;" "&amp;$T$6&amp;" "&amp;$U$7&amp;" should be equal to  "&amp;B250&amp;""&amp;CHAR(10),""),IF(V250&lt;&gt;(V261+V262+V263)," * Total "&amp;A261&amp;" "&amp;$V$6&amp;" "&amp;$V$7&amp;" should be equal to  "&amp;B250&amp;""&amp;CHAR(10),""),IF(W250&lt;&gt;(W261+W262+W263)," * Total "&amp;A261&amp;" "&amp;$V$6&amp;" "&amp;$W$7&amp;" should be equal to  "&amp;B250&amp;""&amp;CHAR(10),""),IF(X250&lt;&gt;(X261+X262+X263)," * Total "&amp;A261&amp;" "&amp;$X$6&amp;" "&amp;$X$7&amp;" should be equal to  "&amp;B250&amp;""&amp;CHAR(10),""),IF(Y250&lt;&gt;(Y261+Y262+Y263)," * Total "&amp;A261&amp;" "&amp;$X$6&amp;" "&amp;$Y$7&amp;" should be equal to  "&amp;B250&amp;""&amp;CHAR(10),""),IF(Z250&lt;&gt;(Z261+Z262+Z263)," * Total "&amp;A261&amp;" "&amp;$Z$6&amp;" "&amp;$Z$7&amp;" should be equal to  "&amp;B250&amp;""&amp;CHAR(10),""),IF(AA250&lt;&gt;(AA261+AA262+AA263)," * Total "&amp;A261&amp;" "&amp;$Z$6&amp;" "&amp;$AA$7&amp;" should be equal to  "&amp;B250&amp;""&amp;CHAR(10),""))</f>
        <v/>
      </c>
      <c r="AL261" s="100"/>
      <c r="AM261" s="136"/>
      <c r="AN261" s="421"/>
      <c r="AO261" s="330"/>
    </row>
    <row r="262" spans="1:45" ht="36" customHeight="1" x14ac:dyDescent="0.6">
      <c r="A262" s="866"/>
      <c r="B262" s="732" t="s">
        <v>667</v>
      </c>
      <c r="C262" s="605" t="s">
        <v>507</v>
      </c>
      <c r="D262" s="55"/>
      <c r="E262" s="55"/>
      <c r="F262" s="55"/>
      <c r="G262" s="55"/>
      <c r="H262" s="55"/>
      <c r="I262" s="55"/>
      <c r="J262" s="55"/>
      <c r="K262" s="55"/>
      <c r="L262" s="55"/>
      <c r="M262" s="55"/>
      <c r="N262" s="55"/>
      <c r="O262" s="55"/>
      <c r="P262" s="55"/>
      <c r="Q262" s="55"/>
      <c r="R262" s="55"/>
      <c r="S262" s="55"/>
      <c r="T262" s="55"/>
      <c r="U262" s="55"/>
      <c r="V262" s="55"/>
      <c r="W262" s="55"/>
      <c r="X262" s="55"/>
      <c r="Y262" s="55"/>
      <c r="Z262" s="50">
        <f t="shared" si="144"/>
        <v>0</v>
      </c>
      <c r="AA262" s="50">
        <f t="shared" si="144"/>
        <v>0</v>
      </c>
      <c r="AB262" s="55"/>
      <c r="AC262" s="55"/>
      <c r="AD262" s="55"/>
      <c r="AE262" s="55"/>
      <c r="AF262" s="55"/>
      <c r="AG262" s="55"/>
      <c r="AH262" s="55"/>
      <c r="AI262" s="55"/>
      <c r="AJ262" s="59">
        <f t="shared" si="127"/>
        <v>0</v>
      </c>
      <c r="AK262" s="174"/>
      <c r="AL262" s="100"/>
      <c r="AM262" s="136"/>
      <c r="AN262" s="421"/>
      <c r="AO262" s="330"/>
    </row>
    <row r="263" spans="1:45" ht="57" thickBot="1" x14ac:dyDescent="0.65">
      <c r="A263" s="867"/>
      <c r="B263" s="779" t="s">
        <v>668</v>
      </c>
      <c r="C263" s="606" t="s">
        <v>508</v>
      </c>
      <c r="D263" s="56"/>
      <c r="E263" s="56"/>
      <c r="F263" s="56"/>
      <c r="G263" s="56"/>
      <c r="H263" s="56"/>
      <c r="I263" s="56"/>
      <c r="J263" s="56"/>
      <c r="K263" s="56"/>
      <c r="L263" s="56"/>
      <c r="M263" s="56"/>
      <c r="N263" s="56"/>
      <c r="O263" s="56"/>
      <c r="P263" s="56"/>
      <c r="Q263" s="56"/>
      <c r="R263" s="56"/>
      <c r="S263" s="56"/>
      <c r="T263" s="56"/>
      <c r="U263" s="56"/>
      <c r="V263" s="56"/>
      <c r="W263" s="56"/>
      <c r="X263" s="56"/>
      <c r="Y263" s="56"/>
      <c r="Z263" s="50">
        <f t="shared" si="144"/>
        <v>0</v>
      </c>
      <c r="AA263" s="50">
        <f t="shared" si="144"/>
        <v>0</v>
      </c>
      <c r="AB263" s="56"/>
      <c r="AC263" s="56"/>
      <c r="AD263" s="56"/>
      <c r="AE263" s="56"/>
      <c r="AF263" s="56"/>
      <c r="AG263" s="56"/>
      <c r="AH263" s="56"/>
      <c r="AI263" s="56"/>
      <c r="AJ263" s="58">
        <f t="shared" si="127"/>
        <v>0</v>
      </c>
      <c r="AK263" s="174"/>
      <c r="AL263" s="100"/>
      <c r="AM263" s="136"/>
      <c r="AN263" s="421"/>
      <c r="AO263" s="330"/>
    </row>
    <row r="264" spans="1:45" ht="66" customHeight="1" x14ac:dyDescent="0.6">
      <c r="A264" s="868" t="s">
        <v>669</v>
      </c>
      <c r="B264" s="707" t="s">
        <v>476</v>
      </c>
      <c r="C264" s="411" t="s">
        <v>263</v>
      </c>
      <c r="D264" s="14"/>
      <c r="E264" s="14"/>
      <c r="F264" s="14"/>
      <c r="G264" s="14"/>
      <c r="H264" s="14"/>
      <c r="I264" s="14"/>
      <c r="J264" s="14"/>
      <c r="K264" s="14"/>
      <c r="L264" s="14"/>
      <c r="M264" s="14"/>
      <c r="N264" s="14"/>
      <c r="O264" s="14"/>
      <c r="P264" s="14"/>
      <c r="Q264" s="14"/>
      <c r="R264" s="14"/>
      <c r="S264" s="14"/>
      <c r="T264" s="14"/>
      <c r="U264" s="14"/>
      <c r="V264" s="14"/>
      <c r="W264" s="14"/>
      <c r="X264" s="14"/>
      <c r="Y264" s="14"/>
      <c r="Z264" s="50">
        <f t="shared" si="144"/>
        <v>0</v>
      </c>
      <c r="AA264" s="50">
        <f t="shared" si="144"/>
        <v>0</v>
      </c>
      <c r="AB264" s="14"/>
      <c r="AC264" s="14"/>
      <c r="AD264" s="14"/>
      <c r="AE264" s="14"/>
      <c r="AF264" s="14"/>
      <c r="AG264" s="14"/>
      <c r="AH264" s="14"/>
      <c r="AI264" s="52"/>
      <c r="AJ264" s="62">
        <f>SUM(D264:AA264)</f>
        <v>0</v>
      </c>
      <c r="AK264" s="349"/>
      <c r="AL264" s="100"/>
      <c r="AM264" s="136"/>
      <c r="AN264" s="421"/>
      <c r="AO264" s="330">
        <v>283</v>
      </c>
    </row>
    <row r="265" spans="1:45" ht="57" customHeight="1" x14ac:dyDescent="0.6">
      <c r="A265" s="869"/>
      <c r="B265" s="716" t="s">
        <v>477</v>
      </c>
      <c r="C265" s="127" t="s">
        <v>264</v>
      </c>
      <c r="D265" s="9"/>
      <c r="E265" s="9"/>
      <c r="F265" s="9"/>
      <c r="G265" s="9"/>
      <c r="H265" s="9"/>
      <c r="I265" s="9"/>
      <c r="J265" s="9"/>
      <c r="K265" s="9"/>
      <c r="L265" s="9"/>
      <c r="M265" s="9"/>
      <c r="N265" s="9"/>
      <c r="O265" s="9"/>
      <c r="P265" s="9"/>
      <c r="Q265" s="9"/>
      <c r="R265" s="9"/>
      <c r="S265" s="9"/>
      <c r="T265" s="9"/>
      <c r="U265" s="9"/>
      <c r="V265" s="9"/>
      <c r="W265" s="9"/>
      <c r="X265" s="9"/>
      <c r="Y265" s="9"/>
      <c r="Z265" s="44">
        <f t="shared" si="144"/>
        <v>0</v>
      </c>
      <c r="AA265" s="44">
        <f t="shared" si="144"/>
        <v>0</v>
      </c>
      <c r="AB265" s="9"/>
      <c r="AC265" s="9"/>
      <c r="AD265" s="9"/>
      <c r="AE265" s="9"/>
      <c r="AF265" s="9"/>
      <c r="AG265" s="9"/>
      <c r="AH265" s="9"/>
      <c r="AI265" s="33"/>
      <c r="AJ265" s="53">
        <f>SUM(D265:AA265)</f>
        <v>0</v>
      </c>
      <c r="AK265" s="349" t="str">
        <f>CONCATENATE(IF(D266&gt;D260," *  Confirmed ART Patients TB positive and started on TB treatment "&amp;$D$6&amp;" "&amp;$D$7&amp;" is less than  ART patients who had a positive result returned F07-50"&amp;CHAR(10),""),IF(E266&gt;E260," *  Confirmed ART Patients TB positive and started on TB treatment "&amp;$D$6&amp;" "&amp;$E$7&amp;" is less than  ART patients who had a positive result returned F07-50"&amp;CHAR(10),""),IF(F266&gt;F260," *  Confirmed ART Patients TB positive and started on TB treatment "&amp;$F$6&amp;" "&amp;$F$7&amp;" is less than  ART patients who had a positive result returned F07-50"&amp;CHAR(10),""),IF(G266&gt;G260," *  Confirmed ART Patients TB positive and started on TB treatment "&amp;$F$6&amp;" "&amp;$G$7&amp;" is less than  ART patients who had a positive result returned F07-50"&amp;CHAR(10),""),IF(H266&gt;H260," *  Confirmed ART Patients TB positive and started on TB treatment "&amp;$H$6&amp;" "&amp;$H$7&amp;" is less than  ART patients who had a positive result returned F07-50"&amp;CHAR(10),""),IF(I266&gt;I260," *  Confirmed ART Patients TB positive and started on TB treatment "&amp;$H$6&amp;" "&amp;$I$7&amp;" is less than  ART patients who had a positive result returned F07-50"&amp;CHAR(10),""),IF(J266&gt;J260," *  Confirmed ART Patients TB positive and started on TB treatment "&amp;$J$6&amp;" "&amp;$J$7&amp;" is less than  ART patients who had a positive result returned F07-50"&amp;CHAR(10),""),IF(K266&gt;K260," *  Confirmed ART Patients TB positive and started on TB treatment "&amp;$J$6&amp;" "&amp;$K$7&amp;" is less than  ART patients who had a positive result returned F07-50"&amp;CHAR(10),""),IF(L266&gt;L260," *  Confirmed ART Patients TB positive and started on TB treatment "&amp;$L$6&amp;" "&amp;$L$7&amp;" is less than  ART patients who had a positive result returned F07-50"&amp;CHAR(10),""),IF(M266&gt;M260," *  Confirmed ART Patients TB positive and started on TB treatment "&amp;$L$6&amp;" "&amp;$M$7&amp;" is less than  ART patients who had a positive result returned F07-50"&amp;CHAR(10),""),IF(N266&gt;N260," *  Confirmed ART Patients TB positive and started on TB treatment "&amp;$N$6&amp;" "&amp;$N$7&amp;" is less than  ART patients who had a positive result returned F07-50"&amp;CHAR(10),""),IF(O266&gt;O260," *  Confirmed ART Patients TB positive and started on TB treatment "&amp;$N$6&amp;" "&amp;$O$7&amp;" is less than  ART patients who had a positive result returned F07-50"&amp;CHAR(10),""),IF(P266&gt;P260," *  Confirmed ART Patients TB positive and started on TB treatment "&amp;$P$6&amp;" "&amp;$P$7&amp;" is less than  ART patients who had a positive result returned F07-50"&amp;CHAR(10),""),IF(Q266&gt;Q260," *  Confirmed ART Patients TB positive and started on TB treatment "&amp;$P$6&amp;" "&amp;$Q$7&amp;" is less than  ART patients who had a positive result returned F07-50"&amp;CHAR(10),""),IF(R266&gt;R260," *  Confirmed ART Patients TB positive and started on TB treatment "&amp;$R$6&amp;" "&amp;$R$7&amp;" is less than  ART patients who had a positive result returned F07-50"&amp;CHAR(10),""),IF(S266&gt;S260," *  Confirmed ART Patients TB positive and started on TB treatment "&amp;$R$6&amp;" "&amp;$S$7&amp;" is less than  ART patients who had a positive result returned F07-50"&amp;CHAR(10),""),IF(T266&gt;T260," *  Confirmed ART Patients TB positive and started on TB treatment "&amp;$T$6&amp;" "&amp;$T$7&amp;" is less than  ART patients who had a positive result returned F07-50"&amp;CHAR(10),""),IF(U266&gt;U260," *  Confirmed ART Patients TB positive and started on TB treatment "&amp;$T$6&amp;" "&amp;$U$7&amp;" is less than  ART patients who had a positive result returned F07-50"&amp;CHAR(10),""),IF(V266&gt;V260," *  Confirmed ART Patients TB positive and started on TB treatment "&amp;$V$6&amp;" "&amp;$V$7&amp;" is less than  ART patients who had a positive result returned F07-50"&amp;CHAR(10),""),IF(W266&gt;W260," *  Confirmed ART Patients TB positive and started on TB treatment "&amp;$V$6&amp;" "&amp;$W$7&amp;" is less than  ART patients who had a positive result returned F07-50"&amp;CHAR(10),""),IF(X266&gt;X260," *  Confirmed ART Patients TB positive and started on TB treatment "&amp;$X$6&amp;" "&amp;$X$7&amp;" is less than  ART patients who had a positive result returned F07-50"&amp;CHAR(10),""),IF(Y266&gt;Y260," *  Confirmed ART Patients TB positive and started on TB treatment "&amp;$X$6&amp;" "&amp;$Y$7&amp;" is less than  ART patients who had a positive result returned F07-50"&amp;CHAR(10),""),IF(Z266&gt;Z260," *  Confirmed ART Patients TB positive and started on TB treatment "&amp;$Z$6&amp;" "&amp;$Z$7&amp;" is less than  ART patients who had a positive result returned F07-50"&amp;CHAR(10),""),IF(AA266&gt;AA260," *  Confirmed ART Patients TB positive and started on TB treatment "&amp;$Z$6&amp;" "&amp;$AA$7&amp;" is less than  ART patients who had a positive result returned F07-50"&amp;CHAR(10),""))</f>
        <v/>
      </c>
      <c r="AL265" s="100"/>
      <c r="AM265" s="136"/>
      <c r="AN265" s="421"/>
      <c r="AO265" s="330">
        <v>284</v>
      </c>
    </row>
    <row r="266" spans="1:45" ht="57" thickBot="1" x14ac:dyDescent="0.65">
      <c r="A266" s="870"/>
      <c r="B266" s="780" t="s">
        <v>478</v>
      </c>
      <c r="C266" s="337" t="s">
        <v>265</v>
      </c>
      <c r="D266" s="602">
        <f>D264+D265</f>
        <v>0</v>
      </c>
      <c r="E266" s="602">
        <f t="shared" ref="E266:Z266" si="145">E264+E265</f>
        <v>0</v>
      </c>
      <c r="F266" s="602">
        <f t="shared" si="145"/>
        <v>0</v>
      </c>
      <c r="G266" s="602">
        <f t="shared" si="145"/>
        <v>0</v>
      </c>
      <c r="H266" s="602">
        <f t="shared" si="145"/>
        <v>0</v>
      </c>
      <c r="I266" s="602">
        <f t="shared" si="145"/>
        <v>0</v>
      </c>
      <c r="J266" s="602">
        <f t="shared" si="145"/>
        <v>0</v>
      </c>
      <c r="K266" s="602">
        <f t="shared" si="145"/>
        <v>0</v>
      </c>
      <c r="L266" s="602">
        <f t="shared" si="145"/>
        <v>0</v>
      </c>
      <c r="M266" s="602">
        <f t="shared" si="145"/>
        <v>0</v>
      </c>
      <c r="N266" s="602">
        <f t="shared" si="145"/>
        <v>0</v>
      </c>
      <c r="O266" s="602">
        <f t="shared" si="145"/>
        <v>0</v>
      </c>
      <c r="P266" s="602">
        <f t="shared" si="145"/>
        <v>0</v>
      </c>
      <c r="Q266" s="602">
        <f t="shared" si="145"/>
        <v>0</v>
      </c>
      <c r="R266" s="602">
        <f t="shared" si="145"/>
        <v>0</v>
      </c>
      <c r="S266" s="602">
        <f t="shared" si="145"/>
        <v>0</v>
      </c>
      <c r="T266" s="602">
        <f t="shared" si="145"/>
        <v>0</v>
      </c>
      <c r="U266" s="602">
        <f t="shared" si="145"/>
        <v>0</v>
      </c>
      <c r="V266" s="602">
        <f t="shared" si="145"/>
        <v>0</v>
      </c>
      <c r="W266" s="602">
        <f t="shared" si="145"/>
        <v>0</v>
      </c>
      <c r="X266" s="602">
        <f t="shared" si="145"/>
        <v>0</v>
      </c>
      <c r="Y266" s="602">
        <f t="shared" si="145"/>
        <v>0</v>
      </c>
      <c r="Z266" s="602">
        <f t="shared" si="145"/>
        <v>0</v>
      </c>
      <c r="AA266" s="602">
        <f t="shared" ref="AA266:AI266" si="146">AA264+AA265</f>
        <v>0</v>
      </c>
      <c r="AB266" s="602">
        <f t="shared" si="146"/>
        <v>0</v>
      </c>
      <c r="AC266" s="602">
        <f t="shared" si="146"/>
        <v>0</v>
      </c>
      <c r="AD266" s="602">
        <f t="shared" si="146"/>
        <v>0</v>
      </c>
      <c r="AE266" s="602">
        <f t="shared" si="146"/>
        <v>0</v>
      </c>
      <c r="AF266" s="602">
        <f t="shared" si="146"/>
        <v>0</v>
      </c>
      <c r="AG266" s="602">
        <f t="shared" si="146"/>
        <v>0</v>
      </c>
      <c r="AH266" s="602">
        <f t="shared" si="146"/>
        <v>0</v>
      </c>
      <c r="AI266" s="603">
        <f t="shared" si="146"/>
        <v>0</v>
      </c>
      <c r="AJ266" s="607">
        <f>SUM(D266:AA266)</f>
        <v>0</v>
      </c>
      <c r="AK266" s="349" t="str">
        <f>CONCATENATE(IF(D266&gt;D250," * ART Patients TB positive and started on TB Treatment  for Age "&amp;D6&amp;" "&amp;D7&amp;" is more than Total Screened for TB"&amp;CHAR(10),""),IF(E266&gt;E250," * ART Patients TB positive and started on TB Treatment  for Age "&amp;D6&amp;" "&amp;E7&amp;" is more than Total Screened for TB"&amp;CHAR(10),""),IF(F266&gt;F250," * ART Patients TB positive and started on TB Treatment  for Age "&amp;F6&amp;" "&amp;F7&amp;" is more than Total Screened for TB"&amp;CHAR(10),""),IF(G266&gt;G250," * ART Patients TB positive and started on TB Treatment  for Age "&amp;F6&amp;" "&amp;G7&amp;" is more than Total Screened for TB"&amp;CHAR(10),""),IF(H266&gt;H250," * ART Patients TB positive and started on TB Treatment  for Age "&amp;H6&amp;" "&amp;H7&amp;" is more than Total Screened for TB"&amp;CHAR(10),""),IF(I266&gt;I250," * ART Patients TB positive and started on TB Treatment  for Age "&amp;H6&amp;" "&amp;I7&amp;" is more than Total Screened for TB"&amp;CHAR(10),""),IF(J266&gt;J250," * ART Patients TB positive and started on TB Treatment  for Age "&amp;J6&amp;" "&amp;J7&amp;" is more than Total Screened for TB"&amp;CHAR(10),""),IF(K266&gt;K250," * ART Patients TB positive and started on TB Treatment  for Age "&amp;J6&amp;" "&amp;K7&amp;" is more than Total Screened for TB"&amp;CHAR(10),""),IF(L266&gt;L250," * ART Patients TB positive and started on TB Treatment  for Age "&amp;L6&amp;" "&amp;L7&amp;" is more than Total Screened for TB"&amp;CHAR(10),""),IF(M266&gt;M250," * ART Patients TB positive and started on TB Treatment  for Age "&amp;L6&amp;" "&amp;M7&amp;" is more than Total Screened for TB"&amp;CHAR(10),""),IF(N266&gt;N250," * ART Patients TB positive and started on TB Treatment  for Age "&amp;N6&amp;" "&amp;N7&amp;" is more than Total Screened for TB"&amp;CHAR(10),""),IF(O266&gt;O250," * ART Patients TB positive and started on TB Treatment  for Age "&amp;N6&amp;" "&amp;O7&amp;" is more than Total Screened for TB"&amp;CHAR(10),""),IF(P266&gt;P250," * ART Patients TB positive and started on TB Treatment  for Age "&amp;P6&amp;" "&amp;P7&amp;" is more than Total Screened for TB"&amp;CHAR(10),""),IF(Q266&gt;Q250," * ART Patients TB positive and started on TB Treatment  for Age "&amp;P6&amp;" "&amp;Q7&amp;" is more than Total Screened for TB"&amp;CHAR(10),""),IF(R266&gt;R250," * ART Patients TB positive and started on TB Treatment  for Age "&amp;R6&amp;" "&amp;R7&amp;" is more than Total Screened for TB"&amp;CHAR(10),""),IF(S266&gt;S250," * ART Patients TB positive and started on TB Treatment  for Age "&amp;R6&amp;" "&amp;S7&amp;" is more than Total Screened for TB"&amp;CHAR(10),""),IF(T266&gt;T250," * ART Patients TB positive and started on TB Treatment  for Age "&amp;T6&amp;" "&amp;T7&amp;" is more than Total Screened for TB"&amp;CHAR(10),""),IF(U266&gt;U250," * ART Patients TB positive and started on TB Treatment  for Age "&amp;T6&amp;" "&amp;U7&amp;" is more than Total Screened for TB"&amp;CHAR(10),""),IF(V266&gt;V250," * ART Patients TB positive and started on TB Treatment  for Age "&amp;V6&amp;" "&amp;V7&amp;" is more than Total Screened for TB"&amp;CHAR(10),""),IF(W266&gt;W250," * ART Patients TB positive and started on TB Treatment  for Age "&amp;V6&amp;" "&amp;W7&amp;" is more than Total Screened for TB"&amp;CHAR(10),""),IF(X266&gt;X250," * ART Patients TB positive and started on TB Treatment  for Age "&amp;X6&amp;" "&amp;X7&amp;" is more than Total Screened for TB"&amp;CHAR(10),""),IF(Y266&gt;Y250," * ART Patients TB positive and started on TB Treatment  for Age "&amp;X6&amp;" "&amp;Y7&amp;" is more than Total Screened for TB"&amp;CHAR(10),""),IF(Z266&gt;Z250," * ART Patients TB positive and started on TB Treatment  for Age "&amp;Z6&amp;" "&amp;Z7&amp;" is more than Total Screened for TB"&amp;CHAR(10),""),IF(AA266&gt;AA250," * ART Patients TB positive and started on TB Treatment  for Age "&amp;Z6&amp;" "&amp;AA7&amp;" is more than Total Screened for TB"&amp;CHAR(10),""))</f>
        <v/>
      </c>
      <c r="AL266" s="101"/>
      <c r="AM266" s="136"/>
      <c r="AN266" s="471"/>
      <c r="AO266" s="330">
        <v>285</v>
      </c>
    </row>
    <row r="267" spans="1:45" ht="32.65" customHeight="1" thickBot="1" x14ac:dyDescent="0.65">
      <c r="A267" s="940" t="s">
        <v>607</v>
      </c>
      <c r="B267" s="941"/>
      <c r="C267" s="946"/>
      <c r="D267" s="946"/>
      <c r="E267" s="946"/>
      <c r="F267" s="946"/>
      <c r="G267" s="946"/>
      <c r="H267" s="946"/>
      <c r="I267" s="946"/>
      <c r="J267" s="946"/>
      <c r="K267" s="946"/>
      <c r="L267" s="946"/>
      <c r="M267" s="946"/>
      <c r="N267" s="946"/>
      <c r="O267" s="946"/>
      <c r="P267" s="946"/>
      <c r="Q267" s="946"/>
      <c r="R267" s="946"/>
      <c r="S267" s="946"/>
      <c r="T267" s="946"/>
      <c r="U267" s="946"/>
      <c r="V267" s="946"/>
      <c r="W267" s="946"/>
      <c r="X267" s="946"/>
      <c r="Y267" s="946"/>
      <c r="Z267" s="946"/>
      <c r="AA267" s="946"/>
      <c r="AB267" s="947"/>
      <c r="AC267" s="947"/>
      <c r="AD267" s="947"/>
      <c r="AE267" s="947"/>
      <c r="AF267" s="947"/>
      <c r="AG267" s="947"/>
      <c r="AH267" s="947"/>
      <c r="AI267" s="947"/>
      <c r="AJ267" s="941"/>
      <c r="AK267" s="946"/>
      <c r="AL267" s="941"/>
      <c r="AM267" s="941"/>
      <c r="AN267" s="948"/>
      <c r="AO267" s="330">
        <v>97</v>
      </c>
    </row>
    <row r="268" spans="1:45" ht="26.25" customHeight="1" x14ac:dyDescent="0.6">
      <c r="A268" s="950" t="s">
        <v>18</v>
      </c>
      <c r="B268" s="964" t="s">
        <v>123</v>
      </c>
      <c r="C268" s="951" t="s">
        <v>122</v>
      </c>
      <c r="D268" s="849" t="s">
        <v>0</v>
      </c>
      <c r="E268" s="849"/>
      <c r="F268" s="849" t="s">
        <v>1</v>
      </c>
      <c r="G268" s="849"/>
      <c r="H268" s="849" t="s">
        <v>2</v>
      </c>
      <c r="I268" s="849"/>
      <c r="J268" s="849" t="s">
        <v>3</v>
      </c>
      <c r="K268" s="849"/>
      <c r="L268" s="849" t="s">
        <v>4</v>
      </c>
      <c r="M268" s="849"/>
      <c r="N268" s="849" t="s">
        <v>5</v>
      </c>
      <c r="O268" s="849"/>
      <c r="P268" s="849" t="s">
        <v>6</v>
      </c>
      <c r="Q268" s="849"/>
      <c r="R268" s="849" t="s">
        <v>7</v>
      </c>
      <c r="S268" s="849"/>
      <c r="T268" s="849" t="s">
        <v>8</v>
      </c>
      <c r="U268" s="849"/>
      <c r="V268" s="849" t="s">
        <v>15</v>
      </c>
      <c r="W268" s="849"/>
      <c r="X268" s="849" t="s">
        <v>16</v>
      </c>
      <c r="Y268" s="849"/>
      <c r="Z268" s="849" t="s">
        <v>9</v>
      </c>
      <c r="AA268" s="840"/>
      <c r="AB268" s="996"/>
      <c r="AC268" s="838"/>
      <c r="AD268" s="838"/>
      <c r="AE268" s="838"/>
      <c r="AF268" s="838"/>
      <c r="AG268" s="838"/>
      <c r="AH268" s="838"/>
      <c r="AI268" s="839"/>
      <c r="AJ268" s="967" t="s">
        <v>13</v>
      </c>
      <c r="AK268" s="881" t="s">
        <v>148</v>
      </c>
      <c r="AL268" s="879" t="s">
        <v>154</v>
      </c>
      <c r="AM268" s="883" t="s">
        <v>155</v>
      </c>
      <c r="AN268" s="943" t="s">
        <v>155</v>
      </c>
      <c r="AO268" s="330">
        <v>98</v>
      </c>
    </row>
    <row r="269" spans="1:45" ht="27" customHeight="1" thickBot="1" x14ac:dyDescent="0.65">
      <c r="A269" s="845"/>
      <c r="B269" s="851"/>
      <c r="C269" s="952"/>
      <c r="D269" s="113" t="s">
        <v>10</v>
      </c>
      <c r="E269" s="113" t="s">
        <v>11</v>
      </c>
      <c r="F269" s="113" t="s">
        <v>10</v>
      </c>
      <c r="G269" s="113" t="s">
        <v>11</v>
      </c>
      <c r="H269" s="113" t="s">
        <v>10</v>
      </c>
      <c r="I269" s="113" t="s">
        <v>11</v>
      </c>
      <c r="J269" s="113" t="s">
        <v>10</v>
      </c>
      <c r="K269" s="113" t="s">
        <v>11</v>
      </c>
      <c r="L269" s="113" t="s">
        <v>10</v>
      </c>
      <c r="M269" s="113" t="s">
        <v>11</v>
      </c>
      <c r="N269" s="113" t="s">
        <v>10</v>
      </c>
      <c r="O269" s="113" t="s">
        <v>11</v>
      </c>
      <c r="P269" s="113" t="s">
        <v>10</v>
      </c>
      <c r="Q269" s="113" t="s">
        <v>11</v>
      </c>
      <c r="R269" s="113" t="s">
        <v>10</v>
      </c>
      <c r="S269" s="113" t="s">
        <v>11</v>
      </c>
      <c r="T269" s="113" t="s">
        <v>10</v>
      </c>
      <c r="U269" s="113" t="s">
        <v>11</v>
      </c>
      <c r="V269" s="113" t="s">
        <v>10</v>
      </c>
      <c r="W269" s="113" t="s">
        <v>11</v>
      </c>
      <c r="X269" s="113" t="s">
        <v>10</v>
      </c>
      <c r="Y269" s="113" t="s">
        <v>11</v>
      </c>
      <c r="Z269" s="113" t="s">
        <v>10</v>
      </c>
      <c r="AA269" s="361" t="s">
        <v>11</v>
      </c>
      <c r="AB269" s="362"/>
      <c r="AC269" s="363"/>
      <c r="AD269" s="363"/>
      <c r="AE269" s="363"/>
      <c r="AF269" s="363"/>
      <c r="AG269" s="363"/>
      <c r="AH269" s="363"/>
      <c r="AI269" s="364"/>
      <c r="AJ269" s="1000"/>
      <c r="AK269" s="882"/>
      <c r="AL269" s="880"/>
      <c r="AM269" s="883"/>
      <c r="AN269" s="944"/>
      <c r="AO269" s="330">
        <v>99</v>
      </c>
    </row>
    <row r="270" spans="1:45" ht="33.4" customHeight="1" thickBot="1" x14ac:dyDescent="0.65">
      <c r="A270" s="940" t="s">
        <v>608</v>
      </c>
      <c r="B270" s="941"/>
      <c r="C270" s="941"/>
      <c r="D270" s="941"/>
      <c r="E270" s="941"/>
      <c r="F270" s="941"/>
      <c r="G270" s="941"/>
      <c r="H270" s="941"/>
      <c r="I270" s="941"/>
      <c r="J270" s="941"/>
      <c r="K270" s="941"/>
      <c r="L270" s="941"/>
      <c r="M270" s="941"/>
      <c r="N270" s="941"/>
      <c r="O270" s="941"/>
      <c r="P270" s="941"/>
      <c r="Q270" s="941"/>
      <c r="R270" s="941"/>
      <c r="S270" s="941"/>
      <c r="T270" s="941"/>
      <c r="U270" s="941"/>
      <c r="V270" s="941"/>
      <c r="W270" s="941"/>
      <c r="X270" s="941"/>
      <c r="Y270" s="941"/>
      <c r="Z270" s="941"/>
      <c r="AA270" s="941"/>
      <c r="AB270" s="941"/>
      <c r="AC270" s="941"/>
      <c r="AD270" s="941"/>
      <c r="AE270" s="941"/>
      <c r="AF270" s="941"/>
      <c r="AG270" s="941"/>
      <c r="AH270" s="941"/>
      <c r="AI270" s="941"/>
      <c r="AJ270" s="941"/>
      <c r="AK270" s="941"/>
      <c r="AL270" s="941"/>
      <c r="AM270" s="941"/>
      <c r="AN270" s="942"/>
      <c r="AO270" s="330">
        <v>97</v>
      </c>
    </row>
    <row r="271" spans="1:45" s="7" customFormat="1" ht="47.25" customHeight="1" thickBot="1" x14ac:dyDescent="0.65">
      <c r="A271" s="953" t="s">
        <v>609</v>
      </c>
      <c r="B271" s="781" t="s">
        <v>277</v>
      </c>
      <c r="C271" s="608" t="s">
        <v>474</v>
      </c>
      <c r="D271" s="601"/>
      <c r="E271" s="582"/>
      <c r="F271" s="582"/>
      <c r="G271" s="582"/>
      <c r="H271" s="582"/>
      <c r="I271" s="582"/>
      <c r="J271" s="582"/>
      <c r="K271" s="582"/>
      <c r="L271" s="582"/>
      <c r="M271" s="582"/>
      <c r="N271" s="582"/>
      <c r="O271" s="582"/>
      <c r="P271" s="582"/>
      <c r="Q271" s="582"/>
      <c r="R271" s="582"/>
      <c r="S271" s="582"/>
      <c r="T271" s="582"/>
      <c r="U271" s="582"/>
      <c r="V271" s="582"/>
      <c r="W271" s="582"/>
      <c r="X271" s="582"/>
      <c r="Y271" s="582"/>
      <c r="Z271" s="582"/>
      <c r="AA271" s="583"/>
      <c r="AB271" s="333"/>
      <c r="AC271" s="334"/>
      <c r="AD271" s="334"/>
      <c r="AE271" s="334"/>
      <c r="AF271" s="334"/>
      <c r="AG271" s="334"/>
      <c r="AH271" s="334"/>
      <c r="AI271" s="335"/>
      <c r="AJ271" s="372">
        <f>SUM(D271:AA271)</f>
        <v>0</v>
      </c>
      <c r="AK271" s="414"/>
      <c r="AL271" s="90" t="str">
        <f>CONCATENATE(AK282,AK283,AK287,AK288,AK271)</f>
        <v/>
      </c>
      <c r="AM271" s="609"/>
      <c r="AN271" s="610"/>
      <c r="AO271" s="330">
        <v>100</v>
      </c>
      <c r="AQ271" s="1046"/>
      <c r="AR271" s="1046"/>
      <c r="AS271" s="1046"/>
    </row>
    <row r="272" spans="1:45" s="7" customFormat="1" ht="42" customHeight="1" thickBot="1" x14ac:dyDescent="0.65">
      <c r="A272" s="953"/>
      <c r="B272" s="782" t="s">
        <v>610</v>
      </c>
      <c r="C272" s="611" t="s">
        <v>550</v>
      </c>
      <c r="D272" s="167"/>
      <c r="E272" s="163"/>
      <c r="F272" s="163"/>
      <c r="G272" s="163"/>
      <c r="H272" s="163"/>
      <c r="I272" s="163"/>
      <c r="J272" s="163"/>
      <c r="K272" s="163"/>
      <c r="L272" s="163"/>
      <c r="M272" s="163"/>
      <c r="N272" s="163"/>
      <c r="O272" s="163"/>
      <c r="P272" s="163"/>
      <c r="Q272" s="163"/>
      <c r="R272" s="163"/>
      <c r="S272" s="163"/>
      <c r="T272" s="163"/>
      <c r="U272" s="163"/>
      <c r="V272" s="163"/>
      <c r="W272" s="163"/>
      <c r="X272" s="163"/>
      <c r="Y272" s="163"/>
      <c r="Z272" s="163"/>
      <c r="AA272" s="164"/>
      <c r="AB272" s="333"/>
      <c r="AC272" s="334"/>
      <c r="AD272" s="334"/>
      <c r="AE272" s="334"/>
      <c r="AF272" s="334"/>
      <c r="AG272" s="334"/>
      <c r="AH272" s="334"/>
      <c r="AI272" s="335"/>
      <c r="AJ272" s="612">
        <f>SUM(D272:AA272)</f>
        <v>0</v>
      </c>
      <c r="AK272" s="613"/>
      <c r="AL272" s="90"/>
      <c r="AM272" s="614"/>
      <c r="AN272" s="610"/>
      <c r="AO272" s="330"/>
      <c r="AQ272" s="1046"/>
      <c r="AR272" s="1046"/>
      <c r="AS272" s="1046"/>
    </row>
    <row r="273" spans="1:45" ht="33.4" customHeight="1" thickBot="1" x14ac:dyDescent="0.65">
      <c r="A273" s="940" t="s">
        <v>695</v>
      </c>
      <c r="B273" s="941"/>
      <c r="C273" s="941"/>
      <c r="D273" s="941"/>
      <c r="E273" s="941"/>
      <c r="F273" s="941"/>
      <c r="G273" s="941"/>
      <c r="H273" s="941"/>
      <c r="I273" s="941"/>
      <c r="J273" s="941"/>
      <c r="K273" s="941"/>
      <c r="L273" s="941"/>
      <c r="M273" s="941"/>
      <c r="N273" s="941"/>
      <c r="O273" s="941"/>
      <c r="P273" s="941"/>
      <c r="Q273" s="941"/>
      <c r="R273" s="941"/>
      <c r="S273" s="941"/>
      <c r="T273" s="941"/>
      <c r="U273" s="941"/>
      <c r="V273" s="941"/>
      <c r="W273" s="941"/>
      <c r="X273" s="941"/>
      <c r="Y273" s="941"/>
      <c r="Z273" s="941"/>
      <c r="AA273" s="941"/>
      <c r="AB273" s="941"/>
      <c r="AC273" s="941"/>
      <c r="AD273" s="941"/>
      <c r="AE273" s="941"/>
      <c r="AF273" s="941"/>
      <c r="AG273" s="941"/>
      <c r="AH273" s="941"/>
      <c r="AI273" s="941"/>
      <c r="AJ273" s="941"/>
      <c r="AK273" s="941"/>
      <c r="AL273" s="941"/>
      <c r="AM273" s="941"/>
      <c r="AN273" s="942"/>
      <c r="AO273" s="330">
        <v>97</v>
      </c>
    </row>
    <row r="274" spans="1:45" s="7" customFormat="1" ht="41.25" customHeight="1" thickBot="1" x14ac:dyDescent="0.65">
      <c r="A274" s="963" t="s">
        <v>611</v>
      </c>
      <c r="B274" s="783" t="s">
        <v>277</v>
      </c>
      <c r="C274" s="819" t="s">
        <v>465</v>
      </c>
      <c r="D274" s="820"/>
      <c r="E274" s="118"/>
      <c r="F274" s="118"/>
      <c r="G274" s="118"/>
      <c r="H274" s="118"/>
      <c r="I274" s="118"/>
      <c r="J274" s="118"/>
      <c r="K274" s="118"/>
      <c r="L274" s="118"/>
      <c r="M274" s="118"/>
      <c r="N274" s="118"/>
      <c r="O274" s="118"/>
      <c r="P274" s="118"/>
      <c r="Q274" s="118"/>
      <c r="R274" s="118"/>
      <c r="S274" s="118"/>
      <c r="T274" s="118"/>
      <c r="U274" s="118"/>
      <c r="V274" s="118"/>
      <c r="W274" s="118"/>
      <c r="X274" s="118"/>
      <c r="Y274" s="118"/>
      <c r="Z274" s="118"/>
      <c r="AA274" s="369"/>
      <c r="AB274" s="334"/>
      <c r="AC274" s="334"/>
      <c r="AD274" s="334"/>
      <c r="AE274" s="334"/>
      <c r="AF274" s="334"/>
      <c r="AG274" s="334"/>
      <c r="AH274" s="334"/>
      <c r="AI274" s="335"/>
      <c r="AJ274" s="372">
        <f>SUM(D274:AA274)</f>
        <v>0</v>
      </c>
      <c r="AK274" s="414"/>
      <c r="AL274" s="90" t="str">
        <f>CONCATENATE(AK288,AK274)</f>
        <v/>
      </c>
      <c r="AM274" s="609"/>
      <c r="AN274" s="610"/>
      <c r="AO274" s="330">
        <v>100</v>
      </c>
      <c r="AQ274" s="1046"/>
      <c r="AR274" s="1046"/>
      <c r="AS274" s="1046"/>
    </row>
    <row r="275" spans="1:45" s="7" customFormat="1" ht="42" customHeight="1" thickBot="1" x14ac:dyDescent="0.65">
      <c r="A275" s="994"/>
      <c r="B275" s="784" t="s">
        <v>610</v>
      </c>
      <c r="C275" s="615" t="s">
        <v>551</v>
      </c>
      <c r="D275" s="821"/>
      <c r="E275" s="163"/>
      <c r="F275" s="163"/>
      <c r="G275" s="163"/>
      <c r="H275" s="163"/>
      <c r="I275" s="163"/>
      <c r="J275" s="163"/>
      <c r="K275" s="163"/>
      <c r="L275" s="163"/>
      <c r="M275" s="163"/>
      <c r="N275" s="163"/>
      <c r="O275" s="163"/>
      <c r="P275" s="163"/>
      <c r="Q275" s="163"/>
      <c r="R275" s="163"/>
      <c r="S275" s="163"/>
      <c r="T275" s="163"/>
      <c r="U275" s="163"/>
      <c r="V275" s="163"/>
      <c r="W275" s="163"/>
      <c r="X275" s="163"/>
      <c r="Y275" s="163"/>
      <c r="Z275" s="163"/>
      <c r="AA275" s="399"/>
      <c r="AB275" s="334"/>
      <c r="AC275" s="334"/>
      <c r="AD275" s="334"/>
      <c r="AE275" s="334"/>
      <c r="AF275" s="334"/>
      <c r="AG275" s="334"/>
      <c r="AH275" s="334"/>
      <c r="AI275" s="335"/>
      <c r="AJ275" s="612">
        <f>SUM(D275:AA275)</f>
        <v>0</v>
      </c>
      <c r="AK275" s="613"/>
      <c r="AL275" s="90"/>
      <c r="AM275" s="614"/>
      <c r="AN275" s="610"/>
      <c r="AO275" s="330"/>
      <c r="AQ275" s="1046"/>
      <c r="AR275" s="1046"/>
      <c r="AS275" s="1046"/>
    </row>
    <row r="276" spans="1:45" s="7" customFormat="1" ht="42" customHeight="1" thickBot="1" x14ac:dyDescent="0.65">
      <c r="A276" s="861" t="s">
        <v>711</v>
      </c>
      <c r="B276" s="783" t="s">
        <v>559</v>
      </c>
      <c r="C276" s="615" t="s">
        <v>561</v>
      </c>
      <c r="D276" s="821"/>
      <c r="E276" s="163"/>
      <c r="F276" s="163"/>
      <c r="G276" s="163"/>
      <c r="H276" s="163"/>
      <c r="I276" s="163"/>
      <c r="J276" s="163"/>
      <c r="K276" s="163"/>
      <c r="L276" s="163"/>
      <c r="M276" s="163"/>
      <c r="N276" s="163"/>
      <c r="O276" s="163"/>
      <c r="P276" s="163"/>
      <c r="Q276" s="163"/>
      <c r="R276" s="163"/>
      <c r="S276" s="163"/>
      <c r="T276" s="163"/>
      <c r="U276" s="163"/>
      <c r="V276" s="163"/>
      <c r="W276" s="163"/>
      <c r="X276" s="163"/>
      <c r="Y276" s="163"/>
      <c r="Z276" s="163"/>
      <c r="AA276" s="399"/>
      <c r="AB276" s="334"/>
      <c r="AC276" s="334"/>
      <c r="AD276" s="334"/>
      <c r="AE276" s="334"/>
      <c r="AF276" s="334"/>
      <c r="AG276" s="334"/>
      <c r="AH276" s="334"/>
      <c r="AI276" s="334"/>
      <c r="AJ276" s="520"/>
      <c r="AK276" s="613" t="str">
        <f>CONCATENATE(IF(D276&gt;D235," * TX_CURR eligible for  IPT/TPT Initiation for Age "&amp;D6&amp;" "&amp;D7&amp;" is more than TX_CURR"&amp;CHAR(10),""),IF(E276&gt;E235," * TX_CURR eligible for  IPT/TPT Initiation for Age "&amp;D6&amp;" "&amp;E7&amp;" is more than TX_CURR"&amp;CHAR(10),""),IF(F276&gt;F235," * TX_CURR eligible for  IPT/TPT Initiation for Age "&amp;F6&amp;" "&amp;F7&amp;" is more than TX_CURR"&amp;CHAR(10),""),IF(G276&gt;G235," * TX_CURR eligible for  IPT/TPT Initiation for Age "&amp;F6&amp;" "&amp;G7&amp;" is more than TX_CURR"&amp;CHAR(10),""),IF(H276&gt;H235," * TX_CURR eligible for  IPT/TPT Initiation for Age "&amp;H6&amp;" "&amp;H7&amp;" is more than TX_CURR"&amp;CHAR(10),""),IF(I276&gt;I235," * TX_CURR eligible for  IPT/TPT Initiation for Age "&amp;H6&amp;" "&amp;I7&amp;" is more than TX_CURR"&amp;CHAR(10),""),IF(J276&gt;J235," * TX_CURR eligible for  IPT/TPT Initiation for Age "&amp;J6&amp;" "&amp;J7&amp;" is more than TX_CURR"&amp;CHAR(10),""),IF(K276&gt;K235," * TX_CURR eligible for  IPT/TPT Initiation for Age "&amp;J6&amp;" "&amp;K7&amp;" is more than TX_CURR"&amp;CHAR(10),""),IF(L276&gt;L235," * TX_CURR eligible for  IPT/TPT Initiation for Age "&amp;L6&amp;" "&amp;L7&amp;" is more than TX_CURR"&amp;CHAR(10),""),IF(M276&gt;M235," * TX_CURR eligible for  IPT/TPT Initiation for Age "&amp;L6&amp;" "&amp;M7&amp;" is more than TX_CURR"&amp;CHAR(10),""),IF(N276&gt;N235," * TX_CURR eligible for  IPT/TPT Initiation for Age "&amp;N6&amp;" "&amp;N7&amp;" is more than TX_CURR"&amp;CHAR(10),""),IF(O276&gt;O235," * TX_CURR eligible for  IPT/TPT Initiation for Age "&amp;N6&amp;" "&amp;O7&amp;" is more than TX_CURR"&amp;CHAR(10),""),IF(P276&gt;P235," * TX_CURR eligible for  IPT/TPT Initiation for Age "&amp;P6&amp;" "&amp;P7&amp;" is more than TX_CURR"&amp;CHAR(10),""),IF(Q276&gt;Q235," * TX_CURR eligible for  IPT/TPT Initiation for Age "&amp;P6&amp;" "&amp;Q7&amp;" is more than TX_CURR"&amp;CHAR(10),""),IF(R276&gt;R235," * TX_CURR eligible for  IPT/TPT Initiation for Age "&amp;R6&amp;" "&amp;R7&amp;" is more than TX_CURR"&amp;CHAR(10),""),IF(S276&gt;S235," * TX_CURR eligible for  IPT/TPT Initiation for Age "&amp;R6&amp;" "&amp;S7&amp;" is more than TX_CURR"&amp;CHAR(10),""),IF(T276&gt;T235," * TX_CURR eligible for  IPT/TPT Initiation for Age "&amp;T6&amp;" "&amp;T7&amp;" is more than TX_CURR"&amp;CHAR(10),""),IF(U276&gt;U235," * TX_CURR eligible for  IPT/TPT Initiation for Age "&amp;T6&amp;" "&amp;U7&amp;" is more than TX_CURR"&amp;CHAR(10),""),IF(V276&gt;V235," * TX_CURR eligible for  IPT/TPT Initiation for Age "&amp;V6&amp;" "&amp;V7&amp;" is more than TX_CURR"&amp;CHAR(10),""),IF(W276&gt;W235," * TX_CURR eligible for  IPT/TPT Initiation for Age "&amp;V6&amp;" "&amp;W7&amp;" is more than TX_CURR"&amp;CHAR(10),""),IF(X276&gt;X235," * TX_CURR eligible for  IPT/TPT Initiation for Age "&amp;X6&amp;" "&amp;X7&amp;" is more than TX_CURR"&amp;CHAR(10),""),IF(Y276&gt;Y235," * TX_CURR eligible for  IPT/TPT Initiation for Age "&amp;X6&amp;" "&amp;Y7&amp;" is more than TX_CURR"&amp;CHAR(10),""),IF(Z276&gt;Z235," * TX_CURR eligible for  IPT/TPT Initiation for Age "&amp;Z6&amp;" "&amp;Z7&amp;" is more than TX_CURR"&amp;CHAR(10),""),IF(AA276&gt;AA235," * TX_CURR eligible for  IPT/TPT Initiation for Age "&amp;Z6&amp;" "&amp;AA7&amp;" is more than TX_CURR"&amp;CHAR(10),""))</f>
        <v/>
      </c>
      <c r="AL276" s="96"/>
      <c r="AM276" s="614"/>
      <c r="AN276" s="616"/>
      <c r="AO276" s="330"/>
      <c r="AQ276" s="1046"/>
      <c r="AR276" s="1046"/>
      <c r="AS276" s="1046"/>
    </row>
    <row r="277" spans="1:45" s="7" customFormat="1" ht="42" customHeight="1" thickBot="1" x14ac:dyDescent="0.65">
      <c r="A277" s="863"/>
      <c r="B277" s="784" t="s">
        <v>560</v>
      </c>
      <c r="C277" s="615" t="s">
        <v>562</v>
      </c>
      <c r="D277" s="822"/>
      <c r="E277" s="401"/>
      <c r="F277" s="401"/>
      <c r="G277" s="401"/>
      <c r="H277" s="401"/>
      <c r="I277" s="401"/>
      <c r="J277" s="401"/>
      <c r="K277" s="401"/>
      <c r="L277" s="401"/>
      <c r="M277" s="401"/>
      <c r="N277" s="401"/>
      <c r="O277" s="401"/>
      <c r="P277" s="401"/>
      <c r="Q277" s="401"/>
      <c r="R277" s="401"/>
      <c r="S277" s="401"/>
      <c r="T277" s="401"/>
      <c r="U277" s="401"/>
      <c r="V277" s="401"/>
      <c r="W277" s="401"/>
      <c r="X277" s="401"/>
      <c r="Y277" s="401"/>
      <c r="Z277" s="401"/>
      <c r="AA277" s="402"/>
      <c r="AB277" s="334"/>
      <c r="AC277" s="334"/>
      <c r="AD277" s="334"/>
      <c r="AE277" s="334"/>
      <c r="AF277" s="334"/>
      <c r="AG277" s="334"/>
      <c r="AH277" s="334"/>
      <c r="AI277" s="334"/>
      <c r="AJ277" s="520"/>
      <c r="AK277" s="349" t="str">
        <f>CONCATENATE(IF(D277&gt;D276," * TX_CURR Initiated on IPT/TPT for Age "&amp;#REF!&amp;" "&amp;#REF!&amp;" is more than TX_CURR eligible for  IPT/TPT Initiation"&amp;CHAR(10),""),IF(E277&gt;E276," * TX_CURR Initiated on IPT/TPT for Age "&amp;#REF!&amp;" "&amp;#REF!&amp;" is more than TX_CURR eligible for  IPT/TPT Initiation"&amp;CHAR(10),""),IF(F277&gt;F276," * TX_CURR Initiated on IPT/TPT for Age "&amp;#REF!&amp;" "&amp;#REF!&amp;" is more than TX_CURR eligible for  IPT/TPT Initiation"&amp;CHAR(10),""),IF(G277&gt;G276," * TX_CURR Initiated on IPT/TPT for Age "&amp;#REF!&amp;" "&amp;#REF!&amp;" is more than TX_CURR eligible for  IPT/TPT Initiation"&amp;CHAR(10),""),IF(H277&gt;H276," * TX_CURR Initiated on IPT/TPT for Age "&amp;#REF!&amp;" "&amp;#REF!&amp;" is more than TX_CURR eligible for  IPT/TPT Initiation"&amp;CHAR(10),""),IF(I277&gt;I276," * TX_CURR Initiated on IPT/TPT for Age "&amp;#REF!&amp;" "&amp;#REF!&amp;" is more than TX_CURR eligible for  IPT/TPT Initiation"&amp;CHAR(10),""),IF(J277&gt;J276," * TX_CURR Initiated on IPT/TPT for Age "&amp;#REF!&amp;" "&amp;#REF!&amp;" is more than TX_CURR eligible for  IPT/TPT Initiation"&amp;CHAR(10),""),IF(K277&gt;K276," * TX_CURR Initiated on IPT/TPT for Age "&amp;#REF!&amp;" "&amp;#REF!&amp;" is more than TX_CURR eligible for  IPT/TPT Initiation"&amp;CHAR(10),""),IF(L277&gt;L276," * TX_CURR Initiated on IPT/TPT for Age "&amp;#REF!&amp;" "&amp;#REF!&amp;" is more than TX_CURR eligible for  IPT/TPT Initiation"&amp;CHAR(10),""),IF(M277&gt;M276," * TX_CURR Initiated on IPT/TPT for Age "&amp;#REF!&amp;" "&amp;#REF!&amp;" is more than TX_CURR eligible for  IPT/TPT Initiation"&amp;CHAR(10),""),IF(N277&gt;N276," * TX_CURR Initiated on IPT/TPT for Age "&amp;#REF!&amp;" "&amp;#REF!&amp;" is more than TX_CURR eligible for  IPT/TPT Initiation"&amp;CHAR(10),""),IF(O277&gt;O276," * TX_CURR Initiated on IPT/TPT for Age "&amp;#REF!&amp;" "&amp;#REF!&amp;" is more than TX_CURR eligible for  IPT/TPT Initiation"&amp;CHAR(10),""),IF(P277&gt;P276," * TX_CURR Initiated on IPT/TPT for Age "&amp;#REF!&amp;" "&amp;#REF!&amp;" is more than TX_CURR eligible for  IPT/TPT Initiation"&amp;CHAR(10),""),IF(Q277&gt;Q276," * TX_CURR Initiated on IPT/TPT for Age "&amp;#REF!&amp;" "&amp;#REF!&amp;" is more than TX_CURR eligible for  IPT/TPT Initiation"&amp;CHAR(10),""),IF(R277&gt;R276," * TX_CURR Initiated on IPT/TPT for Age "&amp;#REF!&amp;" "&amp;#REF!&amp;" is more than TX_CURR eligible for  IPT/TPT Initiation"&amp;CHAR(10),""),IF(S277&gt;S276," * TX_CURR Initiated on IPT/TPT for Age "&amp;#REF!&amp;" "&amp;#REF!&amp;" is more than TX_CURR eligible for  IPT/TPT Initiation"&amp;CHAR(10),""),IF(T277&gt;T276," * TX_CURR Initiated on IPT/TPT for Age "&amp;#REF!&amp;" "&amp;#REF!&amp;" is more than TX_CURR eligible for  IPT/TPT Initiation"&amp;CHAR(10),""),IF(U277&gt;U276," * TX_CURR Initiated on IPT/TPT for Age "&amp;#REF!&amp;" "&amp;#REF!&amp;" is more than TX_CURR eligible for  IPT/TPT Initiation"&amp;CHAR(10),""),IF(V277&gt;V276," * TX_CURR Initiated on IPT/TPT for Age "&amp;#REF!&amp;" "&amp;#REF!&amp;" is more than TX_CURR eligible for  IPT/TPT Initiation"&amp;CHAR(10),""),IF(W277&gt;W276," * TX_CURR Initiated on IPT/TPT for Age "&amp;#REF!&amp;" "&amp;#REF!&amp;" is more than TX_CURR eligible for  IPT/TPT Initiation"&amp;CHAR(10),""),IF(X277&gt;X276," * TX_CURR Initiated on IPT/TPT for Age "&amp;#REF!&amp;" "&amp;#REF!&amp;" is more than TX_CURR eligible for  IPT/TPT Initiation"&amp;CHAR(10),""),IF(Y277&gt;Y276," * TX_CURR Initiated on IPT/TPT for Age "&amp;#REF!&amp;" "&amp;#REF!&amp;" is more than TX_CURR eligible for  IPT/TPT Initiation"&amp;CHAR(10),""),IF(Z277&gt;Z276," * TX_CURR Initiated on IPT/TPT for Age "&amp;#REF!&amp;" "&amp;#REF!&amp;" is more than TX_CURR eligible for  IPT/TPT Initiation"&amp;CHAR(10),""),IF(AA277&gt;AA276," * TX_CURR Initiated on IPT/TPT for Age "&amp;#REF!&amp;" "&amp;#REF!&amp;" is more than TX_CURR eligible for  IPT/TPT Initiation"&amp;CHAR(10),""))</f>
        <v/>
      </c>
      <c r="AL277" s="96"/>
      <c r="AM277" s="614"/>
      <c r="AN277" s="616"/>
      <c r="AO277" s="330"/>
      <c r="AQ277" s="1046"/>
      <c r="AR277" s="1046"/>
      <c r="AS277" s="1046"/>
    </row>
    <row r="278" spans="1:45" ht="33.4" customHeight="1" thickBot="1" x14ac:dyDescent="0.6">
      <c r="A278" s="940" t="s">
        <v>726</v>
      </c>
      <c r="B278" s="941"/>
      <c r="C278" s="941"/>
      <c r="D278" s="941"/>
      <c r="E278" s="941"/>
      <c r="F278" s="941"/>
      <c r="G278" s="941"/>
      <c r="H278" s="941"/>
      <c r="I278" s="941"/>
      <c r="J278" s="941"/>
      <c r="K278" s="941"/>
      <c r="L278" s="941"/>
      <c r="M278" s="941"/>
      <c r="N278" s="941"/>
      <c r="O278" s="941"/>
      <c r="P278" s="941"/>
      <c r="Q278" s="941"/>
      <c r="R278" s="941"/>
      <c r="S278" s="941"/>
      <c r="T278" s="941"/>
      <c r="U278" s="941"/>
      <c r="V278" s="941"/>
      <c r="W278" s="941"/>
      <c r="X278" s="941"/>
      <c r="Y278" s="941"/>
      <c r="Z278" s="941"/>
      <c r="AA278" s="941"/>
      <c r="AB278" s="941"/>
      <c r="AC278" s="941"/>
      <c r="AD278" s="941"/>
      <c r="AE278" s="941"/>
      <c r="AF278" s="941"/>
      <c r="AG278" s="941"/>
      <c r="AH278" s="941"/>
      <c r="AI278" s="941"/>
      <c r="AJ278" s="941"/>
      <c r="AK278" s="941"/>
      <c r="AL278" s="941"/>
      <c r="AM278" s="941"/>
      <c r="AN278" s="942"/>
      <c r="AO278" s="330">
        <v>97</v>
      </c>
      <c r="AQ278" s="1053" t="s">
        <v>960</v>
      </c>
      <c r="AR278" s="1054" t="s">
        <v>961</v>
      </c>
      <c r="AS278" s="1055" t="s">
        <v>962</v>
      </c>
    </row>
    <row r="279" spans="1:45" ht="33" customHeight="1" thickBot="1" x14ac:dyDescent="0.6">
      <c r="A279" s="829" t="s">
        <v>727</v>
      </c>
      <c r="B279" s="830"/>
      <c r="C279" s="815"/>
      <c r="D279" s="576">
        <f>SUM(D280:D283)</f>
        <v>0</v>
      </c>
      <c r="E279" s="576">
        <f t="shared" ref="E279:AA279" si="147">SUM(E280:E283)</f>
        <v>0</v>
      </c>
      <c r="F279" s="576">
        <f t="shared" si="147"/>
        <v>0</v>
      </c>
      <c r="G279" s="576">
        <f t="shared" si="147"/>
        <v>0</v>
      </c>
      <c r="H279" s="576">
        <f t="shared" si="147"/>
        <v>0</v>
      </c>
      <c r="I279" s="576">
        <f t="shared" si="147"/>
        <v>0</v>
      </c>
      <c r="J279" s="576">
        <f t="shared" si="147"/>
        <v>0</v>
      </c>
      <c r="K279" s="576">
        <f t="shared" si="147"/>
        <v>0</v>
      </c>
      <c r="L279" s="576">
        <f t="shared" si="147"/>
        <v>0</v>
      </c>
      <c r="M279" s="576">
        <f t="shared" si="147"/>
        <v>0</v>
      </c>
      <c r="N279" s="576">
        <f t="shared" si="147"/>
        <v>0</v>
      </c>
      <c r="O279" s="576">
        <f t="shared" si="147"/>
        <v>0</v>
      </c>
      <c r="P279" s="576">
        <f t="shared" si="147"/>
        <v>0</v>
      </c>
      <c r="Q279" s="576">
        <f t="shared" si="147"/>
        <v>0</v>
      </c>
      <c r="R279" s="576">
        <f t="shared" si="147"/>
        <v>0</v>
      </c>
      <c r="S279" s="576">
        <f t="shared" si="147"/>
        <v>0</v>
      </c>
      <c r="T279" s="576">
        <f t="shared" si="147"/>
        <v>0</v>
      </c>
      <c r="U279" s="576">
        <f t="shared" si="147"/>
        <v>0</v>
      </c>
      <c r="V279" s="576">
        <f t="shared" si="147"/>
        <v>0</v>
      </c>
      <c r="W279" s="576">
        <f t="shared" si="147"/>
        <v>0</v>
      </c>
      <c r="X279" s="576">
        <f t="shared" si="147"/>
        <v>0</v>
      </c>
      <c r="Y279" s="576">
        <f t="shared" si="147"/>
        <v>0</v>
      </c>
      <c r="Z279" s="576">
        <f t="shared" si="147"/>
        <v>0</v>
      </c>
      <c r="AA279" s="576">
        <f t="shared" si="147"/>
        <v>0</v>
      </c>
      <c r="AB279" s="576">
        <f t="shared" ref="AB279" si="148">SUM(AB280:AB283)</f>
        <v>0</v>
      </c>
      <c r="AC279" s="576">
        <f t="shared" ref="AC279" si="149">SUM(AC280:AC283)</f>
        <v>0</v>
      </c>
      <c r="AD279" s="576">
        <f t="shared" ref="AD279" si="150">SUM(AD280:AD283)</f>
        <v>0</v>
      </c>
      <c r="AE279" s="576">
        <f t="shared" ref="AE279" si="151">SUM(AE280:AE283)</f>
        <v>0</v>
      </c>
      <c r="AF279" s="576">
        <f t="shared" ref="AF279" si="152">SUM(AF280:AF283)</f>
        <v>0</v>
      </c>
      <c r="AG279" s="576">
        <f t="shared" ref="AG279" si="153">SUM(AG280:AG283)</f>
        <v>0</v>
      </c>
      <c r="AH279" s="576">
        <f t="shared" ref="AH279" si="154">SUM(AH280:AH283)</f>
        <v>0</v>
      </c>
      <c r="AI279" s="576">
        <f t="shared" ref="AI279" si="155">SUM(AI280:AI283)</f>
        <v>0</v>
      </c>
      <c r="AJ279" s="372">
        <f>SUM(D279:AA279)</f>
        <v>0</v>
      </c>
      <c r="AK279" s="815"/>
      <c r="AL279" s="815"/>
      <c r="AM279" s="815"/>
      <c r="AN279" s="816"/>
      <c r="AO279" s="330">
        <v>97</v>
      </c>
      <c r="AQ279" s="1056"/>
      <c r="AR279" s="1057"/>
      <c r="AS279" s="1058"/>
    </row>
    <row r="280" spans="1:45" ht="33" customHeight="1" thickBot="1" x14ac:dyDescent="0.6">
      <c r="A280" s="876" t="s">
        <v>696</v>
      </c>
      <c r="B280" s="785" t="s">
        <v>728</v>
      </c>
      <c r="C280" s="411" t="s">
        <v>470</v>
      </c>
      <c r="D280" s="601"/>
      <c r="E280" s="582"/>
      <c r="F280" s="582"/>
      <c r="G280" s="582"/>
      <c r="H280" s="582"/>
      <c r="I280" s="582"/>
      <c r="J280" s="582"/>
      <c r="K280" s="582"/>
      <c r="L280" s="582"/>
      <c r="M280" s="582"/>
      <c r="N280" s="582"/>
      <c r="O280" s="582"/>
      <c r="P280" s="582"/>
      <c r="Q280" s="582"/>
      <c r="R280" s="582"/>
      <c r="S280" s="582"/>
      <c r="T280" s="582"/>
      <c r="U280" s="582"/>
      <c r="V280" s="582"/>
      <c r="W280" s="582"/>
      <c r="X280" s="582"/>
      <c r="Y280" s="582"/>
      <c r="Z280" s="582"/>
      <c r="AA280" s="583"/>
      <c r="AB280" s="333"/>
      <c r="AC280" s="334"/>
      <c r="AD280" s="334"/>
      <c r="AE280" s="334"/>
      <c r="AF280" s="334"/>
      <c r="AG280" s="334"/>
      <c r="AH280" s="334"/>
      <c r="AI280" s="335"/>
      <c r="AJ280" s="372">
        <f>SUM(D280:AA280)</f>
        <v>0</v>
      </c>
      <c r="AK280" s="349"/>
      <c r="AL280" s="89" t="str">
        <f>CONCATENATE(AK280,AK281,AK285,AK286,AK287,AK288,AK269)</f>
        <v/>
      </c>
      <c r="AM280" s="609"/>
      <c r="AN280" s="617"/>
      <c r="AO280" s="330"/>
      <c r="AQ280" s="1052" t="s">
        <v>963</v>
      </c>
      <c r="AR280" s="1059" t="s">
        <v>964</v>
      </c>
      <c r="AS280" s="1059" t="s">
        <v>965</v>
      </c>
    </row>
    <row r="281" spans="1:45" ht="36.75" customHeight="1" thickBot="1" x14ac:dyDescent="0.6">
      <c r="A281" s="878"/>
      <c r="B281" s="786" t="s">
        <v>463</v>
      </c>
      <c r="C281" s="337" t="s">
        <v>471</v>
      </c>
      <c r="D281" s="568"/>
      <c r="E281" s="393"/>
      <c r="F281" s="393"/>
      <c r="G281" s="393"/>
      <c r="H281" s="393"/>
      <c r="I281" s="393"/>
      <c r="J281" s="393"/>
      <c r="K281" s="393"/>
      <c r="L281" s="393"/>
      <c r="M281" s="393"/>
      <c r="N281" s="393"/>
      <c r="O281" s="393"/>
      <c r="P281" s="393"/>
      <c r="Q281" s="393"/>
      <c r="R281" s="393"/>
      <c r="S281" s="393"/>
      <c r="T281" s="393"/>
      <c r="U281" s="393"/>
      <c r="V281" s="393"/>
      <c r="W281" s="393"/>
      <c r="X281" s="393"/>
      <c r="Y281" s="393"/>
      <c r="Z281" s="393"/>
      <c r="AA281" s="569"/>
      <c r="AB281" s="572"/>
      <c r="AC281" s="573"/>
      <c r="AD281" s="573"/>
      <c r="AE281" s="573"/>
      <c r="AF281" s="573"/>
      <c r="AG281" s="573"/>
      <c r="AH281" s="573"/>
      <c r="AI281" s="574"/>
      <c r="AJ281" s="373">
        <f t="shared" ref="AJ281" si="156">SUM(D281:AA281)</f>
        <v>0</v>
      </c>
      <c r="AK281" s="349"/>
      <c r="AL281" s="89" t="str">
        <f>CONCATENATE(AK281,AK282,AK286,AK287,AK288,AK270)</f>
        <v/>
      </c>
      <c r="AM281" s="609"/>
      <c r="AN281" s="617"/>
      <c r="AO281" s="330"/>
      <c r="AQ281" s="1051" t="s">
        <v>966</v>
      </c>
      <c r="AR281" s="1060" t="s">
        <v>967</v>
      </c>
      <c r="AS281" s="1060" t="s">
        <v>968</v>
      </c>
    </row>
    <row r="282" spans="1:45" s="7" customFormat="1" ht="38.450000000000003" customHeight="1" x14ac:dyDescent="0.55000000000000004">
      <c r="A282" s="876" t="s">
        <v>612</v>
      </c>
      <c r="B282" s="707" t="s">
        <v>729</v>
      </c>
      <c r="C282" s="411" t="s">
        <v>88</v>
      </c>
      <c r="D282" s="601"/>
      <c r="E282" s="582"/>
      <c r="F282" s="582"/>
      <c r="G282" s="582"/>
      <c r="H282" s="582"/>
      <c r="I282" s="582"/>
      <c r="J282" s="582"/>
      <c r="K282" s="582"/>
      <c r="L282" s="582"/>
      <c r="M282" s="582"/>
      <c r="N282" s="582"/>
      <c r="O282" s="582"/>
      <c r="P282" s="582"/>
      <c r="Q282" s="582"/>
      <c r="R282" s="582"/>
      <c r="S282" s="582"/>
      <c r="T282" s="582"/>
      <c r="U282" s="582"/>
      <c r="V282" s="582"/>
      <c r="W282" s="582"/>
      <c r="X282" s="582"/>
      <c r="Y282" s="582"/>
      <c r="Z282" s="582"/>
      <c r="AA282" s="583"/>
      <c r="AB282" s="333"/>
      <c r="AC282" s="334"/>
      <c r="AD282" s="334"/>
      <c r="AE282" s="334"/>
      <c r="AF282" s="334"/>
      <c r="AG282" s="334"/>
      <c r="AH282" s="334"/>
      <c r="AI282" s="335"/>
      <c r="AJ282" s="372">
        <f>SUM(D282:AA282)</f>
        <v>0</v>
      </c>
      <c r="AK282" s="414"/>
      <c r="AL282" s="89" t="str">
        <f>CONCATENATE(AK282,AK283,AK287,AK288,AK271)</f>
        <v/>
      </c>
      <c r="AM282" s="609"/>
      <c r="AN282" s="617"/>
      <c r="AO282" s="330">
        <v>100</v>
      </c>
      <c r="AQ282" s="1051" t="s">
        <v>969</v>
      </c>
      <c r="AR282" s="1060" t="s">
        <v>970</v>
      </c>
      <c r="AS282" s="1060" t="s">
        <v>971</v>
      </c>
    </row>
    <row r="283" spans="1:45" s="7" customFormat="1" ht="38.450000000000003" customHeight="1" thickBot="1" x14ac:dyDescent="0.6">
      <c r="A283" s="965"/>
      <c r="B283" s="740" t="s">
        <v>468</v>
      </c>
      <c r="C283" s="353" t="s">
        <v>89</v>
      </c>
      <c r="D283" s="355"/>
      <c r="E283" s="356"/>
      <c r="F283" s="356"/>
      <c r="G283" s="356"/>
      <c r="H283" s="356"/>
      <c r="I283" s="356"/>
      <c r="J283" s="356"/>
      <c r="K283" s="356"/>
      <c r="L283" s="356"/>
      <c r="M283" s="356"/>
      <c r="N283" s="356"/>
      <c r="O283" s="356"/>
      <c r="P283" s="356"/>
      <c r="Q283" s="356"/>
      <c r="R283" s="356"/>
      <c r="S283" s="356"/>
      <c r="T283" s="356"/>
      <c r="U283" s="356"/>
      <c r="V283" s="356"/>
      <c r="W283" s="356"/>
      <c r="X283" s="356"/>
      <c r="Y283" s="356"/>
      <c r="Z283" s="356"/>
      <c r="AA283" s="357"/>
      <c r="AB283" s="333"/>
      <c r="AC283" s="334"/>
      <c r="AD283" s="334"/>
      <c r="AE283" s="334"/>
      <c r="AF283" s="334"/>
      <c r="AG283" s="334"/>
      <c r="AH283" s="334"/>
      <c r="AI283" s="335"/>
      <c r="AJ283" s="371">
        <f t="shared" ref="AJ283:AJ288" si="157">SUM(D283:AA283)</f>
        <v>0</v>
      </c>
      <c r="AK283" s="358" t="str">
        <f>CONCATENATE(IF(D235&lt;SUM(D282,D283)," * Total Initiated on IPT for Age "&amp;D6&amp;" "&amp;D7&amp;" is More than Current ON ART "&amp;CHAR(10),""),IF(E235&lt;SUM(E282,E283)," * Total Initiated on IPT for Age "&amp;D6&amp;" "&amp;E7&amp;" is More than Current ON ART"&amp;CHAR(10),""),IF(F235&lt;SUM(F282,F283)," * Total Initiated on IPT for Age "&amp;F6&amp;" "&amp;F7&amp;" is More than Current ON ART "&amp;CHAR(10),""),IF(G235&lt;SUM(G282,G283)," * Total Initiated on IPT for Age "&amp;F6&amp;" "&amp;G7&amp;" is More than Current ON ART"&amp;CHAR(10),""),IF(H235&lt;SUM(H282,H283)," * Total Initiated on IPT for Age "&amp;H6&amp;" "&amp;H7&amp;" is More than Current ON ART "&amp;CHAR(10),""),IF(I235&lt;SUM(I282,I283)," * Total Initiated on IPT for Age "&amp;H6&amp;" "&amp;I7&amp;" is More than Current ON ART"&amp;CHAR(10),""),IF(J235&lt;SUM(J282,J283)," * Total Initiated on IPT for Age "&amp;J6&amp;" "&amp;J7&amp;" is More than Current ON ART "&amp;CHAR(10),""),IF(K235&lt;SUM(K282,K283)," * Total Initiated on IPT for Age "&amp;J6&amp;" "&amp;K7&amp;" is More than Current ON ART"&amp;CHAR(10),""),IF(L235&lt;SUM(L282,L283)," * Total Initiated on IPT for Age "&amp;L6&amp;" "&amp;L7&amp;" is More than Current ON ART "&amp;CHAR(10),""),IF(M235&lt;SUM(M282,M283)," * Total Initiated on IPT for Age "&amp;L6&amp;" "&amp;M7&amp;" is More than Current ON ART"&amp;CHAR(10),""),IF(N235&lt;SUM(N282,N283)," * Total Initiated on IPT for Age "&amp;N6&amp;" "&amp;N7&amp;" is More than Current ON ART "&amp;CHAR(10),""),IF(O235&lt;SUM(O282,O283)," * Total Initiated on IPT for Age "&amp;N6&amp;" "&amp;O7&amp;" is More than Current ON ART"&amp;CHAR(10),""),IF(P235&lt;SUM(P282,P283)," * Total Initiated on IPT for Age "&amp;P6&amp;" "&amp;P7&amp;" is More than Current ON ART "&amp;CHAR(10),""),IF(Q235&lt;SUM(Q282,Q283)," * Total Initiated on IPT for Age "&amp;P6&amp;" "&amp;Q7&amp;" is More than Current ON ART"&amp;CHAR(10),""),IF(R235&lt;SUM(R282,R283)," * Total Initiated on IPT for Age "&amp;R6&amp;" "&amp;R7&amp;" is More than Current ON ART "&amp;CHAR(10),""),IF(S235&lt;SUM(S282,S283)," * Total Initiated on IPT for Age "&amp;R6&amp;" "&amp;S7&amp;" is More than Current ON ART"&amp;CHAR(10),""),IF(T235&lt;SUM(T282,T283)," * Total Initiated on IPT for Age "&amp;T6&amp;" "&amp;T7&amp;" is More than Current ON ART "&amp;CHAR(10),""),IF(U235&lt;SUM(U282,U283)," * Total Initiated on IPT for Age "&amp;T6&amp;" "&amp;U7&amp;" is More than Current ON ART"&amp;CHAR(10),""),IF(V235&lt;SUM(V282,V283)," * Total Initiated on IPT for Age "&amp;V6&amp;" "&amp;V7&amp;" is More than Current ON ART "&amp;CHAR(10),""),IF(W235&lt;SUM(W282,W283)," * Total Initiated on IPT for Age "&amp;V6&amp;" "&amp;W7&amp;" is More than Current ON ART"&amp;CHAR(10),""),IF(X235&lt;SUM(X282,X283)," * Total Initiated on IPT for Age "&amp;X6&amp;" "&amp;X7&amp;" is More than Current ON ART "&amp;CHAR(10),""),IF(Y235&lt;SUM(Y282,Y283)," * Total Initiated on IPT for Age "&amp;X6&amp;" "&amp;Y7&amp;" is More than Current ON ART"&amp;CHAR(10),""),IF(Z235&lt;SUM(Z282,Z283)," * Total Initiated on IPT for Age "&amp;Z6&amp;" "&amp;Z7&amp;" is More than Current ON ART "&amp;CHAR(10),""),IF(AA235&lt;SUM(AA282,AA283)," * Total Initiated on IPT for Age "&amp;Z6&amp;" "&amp;AA7&amp;" is More than Current ON ART "&amp;CHAR(10),""))</f>
        <v/>
      </c>
      <c r="AL283" s="90"/>
      <c r="AM283" s="618"/>
      <c r="AN283" s="619"/>
      <c r="AO283" s="330">
        <v>101</v>
      </c>
      <c r="AQ283" s="1051" t="s">
        <v>972</v>
      </c>
      <c r="AR283" s="1060" t="s">
        <v>963</v>
      </c>
      <c r="AS283" s="1060" t="s">
        <v>964</v>
      </c>
    </row>
    <row r="284" spans="1:45" s="7" customFormat="1" ht="38.450000000000003" customHeight="1" thickBot="1" x14ac:dyDescent="0.6">
      <c r="A284" s="829" t="s">
        <v>730</v>
      </c>
      <c r="B284" s="831"/>
      <c r="C284" s="817"/>
      <c r="D284" s="576">
        <f t="shared" ref="D284:E284" si="158">SUM(D285:D288)</f>
        <v>0</v>
      </c>
      <c r="E284" s="576">
        <f t="shared" si="158"/>
        <v>0</v>
      </c>
      <c r="F284" s="576">
        <f t="shared" ref="F284" si="159">SUM(F285:F288)</f>
        <v>0</v>
      </c>
      <c r="G284" s="576">
        <f t="shared" ref="G284" si="160">SUM(G285:G288)</f>
        <v>0</v>
      </c>
      <c r="H284" s="576">
        <f t="shared" ref="H284" si="161">SUM(H285:H288)</f>
        <v>0</v>
      </c>
      <c r="I284" s="576">
        <f t="shared" ref="I284" si="162">SUM(I285:I288)</f>
        <v>0</v>
      </c>
      <c r="J284" s="576">
        <f t="shared" ref="J284" si="163">SUM(J285:J288)</f>
        <v>0</v>
      </c>
      <c r="K284" s="576">
        <f t="shared" ref="K284" si="164">SUM(K285:K288)</f>
        <v>0</v>
      </c>
      <c r="L284" s="576">
        <f t="shared" ref="L284" si="165">SUM(L285:L288)</f>
        <v>0</v>
      </c>
      <c r="M284" s="576">
        <f t="shared" ref="M284" si="166">SUM(M285:M288)</f>
        <v>0</v>
      </c>
      <c r="N284" s="576">
        <f t="shared" ref="N284" si="167">SUM(N285:N288)</f>
        <v>0</v>
      </c>
      <c r="O284" s="576">
        <f t="shared" ref="O284" si="168">SUM(O285:O288)</f>
        <v>0</v>
      </c>
      <c r="P284" s="576">
        <f t="shared" ref="P284" si="169">SUM(P285:P288)</f>
        <v>0</v>
      </c>
      <c r="Q284" s="576">
        <f t="shared" ref="Q284" si="170">SUM(Q285:Q288)</f>
        <v>0</v>
      </c>
      <c r="R284" s="576">
        <f t="shared" ref="R284" si="171">SUM(R285:R288)</f>
        <v>0</v>
      </c>
      <c r="S284" s="576">
        <f t="shared" ref="S284" si="172">SUM(S285:S288)</f>
        <v>0</v>
      </c>
      <c r="T284" s="576">
        <f t="shared" ref="T284" si="173">SUM(T285:T288)</f>
        <v>0</v>
      </c>
      <c r="U284" s="576">
        <f t="shared" ref="U284" si="174">SUM(U285:U288)</f>
        <v>0</v>
      </c>
      <c r="V284" s="576">
        <f t="shared" ref="V284" si="175">SUM(V285:V288)</f>
        <v>0</v>
      </c>
      <c r="W284" s="576">
        <f t="shared" ref="W284" si="176">SUM(W285:W288)</f>
        <v>0</v>
      </c>
      <c r="X284" s="576">
        <f t="shared" ref="X284" si="177">SUM(X285:X288)</f>
        <v>0</v>
      </c>
      <c r="Y284" s="576">
        <f t="shared" ref="Y284" si="178">SUM(Y285:Y288)</f>
        <v>0</v>
      </c>
      <c r="Z284" s="576">
        <f t="shared" ref="Z284" si="179">SUM(Z285:Z288)</f>
        <v>0</v>
      </c>
      <c r="AA284" s="576">
        <f t="shared" ref="AA284" si="180">SUM(AA285:AA288)</f>
        <v>0</v>
      </c>
      <c r="AB284" s="576">
        <f t="shared" ref="AB284" si="181">SUM(AB285:AB288)</f>
        <v>0</v>
      </c>
      <c r="AC284" s="576">
        <f t="shared" ref="AC284" si="182">SUM(AC285:AC288)</f>
        <v>0</v>
      </c>
      <c r="AD284" s="576">
        <f t="shared" ref="AD284" si="183">SUM(AD285:AD288)</f>
        <v>0</v>
      </c>
      <c r="AE284" s="576">
        <f t="shared" ref="AE284" si="184">SUM(AE285:AE288)</f>
        <v>0</v>
      </c>
      <c r="AF284" s="576">
        <f t="shared" ref="AF284" si="185">SUM(AF285:AF288)</f>
        <v>0</v>
      </c>
      <c r="AG284" s="576">
        <f t="shared" ref="AG284" si="186">SUM(AG285:AG288)</f>
        <v>0</v>
      </c>
      <c r="AH284" s="576">
        <f t="shared" ref="AH284" si="187">SUM(AH285:AH288)</f>
        <v>0</v>
      </c>
      <c r="AI284" s="576">
        <f t="shared" ref="AI284" si="188">SUM(AI285:AI288)</f>
        <v>0</v>
      </c>
      <c r="AJ284" s="576">
        <f t="shared" ref="AJ284" si="189">SUM(AJ285:AJ288)</f>
        <v>0</v>
      </c>
      <c r="AK284" s="817"/>
      <c r="AL284" s="817"/>
      <c r="AM284" s="817"/>
      <c r="AN284" s="818"/>
      <c r="AO284" s="330"/>
      <c r="AQ284" s="1051" t="s">
        <v>973</v>
      </c>
      <c r="AR284" s="1060" t="s">
        <v>966</v>
      </c>
      <c r="AS284" s="1060" t="s">
        <v>967</v>
      </c>
    </row>
    <row r="285" spans="1:45" s="7" customFormat="1" ht="49.5" customHeight="1" x14ac:dyDescent="0.55000000000000004">
      <c r="A285" s="1004" t="s">
        <v>731</v>
      </c>
      <c r="B285" s="707" t="s">
        <v>464</v>
      </c>
      <c r="C285" s="411" t="s">
        <v>472</v>
      </c>
      <c r="D285" s="620"/>
      <c r="E285" s="621"/>
      <c r="F285" s="621"/>
      <c r="G285" s="621"/>
      <c r="H285" s="621"/>
      <c r="I285" s="621"/>
      <c r="J285" s="621"/>
      <c r="K285" s="621"/>
      <c r="L285" s="621"/>
      <c r="M285" s="621"/>
      <c r="N285" s="621"/>
      <c r="O285" s="621"/>
      <c r="P285" s="621"/>
      <c r="Q285" s="621"/>
      <c r="R285" s="621"/>
      <c r="S285" s="621"/>
      <c r="T285" s="621"/>
      <c r="U285" s="621"/>
      <c r="V285" s="621"/>
      <c r="W285" s="621"/>
      <c r="X285" s="621"/>
      <c r="Y285" s="621"/>
      <c r="Z285" s="621"/>
      <c r="AA285" s="622"/>
      <c r="AB285" s="333"/>
      <c r="AC285" s="334"/>
      <c r="AD285" s="334"/>
      <c r="AE285" s="334"/>
      <c r="AF285" s="334"/>
      <c r="AG285" s="334"/>
      <c r="AH285" s="334"/>
      <c r="AI285" s="335"/>
      <c r="AJ285" s="372">
        <f t="shared" ref="AJ285:AJ286" si="190">SUM(D285:AA285)</f>
        <v>0</v>
      </c>
      <c r="AK285" s="414" t="str">
        <f>CONCATENATE(IF(D287&gt;D285," * Completed Other Forms Of TPT for Age "&amp;#REF!&amp;" "&amp;D13&amp;" is more than Initiated on  Other Forms of TPT"&amp;CHAR(10),""),IF(E287&gt;E285," * Completed Other Forms Of TPT for Age "&amp;#REF!&amp;" "&amp;E13&amp;" is more than Initiated on  Other Forms of TPT"&amp;CHAR(10),""),IF(F287&gt;F285," * Completed Other Forms Of TPT for Age "&amp;#REF!&amp;" "&amp;F13&amp;" is more than Initiated on  Other Forms of TPT"&amp;CHAR(10),""),IF(G287&gt;G285," * Completed Other Forms Of TPT for Age "&amp;#REF!&amp;" "&amp;G13&amp;" is more than Initiated on  Other Forms of TPT"&amp;CHAR(10),""),IF(H287&gt;H285," * Completed Other Forms Of TPT for Age "&amp;#REF!&amp;" "&amp;H13&amp;" is more than Initiated on  Other Forms of TPT"&amp;CHAR(10),""),IF(I287&gt;I285," * Completed Other Forms Of TPT for Age "&amp;#REF!&amp;" "&amp;I13&amp;" is more than Initiated on  Other Forms of TPT"&amp;CHAR(10),""),IF(J287&gt;J285," * Completed Other Forms Of TPT for Age "&amp;#REF!&amp;" "&amp;J13&amp;" is more than Initiated on  Other Forms of TPT"&amp;CHAR(10),""),IF(K287&gt;K285," * Completed Other Forms Of TPT for Age "&amp;#REF!&amp;" "&amp;K13&amp;" is more than Initiated on  Other Forms of TPT"&amp;CHAR(10),""),IF(L287&gt;L285," * Completed Other Forms Of TPT for Age "&amp;#REF!&amp;" "&amp;L13&amp;" is more than Initiated on  Other Forms of TPT"&amp;CHAR(10),""),IF(M287&gt;M285," * Completed Other Forms Of TPT for Age "&amp;#REF!&amp;" "&amp;M13&amp;" is more than Initiated on  Other Forms of TPT"&amp;CHAR(10),""),IF(N287&gt;N285," * Completed Other Forms Of TPT for Age "&amp;#REF!&amp;" "&amp;N13&amp;" is more than Initiated on  Other Forms of TPT"&amp;CHAR(10),""),IF(O287&gt;O285," * Completed Other Forms Of TPT for Age "&amp;#REF!&amp;" "&amp;O13&amp;" is more than Initiated on  Other Forms of TPT"&amp;CHAR(10),""),IF(P287&gt;P285," * Completed Other Forms Of TPT for Age "&amp;#REF!&amp;" "&amp;P13&amp;" is more than Initiated on  Other Forms of TPT"&amp;CHAR(10),""),IF(Q287&gt;Q285," * Completed Other Forms Of TPT for Age "&amp;#REF!&amp;" "&amp;Q13&amp;" is more than Initiated on  Other Forms of TPT"&amp;CHAR(10),""),IF(R287&gt;R285," * Completed Other Forms Of TPT for Age "&amp;#REF!&amp;" "&amp;R13&amp;" is more than Initiated on  Other Forms of TPT"&amp;CHAR(10),""),IF(S287&gt;S285," * Completed Other Forms Of TPT for Age "&amp;#REF!&amp;" "&amp;S13&amp;" is more than Initiated on  Other Forms of TPT"&amp;CHAR(10),""),IF(T287&gt;T285," * Completed Other Forms Of TPT for Age "&amp;#REF!&amp;" "&amp;T13&amp;" is more than Initiated on  Other Forms of TPT"&amp;CHAR(10),""),IF(U287&gt;U285," * Completed Other Forms Of TPT for Age "&amp;#REF!&amp;" "&amp;U13&amp;" is more than Initiated on  Other Forms of TPT"&amp;CHAR(10),""),IF(V287&gt;V285," * Completed Other Forms Of TPT for Age "&amp;#REF!&amp;" "&amp;V13&amp;" is more than Initiated on  Other Forms of TPT"&amp;CHAR(10),""),IF(W287&gt;W285," * Completed Other Forms Of TPT for Age "&amp;#REF!&amp;" "&amp;W13&amp;" is more than Initiated on  Other Forms of TPT"&amp;CHAR(10),""),IF(X287&gt;X285," * Completed Other Forms Of TPT for Age "&amp;#REF!&amp;" "&amp;X13&amp;" is more than Initiated on  Other Forms of TPT"&amp;CHAR(10),""),IF(Y287&gt;Y285," * Completed Other Forms Of TPT for Age "&amp;#REF!&amp;" "&amp;Y13&amp;" is more than Initiated on  Other Forms of TPT"&amp;CHAR(10),""),IF(Z287&gt;Z285," * Completed Other Forms Of TPT for Age "&amp;#REF!&amp;" "&amp;Z13&amp;" is more than Initiated on  Other Forms of TPT"&amp;CHAR(10),""),IF(AA287&gt;AA285," * Completed Other Forms Of TPT for Age "&amp;#REF!&amp;" "&amp;AA13&amp;" is more than Initiated on  Other Forms of TPT"&amp;CHAR(10),""))</f>
        <v/>
      </c>
      <c r="AL285" s="90"/>
      <c r="AM285" s="125"/>
      <c r="AN285" s="623"/>
      <c r="AO285" s="330"/>
      <c r="AQ285" s="1051" t="s">
        <v>974</v>
      </c>
      <c r="AR285" s="1060" t="s">
        <v>969</v>
      </c>
      <c r="AS285" s="1060" t="s">
        <v>970</v>
      </c>
    </row>
    <row r="286" spans="1:45" s="7" customFormat="1" ht="52.5" customHeight="1" thickBot="1" x14ac:dyDescent="0.6">
      <c r="A286" s="878"/>
      <c r="B286" s="742" t="s">
        <v>463</v>
      </c>
      <c r="C286" s="337" t="s">
        <v>473</v>
      </c>
      <c r="D286" s="624"/>
      <c r="E286" s="625"/>
      <c r="F286" s="625"/>
      <c r="G286" s="625"/>
      <c r="H286" s="625"/>
      <c r="I286" s="625"/>
      <c r="J286" s="625"/>
      <c r="K286" s="625"/>
      <c r="L286" s="625"/>
      <c r="M286" s="625"/>
      <c r="N286" s="625"/>
      <c r="O286" s="625"/>
      <c r="P286" s="625"/>
      <c r="Q286" s="625"/>
      <c r="R286" s="625"/>
      <c r="S286" s="625"/>
      <c r="T286" s="625"/>
      <c r="U286" s="625"/>
      <c r="V286" s="625"/>
      <c r="W286" s="625"/>
      <c r="X286" s="625"/>
      <c r="Y286" s="625"/>
      <c r="Z286" s="625"/>
      <c r="AA286" s="626"/>
      <c r="AB286" s="333"/>
      <c r="AC286" s="334"/>
      <c r="AD286" s="334"/>
      <c r="AE286" s="334"/>
      <c r="AF286" s="334"/>
      <c r="AG286" s="334"/>
      <c r="AH286" s="334"/>
      <c r="AI286" s="335"/>
      <c r="AJ286" s="373">
        <f t="shared" si="190"/>
        <v>0</v>
      </c>
      <c r="AK286" s="414" t="str">
        <f>CONCATENATE(IF(D288&gt;D286," * Completed Other Forms Of TPT for Age "&amp;#REF!&amp;" "&amp;D14&amp;" is more than Initiated on  Other Forms of TPT"&amp;CHAR(10),""),IF(E288&gt;E286," * Completed Other Forms Of TPT for Age "&amp;#REF!&amp;" "&amp;E14&amp;" is more than Initiated on  Other Forms of TPT"&amp;CHAR(10),""),IF(F288&gt;F286," * Completed Other Forms Of TPT for Age "&amp;#REF!&amp;" "&amp;F14&amp;" is more than Initiated on  Other Forms of TPT"&amp;CHAR(10),""),IF(G288&gt;G286," * Completed Other Forms Of TPT for Age "&amp;#REF!&amp;" "&amp;G14&amp;" is more than Initiated on  Other Forms of TPT"&amp;CHAR(10),""),IF(H288&gt;H286," * Completed Other Forms Of TPT for Age "&amp;#REF!&amp;" "&amp;H14&amp;" is more than Initiated on  Other Forms of TPT"&amp;CHAR(10),""),IF(I288&gt;I286," * Completed Other Forms Of TPT for Age "&amp;#REF!&amp;" "&amp;I14&amp;" is more than Initiated on  Other Forms of TPT"&amp;CHAR(10),""),IF(J288&gt;J286," * Completed Other Forms Of TPT for Age "&amp;#REF!&amp;" "&amp;J14&amp;" is more than Initiated on  Other Forms of TPT"&amp;CHAR(10),""),IF(K288&gt;K286," * Completed Other Forms Of TPT for Age "&amp;#REF!&amp;" "&amp;K14&amp;" is more than Initiated on  Other Forms of TPT"&amp;CHAR(10),""),IF(L288&gt;L286," * Completed Other Forms Of TPT for Age "&amp;#REF!&amp;" "&amp;L14&amp;" is more than Initiated on  Other Forms of TPT"&amp;CHAR(10),""),IF(M288&gt;M286," * Completed Other Forms Of TPT for Age "&amp;#REF!&amp;" "&amp;M14&amp;" is more than Initiated on  Other Forms of TPT"&amp;CHAR(10),""),IF(N288&gt;N286," * Completed Other Forms Of TPT for Age "&amp;#REF!&amp;" "&amp;N14&amp;" is more than Initiated on  Other Forms of TPT"&amp;CHAR(10),""),IF(O288&gt;O286," * Completed Other Forms Of TPT for Age "&amp;#REF!&amp;" "&amp;O14&amp;" is more than Initiated on  Other Forms of TPT"&amp;CHAR(10),""),IF(P288&gt;P286," * Completed Other Forms Of TPT for Age "&amp;#REF!&amp;" "&amp;P14&amp;" is more than Initiated on  Other Forms of TPT"&amp;CHAR(10),""),IF(Q288&gt;Q286," * Completed Other Forms Of TPT for Age "&amp;#REF!&amp;" "&amp;Q14&amp;" is more than Initiated on  Other Forms of TPT"&amp;CHAR(10),""),IF(R288&gt;R286," * Completed Other Forms Of TPT for Age "&amp;#REF!&amp;" "&amp;R14&amp;" is more than Initiated on  Other Forms of TPT"&amp;CHAR(10),""),IF(S288&gt;S286," * Completed Other Forms Of TPT for Age "&amp;#REF!&amp;" "&amp;S14&amp;" is more than Initiated on  Other Forms of TPT"&amp;CHAR(10),""),IF(T288&gt;T286," * Completed Other Forms Of TPT for Age "&amp;#REF!&amp;" "&amp;T14&amp;" is more than Initiated on  Other Forms of TPT"&amp;CHAR(10),""),IF(U288&gt;U286," * Completed Other Forms Of TPT for Age "&amp;#REF!&amp;" "&amp;U14&amp;" is more than Initiated on  Other Forms of TPT"&amp;CHAR(10),""),IF(V288&gt;V286," * Completed Other Forms Of TPT for Age "&amp;#REF!&amp;" "&amp;V14&amp;" is more than Initiated on  Other Forms of TPT"&amp;CHAR(10),""),IF(W288&gt;W286," * Completed Other Forms Of TPT for Age "&amp;#REF!&amp;" "&amp;W14&amp;" is more than Initiated on  Other Forms of TPT"&amp;CHAR(10),""),IF(X288&gt;X286," * Completed Other Forms Of TPT for Age "&amp;#REF!&amp;" "&amp;X14&amp;" is more than Initiated on  Other Forms of TPT"&amp;CHAR(10),""),IF(Y288&gt;Y286," * Completed Other Forms Of TPT for Age "&amp;#REF!&amp;" "&amp;Y14&amp;" is more than Initiated on  Other Forms of TPT"&amp;CHAR(10),""),IF(Z288&gt;Z286," * Completed Other Forms Of TPT for Age "&amp;#REF!&amp;" "&amp;Z14&amp;" is more than Initiated on  Other Forms of TPT"&amp;CHAR(10),""),IF(AA288&gt;AA286," * Completed Other Forms Of TPT for Age "&amp;#REF!&amp;" "&amp;AA14&amp;" is more than Initiated on  Other Forms of TPT"&amp;CHAR(10),""))</f>
        <v/>
      </c>
      <c r="AL286" s="90"/>
      <c r="AM286" s="136"/>
      <c r="AN286" s="617"/>
      <c r="AO286" s="330"/>
      <c r="AQ286" s="1051" t="s">
        <v>965</v>
      </c>
      <c r="AR286" s="1060" t="s">
        <v>972</v>
      </c>
      <c r="AS286" s="1060" t="s">
        <v>963</v>
      </c>
    </row>
    <row r="287" spans="1:45" ht="38.450000000000003" customHeight="1" x14ac:dyDescent="0.55000000000000004">
      <c r="A287" s="876" t="s">
        <v>747</v>
      </c>
      <c r="B287" s="720" t="s">
        <v>469</v>
      </c>
      <c r="C287" s="115" t="s">
        <v>90</v>
      </c>
      <c r="D287" s="627"/>
      <c r="E287" s="628"/>
      <c r="F287" s="628"/>
      <c r="G287" s="628"/>
      <c r="H287" s="628"/>
      <c r="I287" s="628"/>
      <c r="J287" s="628"/>
      <c r="K287" s="628"/>
      <c r="L287" s="628"/>
      <c r="M287" s="628"/>
      <c r="N287" s="628"/>
      <c r="O287" s="628"/>
      <c r="P287" s="628"/>
      <c r="Q287" s="628"/>
      <c r="R287" s="628"/>
      <c r="S287" s="628"/>
      <c r="T287" s="628"/>
      <c r="U287" s="628"/>
      <c r="V287" s="628"/>
      <c r="W287" s="628"/>
      <c r="X287" s="628"/>
      <c r="Y287" s="628"/>
      <c r="Z287" s="628"/>
      <c r="AA287" s="629"/>
      <c r="AB287" s="333"/>
      <c r="AC287" s="334"/>
      <c r="AD287" s="334"/>
      <c r="AE287" s="334"/>
      <c r="AF287" s="334"/>
      <c r="AG287" s="334"/>
      <c r="AH287" s="334"/>
      <c r="AI287" s="335"/>
      <c r="AJ287" s="348">
        <f t="shared" si="157"/>
        <v>0</v>
      </c>
      <c r="AK287" s="349" t="str">
        <f>CONCATENATE(IF(D287&gt;D282," * F03-03 for Age "&amp;D6&amp;" "&amp;D7&amp;" is more than F03-01"&amp;CHAR(10),""),IF(E287&gt;E282," * F03-03 for Age "&amp;D6&amp;" "&amp;E7&amp;" is more than F03-01"&amp;CHAR(10),""),IF(F287&gt;F282," * F03-03 for Age "&amp;F6&amp;" "&amp;F7&amp;" is more than F03-01"&amp;CHAR(10),""),IF(G287&gt;G282," * F03-03 for Age "&amp;F6&amp;" "&amp;G7&amp;" is more than F03-01"&amp;CHAR(10),""),IF(H287&gt;H282," * F03-03 for Age "&amp;H6&amp;" "&amp;H7&amp;" is more than F03-01"&amp;CHAR(10),""),IF(I287&gt;I282," * F03-03 for Age "&amp;H6&amp;" "&amp;I7&amp;" is more than F03-01"&amp;CHAR(10),""),IF(J287&gt;J282," * F03-03 for Age "&amp;J6&amp;" "&amp;J7&amp;" is more than F03-01"&amp;CHAR(10),""),IF(K287&gt;K282," * F03-03 for Age "&amp;J6&amp;" "&amp;K7&amp;" is more than F03-01"&amp;CHAR(10),""),IF(L287&gt;L282," * F03-03 for Age "&amp;L6&amp;" "&amp;L7&amp;" is more than F03-01"&amp;CHAR(10),""),IF(M287&gt;M282," * F03-03 for Age "&amp;L6&amp;" "&amp;M7&amp;" is more than F03-01"&amp;CHAR(10),""),IF(N287&gt;N282," * F03-03 for Age "&amp;N6&amp;" "&amp;N7&amp;" is more than F03-01"&amp;CHAR(10),""),IF(O287&gt;O282," * F03-03 for Age "&amp;N6&amp;" "&amp;O7&amp;" is more than F03-01"&amp;CHAR(10),""),IF(P287&gt;P282," * F03-03 for Age "&amp;P6&amp;" "&amp;P7&amp;" is more than F03-01"&amp;CHAR(10),""),IF(Q287&gt;Q282," * F03-03 for Age "&amp;P6&amp;" "&amp;Q7&amp;" is more than F03-01"&amp;CHAR(10),""),IF(R287&gt;R282," * F03-03 for Age "&amp;R6&amp;" "&amp;R7&amp;" is more than F03-01"&amp;CHAR(10),""),IF(S287&gt;S282," * F03-03 for Age "&amp;R6&amp;" "&amp;S7&amp;" is more than F03-01"&amp;CHAR(10),""),IF(T287&gt;T282," * F03-03 for Age "&amp;T6&amp;" "&amp;T7&amp;" is more than F03-01"&amp;CHAR(10),""),IF(U287&gt;U282," * F03-03 for Age "&amp;T6&amp;" "&amp;U7&amp;" is more than F03-01"&amp;CHAR(10),""),IF(V287&gt;V282," * F03-03 for Age "&amp;V6&amp;" "&amp;V7&amp;" is more than F03-01"&amp;CHAR(10),""),IF(W287&gt;W282," * F03-03 for Age "&amp;V6&amp;" "&amp;W7&amp;" is more than F03-01"&amp;CHAR(10),""),IF(X287&gt;X282," * F03-03 for Age "&amp;X6&amp;" "&amp;X7&amp;" is more than F03-01"&amp;CHAR(10),""),IF(Y287&gt;Y282," * F03-03 for Age "&amp;X6&amp;" "&amp;Y7&amp;" is more than F03-01"&amp;CHAR(10),""),IF(Z287&gt;Z282," * F03-03 for Age "&amp;Z6&amp;" "&amp;Z7&amp;" is more than F03-01"&amp;CHAR(10),""),IF(AA287&gt;AA282," * F03-03 for Age "&amp;Z6&amp;" "&amp;AA7&amp;" is more than F03-01"&amp;CHAR(10),""))</f>
        <v/>
      </c>
      <c r="AL287" s="90"/>
      <c r="AM287" s="136"/>
      <c r="AN287" s="617"/>
      <c r="AO287" s="330">
        <v>102</v>
      </c>
      <c r="AQ287" s="1051" t="s">
        <v>968</v>
      </c>
      <c r="AR287" s="1060" t="s">
        <v>973</v>
      </c>
      <c r="AS287" s="1060" t="s">
        <v>966</v>
      </c>
    </row>
    <row r="288" spans="1:45" ht="45.75" customHeight="1" thickBot="1" x14ac:dyDescent="0.6">
      <c r="A288" s="878"/>
      <c r="B288" s="742" t="s">
        <v>468</v>
      </c>
      <c r="C288" s="337" t="s">
        <v>91</v>
      </c>
      <c r="D288" s="624"/>
      <c r="E288" s="625"/>
      <c r="F288" s="625"/>
      <c r="G288" s="625"/>
      <c r="H288" s="625"/>
      <c r="I288" s="625"/>
      <c r="J288" s="625"/>
      <c r="K288" s="625"/>
      <c r="L288" s="625"/>
      <c r="M288" s="625"/>
      <c r="N288" s="625"/>
      <c r="O288" s="625"/>
      <c r="P288" s="625"/>
      <c r="Q288" s="625"/>
      <c r="R288" s="625"/>
      <c r="S288" s="625"/>
      <c r="T288" s="625"/>
      <c r="U288" s="625"/>
      <c r="V288" s="625"/>
      <c r="W288" s="625"/>
      <c r="X288" s="625"/>
      <c r="Y288" s="625"/>
      <c r="Z288" s="625"/>
      <c r="AA288" s="626"/>
      <c r="AB288" s="333"/>
      <c r="AC288" s="334"/>
      <c r="AD288" s="334"/>
      <c r="AE288" s="334"/>
      <c r="AF288" s="334"/>
      <c r="AG288" s="334"/>
      <c r="AH288" s="334"/>
      <c r="AI288" s="335"/>
      <c r="AJ288" s="373">
        <f t="shared" si="157"/>
        <v>0</v>
      </c>
      <c r="AK288" s="349" t="str">
        <f>CONCATENATE(IF(D288&gt;D283," * F03-04 for Age "&amp;D6&amp;" "&amp;D7&amp;" is more than F03-02"&amp;CHAR(10),""),IF(E288&gt;E283," * F03-04 for Age "&amp;D6&amp;" "&amp;E7&amp;" is more than F03-02"&amp;CHAR(10),""),IF(F288&gt;F283," * F03-04 for Age "&amp;F6&amp;" "&amp;F7&amp;" is more than F03-02"&amp;CHAR(10),""),IF(G288&gt;G283," * F03-04 for Age "&amp;F6&amp;" "&amp;G7&amp;" is more than F03-02"&amp;CHAR(10),""),IF(H288&gt;H283," * F03-04 for Age "&amp;H6&amp;" "&amp;H7&amp;" is more than F03-02"&amp;CHAR(10),""),IF(I288&gt;I283," * F03-04 for Age "&amp;H6&amp;" "&amp;I7&amp;" is more than F03-02"&amp;CHAR(10),""),IF(J288&gt;J283," * F03-04 for Age "&amp;J6&amp;" "&amp;J7&amp;" is more than F03-02"&amp;CHAR(10),""),IF(K288&gt;K283," * F03-04 for Age "&amp;J6&amp;" "&amp;K7&amp;" is more than F03-02"&amp;CHAR(10),""),IF(L288&gt;L283," * F03-04 for Age "&amp;L6&amp;" "&amp;L7&amp;" is more than F03-02"&amp;CHAR(10),""),IF(M288&gt;M283," * F03-04 for Age "&amp;L6&amp;" "&amp;M7&amp;" is more than F03-02"&amp;CHAR(10),""),IF(N288&gt;N283," * F03-04 for Age "&amp;N6&amp;" "&amp;N7&amp;" is more than F03-02"&amp;CHAR(10),""),IF(O288&gt;O283," * F03-04 for Age "&amp;N6&amp;" "&amp;O7&amp;" is more than F03-02"&amp;CHAR(10),""),IF(P288&gt;P283," * F03-04 for Age "&amp;P6&amp;" "&amp;P7&amp;" is more than F03-02"&amp;CHAR(10),""),IF(Q288&gt;Q283," * F03-04 for Age "&amp;P6&amp;" "&amp;Q7&amp;" is more than F03-02"&amp;CHAR(10),""),IF(R288&gt;R283," * F03-04 for Age "&amp;R6&amp;" "&amp;R7&amp;" is more than F03-02"&amp;CHAR(10),""),IF(S288&gt;S283," * F03-04 for Age "&amp;R6&amp;" "&amp;S7&amp;" is more than F03-02"&amp;CHAR(10),""),IF(T288&gt;T283," * F03-04 for Age "&amp;T6&amp;" "&amp;T7&amp;" is more than F03-02"&amp;CHAR(10),""),IF(U288&gt;U283," * F03-04 for Age "&amp;T6&amp;" "&amp;U7&amp;" is more than F03-02"&amp;CHAR(10),""),IF(V288&gt;V283," * F03-04 for Age "&amp;V6&amp;" "&amp;V7&amp;" is more than F03-02"&amp;CHAR(10),""),IF(W288&gt;W283," * F03-04 for Age "&amp;V6&amp;" "&amp;W7&amp;" is more than F03-02"&amp;CHAR(10),""),IF(X288&gt;X283," * F03-04 for Age "&amp;X6&amp;" "&amp;X7&amp;" is more than F03-02"&amp;CHAR(10),""),IF(Y288&gt;Y283," * F03-04 for Age "&amp;X6&amp;" "&amp;Y7&amp;" is more than F03-02"&amp;CHAR(10),""),IF(Z288&gt;Z283," * F03-04 for Age "&amp;Z6&amp;" "&amp;Z7&amp;" is more than F03-02"&amp;CHAR(10),""),IF(AA288&gt;AA283," * F03-04 for Age "&amp;Z6&amp;" "&amp;AA7&amp;" is more than F03-02"&amp;CHAR(10),""),IF(AJ288&gt;AJ283," * Total F03-04 is more than Total F03-02"&amp;CHAR(10),""))</f>
        <v/>
      </c>
      <c r="AL288" s="90"/>
      <c r="AM288" s="136"/>
      <c r="AN288" s="617"/>
      <c r="AO288" s="330">
        <v>103</v>
      </c>
      <c r="AQ288" s="1051" t="s">
        <v>971</v>
      </c>
      <c r="AR288" s="1060" t="s">
        <v>974</v>
      </c>
      <c r="AS288" s="1060" t="s">
        <v>969</v>
      </c>
    </row>
    <row r="289" spans="1:45" ht="28.5" thickBot="1" x14ac:dyDescent="0.6">
      <c r="A289" s="940" t="s">
        <v>697</v>
      </c>
      <c r="B289" s="941"/>
      <c r="C289" s="941"/>
      <c r="D289" s="949"/>
      <c r="E289" s="949"/>
      <c r="F289" s="949"/>
      <c r="G289" s="949"/>
      <c r="H289" s="949"/>
      <c r="I289" s="949"/>
      <c r="J289" s="949"/>
      <c r="K289" s="949"/>
      <c r="L289" s="949"/>
      <c r="M289" s="949"/>
      <c r="N289" s="949"/>
      <c r="O289" s="949"/>
      <c r="P289" s="949"/>
      <c r="Q289" s="949"/>
      <c r="R289" s="949"/>
      <c r="S289" s="949"/>
      <c r="T289" s="949"/>
      <c r="U289" s="949"/>
      <c r="V289" s="949"/>
      <c r="W289" s="949"/>
      <c r="X289" s="949"/>
      <c r="Y289" s="949"/>
      <c r="Z289" s="949"/>
      <c r="AA289" s="949"/>
      <c r="AB289" s="947"/>
      <c r="AC289" s="947"/>
      <c r="AD289" s="947"/>
      <c r="AE289" s="947"/>
      <c r="AF289" s="947"/>
      <c r="AG289" s="947"/>
      <c r="AH289" s="947"/>
      <c r="AI289" s="947"/>
      <c r="AJ289" s="941"/>
      <c r="AK289" s="941"/>
      <c r="AL289" s="941"/>
      <c r="AM289" s="941"/>
      <c r="AN289" s="948"/>
      <c r="AO289" s="330">
        <v>112</v>
      </c>
      <c r="AQ289" s="1051" t="s">
        <v>964</v>
      </c>
      <c r="AR289" s="1060" t="s">
        <v>965</v>
      </c>
      <c r="AS289" s="1060" t="s">
        <v>972</v>
      </c>
    </row>
    <row r="290" spans="1:45" ht="26.25" customHeight="1" x14ac:dyDescent="0.55000000000000004">
      <c r="A290" s="950" t="s">
        <v>18</v>
      </c>
      <c r="B290" s="1020" t="s">
        <v>123</v>
      </c>
      <c r="C290" s="1002" t="s">
        <v>122</v>
      </c>
      <c r="D290" s="1022"/>
      <c r="E290" s="1023"/>
      <c r="F290" s="1023"/>
      <c r="G290" s="1023"/>
      <c r="H290" s="1023"/>
      <c r="I290" s="1023"/>
      <c r="J290" s="1023"/>
      <c r="K290" s="1023"/>
      <c r="L290" s="1019" t="s">
        <v>4</v>
      </c>
      <c r="M290" s="849"/>
      <c r="N290" s="849" t="s">
        <v>5</v>
      </c>
      <c r="O290" s="849"/>
      <c r="P290" s="849" t="s">
        <v>6</v>
      </c>
      <c r="Q290" s="849"/>
      <c r="R290" s="849" t="s">
        <v>7</v>
      </c>
      <c r="S290" s="849"/>
      <c r="T290" s="849" t="s">
        <v>8</v>
      </c>
      <c r="U290" s="849"/>
      <c r="V290" s="849" t="s">
        <v>15</v>
      </c>
      <c r="W290" s="849"/>
      <c r="X290" s="849" t="s">
        <v>16</v>
      </c>
      <c r="Y290" s="849"/>
      <c r="Z290" s="849" t="s">
        <v>9</v>
      </c>
      <c r="AA290" s="840"/>
      <c r="AB290" s="840" t="s">
        <v>365</v>
      </c>
      <c r="AC290" s="841"/>
      <c r="AD290" s="840" t="s">
        <v>366</v>
      </c>
      <c r="AE290" s="841"/>
      <c r="AF290" s="840" t="s">
        <v>427</v>
      </c>
      <c r="AG290" s="841"/>
      <c r="AH290" s="840" t="s">
        <v>428</v>
      </c>
      <c r="AI290" s="841"/>
      <c r="AJ290" s="967" t="s">
        <v>13</v>
      </c>
      <c r="AK290" s="881" t="s">
        <v>148</v>
      </c>
      <c r="AL290" s="879" t="s">
        <v>154</v>
      </c>
      <c r="AM290" s="883" t="s">
        <v>155</v>
      </c>
      <c r="AN290" s="943" t="s">
        <v>155</v>
      </c>
      <c r="AO290" s="330">
        <v>113</v>
      </c>
      <c r="AQ290" s="1051" t="s">
        <v>967</v>
      </c>
      <c r="AR290" s="1060" t="s">
        <v>968</v>
      </c>
      <c r="AS290" s="1060" t="s">
        <v>973</v>
      </c>
    </row>
    <row r="291" spans="1:45" ht="27" customHeight="1" thickBot="1" x14ac:dyDescent="0.6">
      <c r="A291" s="845"/>
      <c r="B291" s="1021"/>
      <c r="C291" s="1003"/>
      <c r="D291" s="1024"/>
      <c r="E291" s="1025"/>
      <c r="F291" s="1025"/>
      <c r="G291" s="1025"/>
      <c r="H291" s="1025"/>
      <c r="I291" s="1025"/>
      <c r="J291" s="1025"/>
      <c r="K291" s="1025"/>
      <c r="L291" s="630" t="s">
        <v>10</v>
      </c>
      <c r="M291" s="113" t="s">
        <v>11</v>
      </c>
      <c r="N291" s="113" t="s">
        <v>10</v>
      </c>
      <c r="O291" s="113" t="s">
        <v>11</v>
      </c>
      <c r="P291" s="113" t="s">
        <v>10</v>
      </c>
      <c r="Q291" s="113" t="s">
        <v>11</v>
      </c>
      <c r="R291" s="113" t="s">
        <v>10</v>
      </c>
      <c r="S291" s="113" t="s">
        <v>11</v>
      </c>
      <c r="T291" s="113" t="s">
        <v>10</v>
      </c>
      <c r="U291" s="113" t="s">
        <v>11</v>
      </c>
      <c r="V291" s="113" t="s">
        <v>10</v>
      </c>
      <c r="W291" s="113" t="s">
        <v>11</v>
      </c>
      <c r="X291" s="113" t="s">
        <v>10</v>
      </c>
      <c r="Y291" s="113" t="s">
        <v>11</v>
      </c>
      <c r="Z291" s="113" t="s">
        <v>10</v>
      </c>
      <c r="AA291" s="361" t="s">
        <v>11</v>
      </c>
      <c r="AB291" s="113" t="s">
        <v>10</v>
      </c>
      <c r="AC291" s="113" t="s">
        <v>11</v>
      </c>
      <c r="AD291" s="113" t="s">
        <v>10</v>
      </c>
      <c r="AE291" s="113" t="s">
        <v>11</v>
      </c>
      <c r="AF291" s="113" t="s">
        <v>10</v>
      </c>
      <c r="AG291" s="113" t="s">
        <v>11</v>
      </c>
      <c r="AH291" s="113" t="s">
        <v>10</v>
      </c>
      <c r="AI291" s="631" t="s">
        <v>11</v>
      </c>
      <c r="AJ291" s="1000"/>
      <c r="AK291" s="882"/>
      <c r="AL291" s="880"/>
      <c r="AM291" s="883"/>
      <c r="AN291" s="944"/>
      <c r="AO291" s="330">
        <v>114</v>
      </c>
      <c r="AQ291" s="1051" t="s">
        <v>970</v>
      </c>
      <c r="AR291" s="1060" t="s">
        <v>971</v>
      </c>
      <c r="AS291" s="1060" t="s">
        <v>974</v>
      </c>
    </row>
    <row r="292" spans="1:45" ht="26.25" customHeight="1" x14ac:dyDescent="0.6">
      <c r="A292" s="861" t="s">
        <v>613</v>
      </c>
      <c r="B292" s="707" t="s">
        <v>278</v>
      </c>
      <c r="C292" s="411" t="s">
        <v>126</v>
      </c>
      <c r="D292" s="632"/>
      <c r="E292" s="398"/>
      <c r="F292" s="398"/>
      <c r="G292" s="398"/>
      <c r="H292" s="398"/>
      <c r="I292" s="398"/>
      <c r="J292" s="398"/>
      <c r="K292" s="398"/>
      <c r="L292" s="398"/>
      <c r="M292" s="582"/>
      <c r="N292" s="398"/>
      <c r="O292" s="582"/>
      <c r="P292" s="398"/>
      <c r="Q292" s="582"/>
      <c r="R292" s="398"/>
      <c r="S292" s="582"/>
      <c r="T292" s="398"/>
      <c r="U292" s="582"/>
      <c r="V292" s="398"/>
      <c r="W292" s="582"/>
      <c r="X292" s="633"/>
      <c r="Y292" s="582"/>
      <c r="Z292" s="634"/>
      <c r="AA292" s="635">
        <f>SUM(AC292,AE292,AG292,AI292)</f>
        <v>0</v>
      </c>
      <c r="AB292" s="636"/>
      <c r="AC292" s="583"/>
      <c r="AD292" s="633"/>
      <c r="AE292" s="583"/>
      <c r="AF292" s="633"/>
      <c r="AG292" s="583"/>
      <c r="AH292" s="633"/>
      <c r="AI292" s="583"/>
      <c r="AJ292" s="372">
        <f>SUM(D292:AA292)</f>
        <v>0</v>
      </c>
      <c r="AK292" s="414"/>
      <c r="AL292" s="1026" t="str">
        <f>CONCATENATE(AK292,AK293,AK294,AK297,AK298,AK299,AK301,AK302,AK303,AK306,AK307,AK308,AK310,AK311,AK312,AK315,AK316,AK317,AK295,AK296,AK304,AK305,AK313,AK314)</f>
        <v/>
      </c>
      <c r="AM292" s="125"/>
      <c r="AN292" s="1016" t="str">
        <f>CONCATENATE(AM292,AM293,AM294,AM297,AM298,AM299,AM301,AM302,AM303,AM306,AM307,AM308,AM310,AM311,AM312,AM315,AM316,AM317)</f>
        <v/>
      </c>
      <c r="AO292" s="330">
        <v>115</v>
      </c>
    </row>
    <row r="293" spans="1:45" x14ac:dyDescent="0.6">
      <c r="A293" s="862"/>
      <c r="B293" s="716" t="s">
        <v>61</v>
      </c>
      <c r="C293" s="127" t="s">
        <v>92</v>
      </c>
      <c r="D293" s="141"/>
      <c r="E293" s="129"/>
      <c r="F293" s="129"/>
      <c r="G293" s="129"/>
      <c r="H293" s="129"/>
      <c r="I293" s="129"/>
      <c r="J293" s="129"/>
      <c r="K293" s="129"/>
      <c r="L293" s="129"/>
      <c r="M293" s="130"/>
      <c r="N293" s="129"/>
      <c r="O293" s="130"/>
      <c r="P293" s="129"/>
      <c r="Q293" s="130"/>
      <c r="R293" s="129"/>
      <c r="S293" s="130"/>
      <c r="T293" s="129"/>
      <c r="U293" s="130"/>
      <c r="V293" s="129"/>
      <c r="W293" s="130"/>
      <c r="X293" s="637"/>
      <c r="Y293" s="130"/>
      <c r="Z293" s="638"/>
      <c r="AA293" s="488">
        <f t="shared" ref="AA293:AA317" si="191">SUM(AC293,AE293,AG293,AI293)</f>
        <v>0</v>
      </c>
      <c r="AB293" s="639"/>
      <c r="AC293" s="131"/>
      <c r="AD293" s="637"/>
      <c r="AE293" s="131"/>
      <c r="AF293" s="637"/>
      <c r="AG293" s="131"/>
      <c r="AH293" s="637"/>
      <c r="AI293" s="131"/>
      <c r="AJ293" s="352">
        <f t="shared" ref="AJ293:AJ317" si="192">SUM(D293:AA293)</f>
        <v>0</v>
      </c>
      <c r="AK293" s="349" t="str">
        <f>CONCATENATE(IF(D295&lt;SUM(D296,D297,D298,D299)," * First Time Screening , Total CXCA Screening positive for Age "&amp;D6&amp;" "&amp;D7&amp;" should be greater than or equal to  the sum of (Cryotherapy , Leep , Thermocoagulation and Reffered for treatment)"&amp;CHAR(10),""),IF(E295&lt;SUM(E296,E297,E298,E299)," * First Time Screening , Total CXCA Screening positive for Age "&amp;D6&amp;" "&amp;E7&amp;" should be greater than or equal to  the sum of (Cryotherapy , Leep , Thermocoagulation and Reffered for treatment)"&amp;CHAR(10),""),IF(F295&lt;SUM(F296,F297,F298,F299)," * First Time Screening , Total CXCA Screening positive for Age "&amp;F6&amp;" "&amp;F7&amp;" should be greater than or equal to  the sum of (Cryotherapy , Leep , Thermocoagulation and Reffered for treatment)"&amp;CHAR(10),""),IF(G295&lt;SUM(G296,G297,G298,G299)," * First Time Screening , Total CXCA Screening positive for Age "&amp;F6&amp;" "&amp;G7&amp;" should be greater than or equal to  the sum of (Cryotherapy , Leep , Thermocoagulation and Reffered for treatment)"&amp;CHAR(10),""),IF(H295&lt;SUM(H296,H297,H298,H299)," * First Time Screening , Total CXCA Screening positive for Age "&amp;H6&amp;" "&amp;H7&amp;" should be greater than or equal to  the sum of (Cryotherapy , Leep , Thermocoagulation and Reffered for treatment)"&amp;CHAR(10),""),IF(I295&lt;SUM(I296,I297,I298,I299)," * First Time Screening , Total CXCA Screening positive for Age "&amp;H6&amp;" "&amp;I7&amp;" should be greater than or equal to  the sum of (Cryotherapy , Leep , Thermocoagulation and Reffered for treatment)"&amp;CHAR(10),""),IF(J295&lt;SUM(J296,J297,J298,J299)," * First Time Screening , Total CXCA Screening positive for Age "&amp;J6&amp;" "&amp;J7&amp;" should be greater than or equal to  the sum of (Cryotherapy , Leep , Thermocoagulation and Reffered for treatment)"&amp;CHAR(10),""),IF(K295&lt;SUM(K296,K297,K298,K299)," * First Time Screening , Total CXCA Screening positive for Age "&amp;J6&amp;" "&amp;K7&amp;" should be greater than or equal to  the sum of (Cryotherapy , Leep , Thermocoagulation and Reffered for treatment)"&amp;CHAR(10),""),IF(L295&lt;SUM(L296,L297,L298,L299)," * First Time Screening , Total CXCA Screening positive for Age "&amp;L6&amp;" "&amp;L7&amp;" should be greater than or equal to  the sum of (Cryotherapy , Leep , Thermocoagulation and Reffered for treatment)"&amp;CHAR(10),""),IF(M295&lt;SUM(M296,M297,M298,M299)," * First Time Screening , Total CXCA Screening positive for Age "&amp;L6&amp;" "&amp;M7&amp;" should be greater than or equal to  the sum of (Cryotherapy , Leep , Thermocoagulation and Reffered for treatment)"&amp;CHAR(10),""),IF(N295&lt;SUM(N296,N297,N298,N299)," * First Time Screening , Total CXCA Screening positive for Age "&amp;N6&amp;" "&amp;N7&amp;" should be greater than or equal to  the sum of (Cryotherapy , Leep , Thermocoagulation and Reffered for treatment)"&amp;CHAR(10),""),IF(O295&lt;SUM(O296,O297,O298,O299)," * First Time Screening , Total CXCA Screening positive for Age "&amp;N6&amp;" "&amp;O7&amp;" should be greater than or equal to  the sum of (Cryotherapy , Leep , Thermocoagulation and Reffered for treatment)"&amp;CHAR(10),""),IF(P295&lt;SUM(P296,P297,P298,P299)," * First Time Screening , Total CXCA Screening positive for Age "&amp;P6&amp;" "&amp;P7&amp;" should be greater than or equal to  the sum of (Cryotherapy , Leep , Thermocoagulation and Reffered for treatment)"&amp;CHAR(10),""),IF(Q295&lt;SUM(Q296,Q297,Q298,Q299)," * First Time Screening , Total CXCA Screening positive for Age "&amp;P6&amp;" "&amp;Q7&amp;" should be greater than or equal to  the sum of (Cryotherapy , Leep , Thermocoagulation and Reffered for treatment)"&amp;CHAR(10),""),IF(R295&lt;SUM(R296,R297,R298,R299)," * First Time Screening , Total CXCA Screening positive for Age "&amp;R6&amp;" "&amp;R7&amp;" should be greater than or equal to  the sum of (Cryotherapy , Leep , Thermocoagulation and Reffered for treatment)"&amp;CHAR(10),""),IF(S295&lt;SUM(S296,S297,S298,S299)," * First Time Screening , Total CXCA Screening positive for Age "&amp;R6&amp;" "&amp;S7&amp;" should be greater than or equal to  the sum of (Cryotherapy , Leep , Thermocoagulation and Reffered for treatment)"&amp;CHAR(10),""),IF(T295&lt;SUM(T296,T297,T298,T299)," * First Time Screening , Total CXCA Screening positive for Age "&amp;T6&amp;" "&amp;T7&amp;" should be greater than or equal to  the sum of (Cryotherapy , Leep , Thermocoagulation and Reffered for treatment)"&amp;CHAR(10),""),IF(U295&lt;SUM(U296,U297,U298,U299)," * First Time Screening , Total CXCA Screening positive for Age "&amp;T6&amp;" "&amp;U7&amp;" should be greater than or equal to  the sum of (Cryotherapy , Leep , Thermocoagulation and Reffered for treatment)"&amp;CHAR(10),""),IF(V295&lt;SUM(V296,V297,V298,V299)," * First Time Screening , Total CXCA Screening positive for Age "&amp;V6&amp;" "&amp;V7&amp;" should be greater than or equal to  the sum of (Cryotherapy , Leep , Thermocoagulation and Reffered for treatment)"&amp;CHAR(10),""),IF(W295&lt;SUM(W296,W297,W298,W299)," * First Time Screening , Total CXCA Screening positive for Age "&amp;V6&amp;" "&amp;W7&amp;" should be greater than or equal to  the sum of (Cryotherapy , Leep , Thermocoagulation and Reffered for treatment)"&amp;CHAR(10),""),IF(X295&lt;SUM(X296,X297,X298,X299)," * First Time Screening , Total CXCA Screening positive for Age "&amp;X6&amp;" "&amp;X7&amp;" should be greater than or equal to  the sum of (Cryotherapy , Leep , Thermocoagulation and Reffered for treatment)"&amp;CHAR(10),""),IF(Y295&lt;SUM(Y296,Y297,Y298,Y299)," * First Time Screening , Total CXCA Screening positive for Age "&amp;X6&amp;" "&amp;Y7&amp;" should be greater than or equal to  the sum of (Cryotherapy , Leep , Thermocoagulation and Reffered for treatment)"&amp;CHAR(10),""),IF(Z295&lt;SUM(Z296,Z297,Z298,Z299)," * First Time Screening , Total CXCA Screening positive for Age "&amp;Z6&amp;" "&amp;Z7&amp;" should be greater than or equal to  the sum of (Cryotherapy , Leep , Thermocoagulation and Reffered for treatment)"&amp;CHAR(10),""),IF(AA295&lt;SUM(AA296,AA297,AA298,AA299)," * First Time Screening , Total CXCA Screening positive for Age "&amp;Z6&amp;" "&amp;AA7&amp;" should be greater than or equal to  the sum of (Cryotherapy , Leep , Thermocoagulation and Reffered for treatment)"&amp;CHAR(10),""))</f>
        <v/>
      </c>
      <c r="AL293" s="1027"/>
      <c r="AM293" s="136"/>
      <c r="AN293" s="1017"/>
      <c r="AO293" s="330">
        <v>116</v>
      </c>
    </row>
    <row r="294" spans="1:45" x14ac:dyDescent="0.6">
      <c r="A294" s="862"/>
      <c r="B294" s="716" t="s">
        <v>279</v>
      </c>
      <c r="C294" s="127" t="s">
        <v>127</v>
      </c>
      <c r="D294" s="141"/>
      <c r="E294" s="129"/>
      <c r="F294" s="129"/>
      <c r="G294" s="129"/>
      <c r="H294" s="129"/>
      <c r="I294" s="129"/>
      <c r="J294" s="129"/>
      <c r="K294" s="129"/>
      <c r="L294" s="129"/>
      <c r="M294" s="130"/>
      <c r="N294" s="129"/>
      <c r="O294" s="130"/>
      <c r="P294" s="129"/>
      <c r="Q294" s="130"/>
      <c r="R294" s="129"/>
      <c r="S294" s="130"/>
      <c r="T294" s="129"/>
      <c r="U294" s="130"/>
      <c r="V294" s="129"/>
      <c r="W294" s="130"/>
      <c r="X294" s="637"/>
      <c r="Y294" s="130"/>
      <c r="Z294" s="638"/>
      <c r="AA294" s="488">
        <f t="shared" si="191"/>
        <v>0</v>
      </c>
      <c r="AB294" s="639"/>
      <c r="AC294" s="131"/>
      <c r="AD294" s="637"/>
      <c r="AE294" s="131"/>
      <c r="AF294" s="637"/>
      <c r="AG294" s="131"/>
      <c r="AH294" s="637"/>
      <c r="AI294" s="131"/>
      <c r="AJ294" s="352">
        <f t="shared" si="192"/>
        <v>0</v>
      </c>
      <c r="AK294" s="349"/>
      <c r="AL294" s="1027"/>
      <c r="AM294" s="136"/>
      <c r="AN294" s="1017"/>
      <c r="AO294" s="330">
        <v>117</v>
      </c>
    </row>
    <row r="295" spans="1:45" ht="31.5" thickBot="1" x14ac:dyDescent="0.65">
      <c r="A295" s="862"/>
      <c r="B295" s="787" t="s">
        <v>344</v>
      </c>
      <c r="C295" s="353" t="s">
        <v>345</v>
      </c>
      <c r="D295" s="141"/>
      <c r="E295" s="129"/>
      <c r="F295" s="129"/>
      <c r="G295" s="129"/>
      <c r="H295" s="129"/>
      <c r="I295" s="129"/>
      <c r="J295" s="129"/>
      <c r="K295" s="129"/>
      <c r="L295" s="129"/>
      <c r="M295" s="640">
        <f>M294+M293</f>
        <v>0</v>
      </c>
      <c r="N295" s="641"/>
      <c r="O295" s="640">
        <f>O294+O293</f>
        <v>0</v>
      </c>
      <c r="P295" s="129"/>
      <c r="Q295" s="640">
        <f>Q294+Q293</f>
        <v>0</v>
      </c>
      <c r="R295" s="129"/>
      <c r="S295" s="640">
        <f>S294+S293</f>
        <v>0</v>
      </c>
      <c r="T295" s="129"/>
      <c r="U295" s="640">
        <f>U294+U293</f>
        <v>0</v>
      </c>
      <c r="V295" s="129"/>
      <c r="W295" s="640">
        <f>W294+W293</f>
        <v>0</v>
      </c>
      <c r="X295" s="637"/>
      <c r="Y295" s="640">
        <f>Y294+Y293</f>
        <v>0</v>
      </c>
      <c r="Z295" s="638"/>
      <c r="AA295" s="488">
        <f t="shared" si="191"/>
        <v>0</v>
      </c>
      <c r="AB295" s="639"/>
      <c r="AC295" s="642">
        <f>AC294+AC293</f>
        <v>0</v>
      </c>
      <c r="AD295" s="637"/>
      <c r="AE295" s="642">
        <f>AE294+AE293</f>
        <v>0</v>
      </c>
      <c r="AF295" s="637"/>
      <c r="AG295" s="642">
        <f>AG294+AG293</f>
        <v>0</v>
      </c>
      <c r="AH295" s="637"/>
      <c r="AI295" s="642">
        <f>AI294+AI293</f>
        <v>0</v>
      </c>
      <c r="AJ295" s="352">
        <f t="shared" si="192"/>
        <v>0</v>
      </c>
      <c r="AK295" s="349"/>
      <c r="AL295" s="1027"/>
      <c r="AM295" s="136"/>
      <c r="AN295" s="1017"/>
      <c r="AO295" s="330">
        <v>118</v>
      </c>
    </row>
    <row r="296" spans="1:45" ht="26.25" customHeight="1" x14ac:dyDescent="0.6">
      <c r="A296" s="861" t="s">
        <v>614</v>
      </c>
      <c r="B296" s="788" t="s">
        <v>475</v>
      </c>
      <c r="C296" s="115" t="s">
        <v>356</v>
      </c>
      <c r="D296" s="141"/>
      <c r="E296" s="129"/>
      <c r="F296" s="129"/>
      <c r="G296" s="129"/>
      <c r="H296" s="129"/>
      <c r="I296" s="129"/>
      <c r="J296" s="129"/>
      <c r="K296" s="129"/>
      <c r="L296" s="129"/>
      <c r="M296" s="643"/>
      <c r="N296" s="641"/>
      <c r="O296" s="643"/>
      <c r="P296" s="129"/>
      <c r="Q296" s="643"/>
      <c r="R296" s="129"/>
      <c r="S296" s="643"/>
      <c r="T296" s="129"/>
      <c r="U296" s="643"/>
      <c r="V296" s="129"/>
      <c r="W296" s="643"/>
      <c r="X296" s="637"/>
      <c r="Y296" s="643"/>
      <c r="Z296" s="638"/>
      <c r="AA296" s="488">
        <f>SUM(AC296,AE296,AG296,AI296)</f>
        <v>0</v>
      </c>
      <c r="AB296" s="639"/>
      <c r="AC296" s="644"/>
      <c r="AD296" s="637"/>
      <c r="AE296" s="644"/>
      <c r="AF296" s="637"/>
      <c r="AG296" s="644"/>
      <c r="AH296" s="637"/>
      <c r="AI296" s="644"/>
      <c r="AJ296" s="352">
        <f t="shared" si="192"/>
        <v>0</v>
      </c>
      <c r="AK296" s="349"/>
      <c r="AL296" s="1027"/>
      <c r="AM296" s="136"/>
      <c r="AN296" s="1017"/>
      <c r="AO296" s="330">
        <v>119</v>
      </c>
    </row>
    <row r="297" spans="1:45" x14ac:dyDescent="0.6">
      <c r="A297" s="862"/>
      <c r="B297" s="789" t="s">
        <v>280</v>
      </c>
      <c r="C297" s="127" t="s">
        <v>93</v>
      </c>
      <c r="D297" s="141"/>
      <c r="E297" s="129"/>
      <c r="F297" s="129"/>
      <c r="G297" s="129"/>
      <c r="H297" s="129"/>
      <c r="I297" s="129"/>
      <c r="J297" s="129"/>
      <c r="K297" s="129"/>
      <c r="L297" s="129"/>
      <c r="M297" s="130"/>
      <c r="N297" s="129"/>
      <c r="O297" s="130"/>
      <c r="P297" s="129"/>
      <c r="Q297" s="130"/>
      <c r="R297" s="129"/>
      <c r="S297" s="130"/>
      <c r="T297" s="129"/>
      <c r="U297" s="130"/>
      <c r="V297" s="129"/>
      <c r="W297" s="130"/>
      <c r="X297" s="637"/>
      <c r="Y297" s="130"/>
      <c r="Z297" s="638"/>
      <c r="AA297" s="488">
        <f t="shared" si="191"/>
        <v>0</v>
      </c>
      <c r="AB297" s="639"/>
      <c r="AC297" s="131"/>
      <c r="AD297" s="637"/>
      <c r="AE297" s="131"/>
      <c r="AF297" s="637"/>
      <c r="AG297" s="131"/>
      <c r="AH297" s="637"/>
      <c r="AI297" s="131"/>
      <c r="AJ297" s="352">
        <f t="shared" si="192"/>
        <v>0</v>
      </c>
      <c r="AK297" s="349"/>
      <c r="AL297" s="1027"/>
      <c r="AM297" s="136"/>
      <c r="AN297" s="1017"/>
      <c r="AO297" s="330">
        <v>120</v>
      </c>
    </row>
    <row r="298" spans="1:45" x14ac:dyDescent="0.6">
      <c r="A298" s="862"/>
      <c r="B298" s="789" t="s">
        <v>281</v>
      </c>
      <c r="C298" s="127" t="s">
        <v>94</v>
      </c>
      <c r="D298" s="141"/>
      <c r="E298" s="129"/>
      <c r="F298" s="129"/>
      <c r="G298" s="129"/>
      <c r="H298" s="129"/>
      <c r="I298" s="129"/>
      <c r="J298" s="129"/>
      <c r="K298" s="129"/>
      <c r="L298" s="129"/>
      <c r="M298" s="130"/>
      <c r="N298" s="129"/>
      <c r="O298" s="130"/>
      <c r="P298" s="129"/>
      <c r="Q298" s="130"/>
      <c r="R298" s="129"/>
      <c r="S298" s="130"/>
      <c r="T298" s="129"/>
      <c r="U298" s="130"/>
      <c r="V298" s="129"/>
      <c r="W298" s="130"/>
      <c r="X298" s="637"/>
      <c r="Y298" s="130"/>
      <c r="Z298" s="638"/>
      <c r="AA298" s="488">
        <f t="shared" si="191"/>
        <v>0</v>
      </c>
      <c r="AB298" s="639"/>
      <c r="AC298" s="131"/>
      <c r="AD298" s="637"/>
      <c r="AE298" s="131"/>
      <c r="AF298" s="637"/>
      <c r="AG298" s="131"/>
      <c r="AH298" s="637"/>
      <c r="AI298" s="131"/>
      <c r="AJ298" s="352">
        <f t="shared" si="192"/>
        <v>0</v>
      </c>
      <c r="AK298" s="349"/>
      <c r="AL298" s="1027"/>
      <c r="AM298" s="136"/>
      <c r="AN298" s="1017"/>
      <c r="AO298" s="330">
        <v>121</v>
      </c>
    </row>
    <row r="299" spans="1:45" ht="31.5" thickBot="1" x14ac:dyDescent="0.65">
      <c r="A299" s="862"/>
      <c r="B299" s="789" t="s">
        <v>282</v>
      </c>
      <c r="C299" s="127" t="s">
        <v>95</v>
      </c>
      <c r="D299" s="141"/>
      <c r="E299" s="129"/>
      <c r="F299" s="129"/>
      <c r="G299" s="129"/>
      <c r="H299" s="129"/>
      <c r="I299" s="129"/>
      <c r="J299" s="129"/>
      <c r="K299" s="129"/>
      <c r="L299" s="129"/>
      <c r="M299" s="393"/>
      <c r="N299" s="186"/>
      <c r="O299" s="393"/>
      <c r="P299" s="186"/>
      <c r="Q299" s="393"/>
      <c r="R299" s="186"/>
      <c r="S299" s="393"/>
      <c r="T299" s="186"/>
      <c r="U299" s="393"/>
      <c r="V299" s="186"/>
      <c r="W299" s="393"/>
      <c r="X299" s="645"/>
      <c r="Y299" s="393"/>
      <c r="Z299" s="646"/>
      <c r="AA299" s="488">
        <f t="shared" si="191"/>
        <v>0</v>
      </c>
      <c r="AB299" s="647"/>
      <c r="AC299" s="569"/>
      <c r="AD299" s="645"/>
      <c r="AE299" s="569"/>
      <c r="AF299" s="645"/>
      <c r="AG299" s="569"/>
      <c r="AH299" s="645"/>
      <c r="AI299" s="569"/>
      <c r="AJ299" s="373">
        <f t="shared" si="192"/>
        <v>0</v>
      </c>
      <c r="AK299" s="349"/>
      <c r="AL299" s="1027"/>
      <c r="AM299" s="136"/>
      <c r="AN299" s="1017"/>
      <c r="AO299" s="330">
        <v>122</v>
      </c>
    </row>
    <row r="300" spans="1:45" ht="31.5" thickBot="1" x14ac:dyDescent="0.65">
      <c r="A300" s="863"/>
      <c r="B300" s="823" t="s">
        <v>748</v>
      </c>
      <c r="C300" s="648" t="s">
        <v>698</v>
      </c>
      <c r="D300" s="141"/>
      <c r="E300" s="129"/>
      <c r="F300" s="129"/>
      <c r="G300" s="129"/>
      <c r="H300" s="129"/>
      <c r="I300" s="129"/>
      <c r="J300" s="129"/>
      <c r="K300" s="129"/>
      <c r="L300" s="129"/>
      <c r="M300" s="393"/>
      <c r="N300" s="186"/>
      <c r="O300" s="393"/>
      <c r="P300" s="186"/>
      <c r="Q300" s="393"/>
      <c r="R300" s="186"/>
      <c r="S300" s="393"/>
      <c r="T300" s="186"/>
      <c r="U300" s="393"/>
      <c r="V300" s="186"/>
      <c r="W300" s="393"/>
      <c r="X300" s="645"/>
      <c r="Y300" s="393"/>
      <c r="Z300" s="646"/>
      <c r="AA300" s="488">
        <f t="shared" ref="AA300" si="193">SUM(AC300,AE300,AG300,AI300)</f>
        <v>0</v>
      </c>
      <c r="AB300" s="647"/>
      <c r="AC300" s="569"/>
      <c r="AD300" s="645"/>
      <c r="AE300" s="569"/>
      <c r="AF300" s="645"/>
      <c r="AG300" s="569"/>
      <c r="AH300" s="645"/>
      <c r="AI300" s="569"/>
      <c r="AJ300" s="373">
        <f t="shared" ref="AJ300" si="194">SUM(D300:AA300)</f>
        <v>0</v>
      </c>
      <c r="AK300" s="349"/>
      <c r="AL300" s="1027"/>
      <c r="AM300" s="136"/>
      <c r="AN300" s="1017"/>
      <c r="AO300" s="330"/>
    </row>
    <row r="301" spans="1:45" ht="26.25" customHeight="1" x14ac:dyDescent="0.6">
      <c r="A301" s="861" t="s">
        <v>615</v>
      </c>
      <c r="B301" s="743" t="s">
        <v>278</v>
      </c>
      <c r="C301" s="115" t="s">
        <v>128</v>
      </c>
      <c r="D301" s="247"/>
      <c r="E301" s="117"/>
      <c r="F301" s="117"/>
      <c r="G301" s="117"/>
      <c r="H301" s="117"/>
      <c r="I301" s="117"/>
      <c r="J301" s="117"/>
      <c r="K301" s="117"/>
      <c r="L301" s="117"/>
      <c r="M301" s="118"/>
      <c r="N301" s="117"/>
      <c r="O301" s="118"/>
      <c r="P301" s="117"/>
      <c r="Q301" s="118"/>
      <c r="R301" s="117"/>
      <c r="S301" s="118"/>
      <c r="T301" s="117"/>
      <c r="U301" s="118"/>
      <c r="V301" s="117"/>
      <c r="W301" s="118"/>
      <c r="X301" s="649"/>
      <c r="Y301" s="118"/>
      <c r="Z301" s="650"/>
      <c r="AA301" s="488">
        <f t="shared" si="191"/>
        <v>0</v>
      </c>
      <c r="AB301" s="651"/>
      <c r="AC301" s="120"/>
      <c r="AD301" s="649"/>
      <c r="AE301" s="120"/>
      <c r="AF301" s="649"/>
      <c r="AG301" s="120"/>
      <c r="AH301" s="649"/>
      <c r="AI301" s="120"/>
      <c r="AJ301" s="348">
        <f t="shared" si="192"/>
        <v>0</v>
      </c>
      <c r="AK301" s="349"/>
      <c r="AL301" s="1027"/>
      <c r="AM301" s="136"/>
      <c r="AN301" s="1017"/>
      <c r="AO301" s="330">
        <v>123</v>
      </c>
    </row>
    <row r="302" spans="1:45" x14ac:dyDescent="0.6">
      <c r="A302" s="862"/>
      <c r="B302" s="789" t="s">
        <v>61</v>
      </c>
      <c r="C302" s="127" t="s">
        <v>129</v>
      </c>
      <c r="D302" s="141"/>
      <c r="E302" s="129"/>
      <c r="F302" s="129"/>
      <c r="G302" s="129"/>
      <c r="H302" s="129"/>
      <c r="I302" s="129"/>
      <c r="J302" s="129"/>
      <c r="K302" s="129"/>
      <c r="L302" s="129"/>
      <c r="M302" s="130"/>
      <c r="N302" s="129"/>
      <c r="O302" s="130"/>
      <c r="P302" s="129"/>
      <c r="Q302" s="130"/>
      <c r="R302" s="129"/>
      <c r="S302" s="130"/>
      <c r="T302" s="129"/>
      <c r="U302" s="130"/>
      <c r="V302" s="129"/>
      <c r="W302" s="130"/>
      <c r="X302" s="637"/>
      <c r="Y302" s="130"/>
      <c r="Z302" s="638"/>
      <c r="AA302" s="488">
        <f t="shared" si="191"/>
        <v>0</v>
      </c>
      <c r="AB302" s="639"/>
      <c r="AC302" s="131"/>
      <c r="AD302" s="637"/>
      <c r="AE302" s="131"/>
      <c r="AF302" s="637"/>
      <c r="AG302" s="131"/>
      <c r="AH302" s="637"/>
      <c r="AI302" s="131"/>
      <c r="AJ302" s="352">
        <f t="shared" si="192"/>
        <v>0</v>
      </c>
      <c r="AK302" s="349" t="str">
        <f>CONCATENATE(IF(D304&lt;SUM(D305,D306,D307,D308)," * Rescreened and treatment , Total CXCA Screening positive for Age "&amp;D14&amp;" "&amp;#REF!&amp;" should be greater than or equal to  the sum of (Cryotherapy , Leep , Thermocoagulation and Reffered for treatment)"&amp;CHAR(10),""),IF(E304&lt;SUM(E305,E306,E307,E308)," * Rescreened and treatment , Total CXCA Screening positive for Age "&amp;D14&amp;" "&amp;#REF!&amp;" should be greater than or equal to  the sum of (Cryotherapy , Leep , Thermocoagulation and Reffered for treatment)"&amp;CHAR(10),""),IF(F304&lt;SUM(F305,F306,F307,F308)," * Rescreened and treatment , Total CXCA Screening positive for Age "&amp;F14&amp;" "&amp;#REF!&amp;" should be greater than or equal to  the sum of (Cryotherapy , Leep , Thermocoagulation and Reffered for treatment)"&amp;CHAR(10),""),IF(G304&lt;SUM(G305,G306,G307,G308)," * Rescreened and treatment , Total CXCA Screening positive for Age "&amp;F14&amp;" "&amp;#REF!&amp;" should be greater than or equal to  the sum of (Cryotherapy , Leep , Thermocoagulation and Reffered for treatment)"&amp;CHAR(10),""),IF(H304&lt;SUM(H305,H306,H307,H308)," * Rescreened and treatment , Total CXCA Screening positive for Age "&amp;H14&amp;" "&amp;#REF!&amp;" should be greater than or equal to  the sum of (Cryotherapy , Leep , Thermocoagulation and Reffered for treatment)"&amp;CHAR(10),""),IF(I304&lt;SUM(I305,I306,I307,I308)," * Rescreened and treatment , Total CXCA Screening positive for Age "&amp;H14&amp;" "&amp;#REF!&amp;" should be greater than or equal to  the sum of (Cryotherapy , Leep , Thermocoagulation and Reffered for treatment)"&amp;CHAR(10),""),IF(J304&lt;SUM(J305,J306,J307,J308)," * Rescreened and treatment , Total CXCA Screening positive for Age "&amp;J14&amp;" "&amp;#REF!&amp;" should be greater than or equal to  the sum of (Cryotherapy , Leep , Thermocoagulation and Reffered for treatment)"&amp;CHAR(10),""),IF(K304&lt;SUM(K305,K306,K307,K308)," * Rescreened and treatment , Total CXCA Screening positive for Age "&amp;J14&amp;" "&amp;#REF!&amp;" should be greater than or equal to  the sum of (Cryotherapy , Leep , Thermocoagulation and Reffered for treatment)"&amp;CHAR(10),""),IF(L304&lt;SUM(L305,L306,L307,L308)," * Rescreened and treatment , Total CXCA Screening positive for Age "&amp;L14&amp;" "&amp;#REF!&amp;" should be greater than or equal to  the sum of (Cryotherapy , Leep , Thermocoagulation and Reffered for treatment)"&amp;CHAR(10),""),IF(M304&lt;SUM(M305,M306,M307,M308)," * Rescreened and treatment , Total CXCA Screening positive for Age "&amp;L14&amp;" "&amp;#REF!&amp;" should be greater than or equal to  the sum of (Cryotherapy , Leep , Thermocoagulation and Reffered for treatment)"&amp;CHAR(10),""),IF(N304&lt;SUM(N305,N306,N307,N308)," * Rescreened and treatment , Total CXCA Screening positive for Age "&amp;N14&amp;" "&amp;#REF!&amp;" should be greater than or equal to  the sum of (Cryotherapy , Leep , Thermocoagulation and Reffered for treatment)"&amp;CHAR(10),""),IF(O304&lt;SUM(O305,O306,O307,O308)," * Rescreened and treatment , Total CXCA Screening positive for Age "&amp;N14&amp;" "&amp;#REF!&amp;" should be greater than or equal to  the sum of (Cryotherapy , Leep , Thermocoagulation and Reffered for treatment)"&amp;CHAR(10),""),IF(P304&lt;SUM(P305,P306,P307,P308)," * Rescreened and treatment , Total CXCA Screening positive for Age "&amp;P14&amp;" "&amp;#REF!&amp;" should be greater than or equal to  the sum of (Cryotherapy , Leep , Thermocoagulation and Reffered for treatment)"&amp;CHAR(10),""),IF(Q304&lt;SUM(Q305,Q306,Q307,Q308)," * Rescreened and treatment , Total CXCA Screening positive for Age "&amp;P14&amp;" "&amp;#REF!&amp;" should be greater than or equal to  the sum of (Cryotherapy , Leep , Thermocoagulation and Reffered for treatment)"&amp;CHAR(10),""),IF(R304&lt;SUM(R305,R306,R307,R308)," * Rescreened and treatment , Total CXCA Screening positive for Age "&amp;R14&amp;" "&amp;#REF!&amp;" should be greater than or equal to  the sum of (Cryotherapy , Leep , Thermocoagulation and Reffered for treatment)"&amp;CHAR(10),""),IF(S304&lt;SUM(S305,S306,S307,S308)," * Rescreened and treatment , Total CXCA Screening positive for Age "&amp;R14&amp;" "&amp;#REF!&amp;" should be greater than or equal to  the sum of (Cryotherapy , Leep , Thermocoagulation and Reffered for treatment)"&amp;CHAR(10),""),IF(T304&lt;SUM(T305,T306,T307,T308)," * Rescreened and treatment , Total CXCA Screening positive for Age "&amp;T14&amp;" "&amp;#REF!&amp;" should be greater than or equal to  the sum of (Cryotherapy , Leep , Thermocoagulation and Reffered for treatment)"&amp;CHAR(10),""),IF(U304&lt;SUM(U305,U306,U307,U308)," * Rescreened and treatment , Total CXCA Screening positive for Age "&amp;T14&amp;" "&amp;#REF!&amp;" should be greater than or equal to  the sum of (Cryotherapy , Leep , Thermocoagulation and Reffered for treatment)"&amp;CHAR(10),""),IF(V304&lt;SUM(V305,V306,V307,V308)," * Rescreened and treatment , Total CXCA Screening positive for Age "&amp;V14&amp;" "&amp;#REF!&amp;" should be greater than or equal to  the sum of (Cryotherapy , Leep , Thermocoagulation and Reffered for treatment)"&amp;CHAR(10),""),IF(W304&lt;SUM(W305,W306,W307,W308)," * Rescreened and treatment , Total CXCA Screening positive for Age "&amp;V14&amp;" "&amp;#REF!&amp;" should be greater than or equal to  the sum of (Cryotherapy , Leep , Thermocoagulation and Reffered for treatment)"&amp;CHAR(10),""),IF(X304&lt;SUM(X305,X306,X307,X308)," * Rescreened and treatment , Total CXCA Screening positive for Age "&amp;X14&amp;" "&amp;#REF!&amp;" should be greater than or equal to  the sum of (Cryotherapy , Leep , Thermocoagulation and Reffered for treatment)"&amp;CHAR(10),""),IF(Y304&lt;SUM(Y305,Y306,Y307,Y308)," * Rescreened and treatment , Total CXCA Screening positive for Age "&amp;X14&amp;" "&amp;#REF!&amp;" should be greater than or equal to  the sum of (Cryotherapy , Leep , Thermocoagulation and Reffered for treatment)"&amp;CHAR(10),""),IF(Z304&lt;SUM(Z305,Z306,Z307,Z308)," * Rescreened and treatment , Total CXCA Screening positive for Age "&amp;Z14&amp;" "&amp;#REF!&amp;" should be greater than or equal to  the sum of (Cryotherapy , Leep , Thermocoagulation and Reffered for treatment)"&amp;CHAR(10),""),IF(AA304&lt;SUM(AA305,AA306,AA307,AA308)," * Rescreened and treatment , Total CXCA Screening positive for Age "&amp;Z14&amp;" "&amp;#REF!&amp;" should be greater than or equal to  the sum of (Cryotherapy , Leep , Thermocoagulation and Reffered for treatment)"&amp;CHAR(10),""))</f>
        <v/>
      </c>
      <c r="AL302" s="1027"/>
      <c r="AM302" s="136"/>
      <c r="AN302" s="1017"/>
      <c r="AO302" s="330">
        <v>124</v>
      </c>
    </row>
    <row r="303" spans="1:45" x14ac:dyDescent="0.6">
      <c r="A303" s="862"/>
      <c r="B303" s="789" t="s">
        <v>279</v>
      </c>
      <c r="C303" s="127" t="s">
        <v>96</v>
      </c>
      <c r="D303" s="141"/>
      <c r="E303" s="129"/>
      <c r="F303" s="129"/>
      <c r="G303" s="129"/>
      <c r="H303" s="129"/>
      <c r="I303" s="129"/>
      <c r="J303" s="129"/>
      <c r="K303" s="129"/>
      <c r="L303" s="129"/>
      <c r="M303" s="130"/>
      <c r="N303" s="129"/>
      <c r="O303" s="130"/>
      <c r="P303" s="129"/>
      <c r="Q303" s="130"/>
      <c r="R303" s="129"/>
      <c r="S303" s="130"/>
      <c r="T303" s="129"/>
      <c r="U303" s="130"/>
      <c r="V303" s="129"/>
      <c r="W303" s="130"/>
      <c r="X303" s="637"/>
      <c r="Y303" s="130"/>
      <c r="Z303" s="638"/>
      <c r="AA303" s="488">
        <f t="shared" si="191"/>
        <v>0</v>
      </c>
      <c r="AB303" s="639"/>
      <c r="AC303" s="131"/>
      <c r="AD303" s="637"/>
      <c r="AE303" s="131"/>
      <c r="AF303" s="637"/>
      <c r="AG303" s="131"/>
      <c r="AH303" s="637"/>
      <c r="AI303" s="131"/>
      <c r="AJ303" s="352">
        <f t="shared" si="192"/>
        <v>0</v>
      </c>
      <c r="AK303" s="349"/>
      <c r="AL303" s="1027"/>
      <c r="AM303" s="136"/>
      <c r="AN303" s="1017"/>
      <c r="AO303" s="330">
        <v>125</v>
      </c>
    </row>
    <row r="304" spans="1:45" ht="31.5" thickBot="1" x14ac:dyDescent="0.65">
      <c r="A304" s="863"/>
      <c r="B304" s="790" t="s">
        <v>344</v>
      </c>
      <c r="C304" s="337" t="s">
        <v>346</v>
      </c>
      <c r="D304" s="141"/>
      <c r="E304" s="129"/>
      <c r="F304" s="129"/>
      <c r="G304" s="129"/>
      <c r="H304" s="129"/>
      <c r="I304" s="129"/>
      <c r="J304" s="129"/>
      <c r="K304" s="129"/>
      <c r="L304" s="129"/>
      <c r="M304" s="640">
        <f>M303+M302</f>
        <v>0</v>
      </c>
      <c r="N304" s="641"/>
      <c r="O304" s="640">
        <f>O303+O302</f>
        <v>0</v>
      </c>
      <c r="P304" s="129"/>
      <c r="Q304" s="640">
        <f>Q303+Q302</f>
        <v>0</v>
      </c>
      <c r="R304" s="129"/>
      <c r="S304" s="640">
        <f>S303+S302</f>
        <v>0</v>
      </c>
      <c r="T304" s="129"/>
      <c r="U304" s="640">
        <f>U303+U302</f>
        <v>0</v>
      </c>
      <c r="V304" s="129"/>
      <c r="W304" s="640">
        <f>W303+W302</f>
        <v>0</v>
      </c>
      <c r="X304" s="637"/>
      <c r="Y304" s="640">
        <f>Y303+Y302</f>
        <v>0</v>
      </c>
      <c r="Z304" s="638"/>
      <c r="AA304" s="488">
        <f t="shared" si="191"/>
        <v>0</v>
      </c>
      <c r="AB304" s="639"/>
      <c r="AC304" s="642">
        <f>AC303+AC302</f>
        <v>0</v>
      </c>
      <c r="AD304" s="637"/>
      <c r="AE304" s="642">
        <f>AE303+AE302</f>
        <v>0</v>
      </c>
      <c r="AF304" s="637"/>
      <c r="AG304" s="642">
        <f>AG303+AG302</f>
        <v>0</v>
      </c>
      <c r="AH304" s="637"/>
      <c r="AI304" s="642">
        <f>AI303+AI302</f>
        <v>0</v>
      </c>
      <c r="AJ304" s="352">
        <f t="shared" si="192"/>
        <v>0</v>
      </c>
      <c r="AK304" s="349"/>
      <c r="AL304" s="1027"/>
      <c r="AM304" s="136"/>
      <c r="AN304" s="1017"/>
      <c r="AO304" s="330">
        <v>126</v>
      </c>
    </row>
    <row r="305" spans="1:41" ht="26.25" customHeight="1" x14ac:dyDescent="0.6">
      <c r="A305" s="862" t="s">
        <v>616</v>
      </c>
      <c r="B305" s="791" t="s">
        <v>475</v>
      </c>
      <c r="C305" s="411" t="s">
        <v>358</v>
      </c>
      <c r="D305" s="141"/>
      <c r="E305" s="129"/>
      <c r="F305" s="129"/>
      <c r="G305" s="129"/>
      <c r="H305" s="129"/>
      <c r="I305" s="129"/>
      <c r="J305" s="129"/>
      <c r="K305" s="129"/>
      <c r="L305" s="129"/>
      <c r="M305" s="643"/>
      <c r="N305" s="641"/>
      <c r="O305" s="643"/>
      <c r="P305" s="129"/>
      <c r="Q305" s="643"/>
      <c r="R305" s="129"/>
      <c r="S305" s="643"/>
      <c r="T305" s="129"/>
      <c r="U305" s="643"/>
      <c r="V305" s="129"/>
      <c r="W305" s="643"/>
      <c r="X305" s="637"/>
      <c r="Y305" s="643"/>
      <c r="Z305" s="638"/>
      <c r="AA305" s="488">
        <f t="shared" si="191"/>
        <v>0</v>
      </c>
      <c r="AB305" s="639"/>
      <c r="AC305" s="644"/>
      <c r="AD305" s="637"/>
      <c r="AE305" s="644"/>
      <c r="AF305" s="637"/>
      <c r="AG305" s="644"/>
      <c r="AH305" s="637"/>
      <c r="AI305" s="644"/>
      <c r="AJ305" s="352">
        <f t="shared" si="192"/>
        <v>0</v>
      </c>
      <c r="AK305" s="349"/>
      <c r="AL305" s="1027"/>
      <c r="AM305" s="136"/>
      <c r="AN305" s="1017"/>
      <c r="AO305" s="330">
        <v>127</v>
      </c>
    </row>
    <row r="306" spans="1:41" x14ac:dyDescent="0.6">
      <c r="A306" s="862"/>
      <c r="B306" s="716" t="s">
        <v>280</v>
      </c>
      <c r="C306" s="127" t="s">
        <v>97</v>
      </c>
      <c r="D306" s="141"/>
      <c r="E306" s="129"/>
      <c r="F306" s="129"/>
      <c r="G306" s="129"/>
      <c r="H306" s="129"/>
      <c r="I306" s="129"/>
      <c r="J306" s="129"/>
      <c r="K306" s="129"/>
      <c r="L306" s="129"/>
      <c r="M306" s="130"/>
      <c r="N306" s="129"/>
      <c r="O306" s="130"/>
      <c r="P306" s="129"/>
      <c r="Q306" s="130"/>
      <c r="R306" s="129"/>
      <c r="S306" s="130"/>
      <c r="T306" s="129"/>
      <c r="U306" s="130"/>
      <c r="V306" s="129"/>
      <c r="W306" s="130"/>
      <c r="X306" s="637"/>
      <c r="Y306" s="130"/>
      <c r="Z306" s="638"/>
      <c r="AA306" s="488">
        <f t="shared" si="191"/>
        <v>0</v>
      </c>
      <c r="AB306" s="639"/>
      <c r="AC306" s="131"/>
      <c r="AD306" s="637"/>
      <c r="AE306" s="131"/>
      <c r="AF306" s="637"/>
      <c r="AG306" s="131"/>
      <c r="AH306" s="637"/>
      <c r="AI306" s="131"/>
      <c r="AJ306" s="352">
        <f t="shared" si="192"/>
        <v>0</v>
      </c>
      <c r="AK306" s="349"/>
      <c r="AL306" s="1027"/>
      <c r="AM306" s="136"/>
      <c r="AN306" s="1017"/>
      <c r="AO306" s="330">
        <v>128</v>
      </c>
    </row>
    <row r="307" spans="1:41" x14ac:dyDescent="0.6">
      <c r="A307" s="862"/>
      <c r="B307" s="716" t="s">
        <v>281</v>
      </c>
      <c r="C307" s="127" t="s">
        <v>130</v>
      </c>
      <c r="D307" s="141"/>
      <c r="E307" s="129"/>
      <c r="F307" s="129"/>
      <c r="G307" s="129"/>
      <c r="H307" s="129"/>
      <c r="I307" s="129"/>
      <c r="J307" s="129"/>
      <c r="K307" s="129"/>
      <c r="L307" s="129"/>
      <c r="M307" s="130"/>
      <c r="N307" s="129"/>
      <c r="O307" s="130"/>
      <c r="P307" s="129"/>
      <c r="Q307" s="130"/>
      <c r="R307" s="129"/>
      <c r="S307" s="130"/>
      <c r="T307" s="129"/>
      <c r="U307" s="130"/>
      <c r="V307" s="129"/>
      <c r="W307" s="130"/>
      <c r="X307" s="637"/>
      <c r="Y307" s="130"/>
      <c r="Z307" s="638"/>
      <c r="AA307" s="488">
        <f t="shared" si="191"/>
        <v>0</v>
      </c>
      <c r="AB307" s="639"/>
      <c r="AC307" s="131"/>
      <c r="AD307" s="637"/>
      <c r="AE307" s="131"/>
      <c r="AF307" s="637"/>
      <c r="AG307" s="131"/>
      <c r="AH307" s="637"/>
      <c r="AI307" s="131"/>
      <c r="AJ307" s="352">
        <f t="shared" si="192"/>
        <v>0</v>
      </c>
      <c r="AK307" s="349"/>
      <c r="AL307" s="1027"/>
      <c r="AM307" s="136"/>
      <c r="AN307" s="1017"/>
      <c r="AO307" s="330">
        <v>129</v>
      </c>
    </row>
    <row r="308" spans="1:41" ht="31.5" thickBot="1" x14ac:dyDescent="0.65">
      <c r="A308" s="862"/>
      <c r="B308" s="716" t="s">
        <v>282</v>
      </c>
      <c r="C308" s="127" t="s">
        <v>98</v>
      </c>
      <c r="D308" s="437"/>
      <c r="E308" s="186"/>
      <c r="F308" s="186"/>
      <c r="G308" s="186"/>
      <c r="H308" s="186"/>
      <c r="I308" s="186"/>
      <c r="J308" s="186"/>
      <c r="K308" s="186"/>
      <c r="L308" s="186"/>
      <c r="M308" s="393"/>
      <c r="N308" s="186"/>
      <c r="O308" s="393"/>
      <c r="P308" s="186"/>
      <c r="Q308" s="393"/>
      <c r="R308" s="186"/>
      <c r="S308" s="393"/>
      <c r="T308" s="186"/>
      <c r="U308" s="393"/>
      <c r="V308" s="186"/>
      <c r="W308" s="393"/>
      <c r="X308" s="645"/>
      <c r="Y308" s="393"/>
      <c r="Z308" s="646"/>
      <c r="AA308" s="488">
        <f t="shared" si="191"/>
        <v>0</v>
      </c>
      <c r="AB308" s="647"/>
      <c r="AC308" s="569"/>
      <c r="AD308" s="645"/>
      <c r="AE308" s="569"/>
      <c r="AF308" s="645"/>
      <c r="AG308" s="569"/>
      <c r="AH308" s="645"/>
      <c r="AI308" s="569"/>
      <c r="AJ308" s="373">
        <f t="shared" si="192"/>
        <v>0</v>
      </c>
      <c r="AK308" s="349"/>
      <c r="AL308" s="1027"/>
      <c r="AM308" s="136"/>
      <c r="AN308" s="1017"/>
      <c r="AO308" s="330">
        <v>130</v>
      </c>
    </row>
    <row r="309" spans="1:41" ht="31.5" thickBot="1" x14ac:dyDescent="0.65">
      <c r="A309" s="863"/>
      <c r="B309" s="823" t="s">
        <v>748</v>
      </c>
      <c r="C309" s="652" t="s">
        <v>699</v>
      </c>
      <c r="D309" s="653"/>
      <c r="E309" s="397"/>
      <c r="F309" s="397"/>
      <c r="G309" s="397"/>
      <c r="H309" s="397"/>
      <c r="I309" s="397"/>
      <c r="J309" s="397"/>
      <c r="K309" s="397"/>
      <c r="L309" s="397"/>
      <c r="M309" s="163"/>
      <c r="N309" s="397"/>
      <c r="O309" s="163"/>
      <c r="P309" s="397"/>
      <c r="Q309" s="163"/>
      <c r="R309" s="397"/>
      <c r="S309" s="163"/>
      <c r="T309" s="397"/>
      <c r="U309" s="163"/>
      <c r="V309" s="397"/>
      <c r="W309" s="163"/>
      <c r="X309" s="654"/>
      <c r="Y309" s="163"/>
      <c r="Z309" s="655"/>
      <c r="AA309" s="488"/>
      <c r="AB309" s="656"/>
      <c r="AC309" s="164"/>
      <c r="AD309" s="654"/>
      <c r="AE309" s="164"/>
      <c r="AF309" s="654"/>
      <c r="AG309" s="164"/>
      <c r="AH309" s="654"/>
      <c r="AI309" s="164"/>
      <c r="AJ309" s="612"/>
      <c r="AK309" s="349"/>
      <c r="AL309" s="1027"/>
      <c r="AM309" s="136"/>
      <c r="AN309" s="1017"/>
      <c r="AO309" s="330"/>
    </row>
    <row r="310" spans="1:41" x14ac:dyDescent="0.6">
      <c r="A310" s="861" t="s">
        <v>617</v>
      </c>
      <c r="B310" s="720" t="s">
        <v>278</v>
      </c>
      <c r="C310" s="115" t="s">
        <v>131</v>
      </c>
      <c r="D310" s="247"/>
      <c r="E310" s="117"/>
      <c r="F310" s="117"/>
      <c r="G310" s="117"/>
      <c r="H310" s="117"/>
      <c r="I310" s="117"/>
      <c r="J310" s="117"/>
      <c r="K310" s="117"/>
      <c r="L310" s="117"/>
      <c r="M310" s="118"/>
      <c r="N310" s="117"/>
      <c r="O310" s="118"/>
      <c r="P310" s="117"/>
      <c r="Q310" s="118"/>
      <c r="R310" s="117"/>
      <c r="S310" s="118"/>
      <c r="T310" s="117"/>
      <c r="U310" s="118"/>
      <c r="V310" s="117"/>
      <c r="W310" s="118"/>
      <c r="X310" s="649"/>
      <c r="Y310" s="118"/>
      <c r="Z310" s="650"/>
      <c r="AA310" s="488">
        <f t="shared" si="191"/>
        <v>0</v>
      </c>
      <c r="AB310" s="651"/>
      <c r="AC310" s="120"/>
      <c r="AD310" s="649"/>
      <c r="AE310" s="120"/>
      <c r="AF310" s="649"/>
      <c r="AG310" s="120"/>
      <c r="AH310" s="649"/>
      <c r="AI310" s="120"/>
      <c r="AJ310" s="348">
        <f t="shared" si="192"/>
        <v>0</v>
      </c>
      <c r="AK310" s="349"/>
      <c r="AL310" s="1027"/>
      <c r="AM310" s="136"/>
      <c r="AN310" s="1017"/>
      <c r="AO310" s="330">
        <v>131</v>
      </c>
    </row>
    <row r="311" spans="1:41" x14ac:dyDescent="0.6">
      <c r="A311" s="862"/>
      <c r="B311" s="716" t="s">
        <v>61</v>
      </c>
      <c r="C311" s="127" t="s">
        <v>132</v>
      </c>
      <c r="D311" s="141"/>
      <c r="E311" s="129"/>
      <c r="F311" s="129"/>
      <c r="G311" s="129"/>
      <c r="H311" s="129"/>
      <c r="I311" s="129"/>
      <c r="J311" s="129"/>
      <c r="K311" s="129"/>
      <c r="L311" s="129"/>
      <c r="M311" s="130"/>
      <c r="N311" s="129"/>
      <c r="O311" s="130"/>
      <c r="P311" s="129"/>
      <c r="Q311" s="130"/>
      <c r="R311" s="129"/>
      <c r="S311" s="130"/>
      <c r="T311" s="129"/>
      <c r="U311" s="130"/>
      <c r="V311" s="129"/>
      <c r="W311" s="130"/>
      <c r="X311" s="637"/>
      <c r="Y311" s="130"/>
      <c r="Z311" s="638"/>
      <c r="AA311" s="488">
        <f t="shared" si="191"/>
        <v>0</v>
      </c>
      <c r="AB311" s="639"/>
      <c r="AC311" s="131"/>
      <c r="AD311" s="637"/>
      <c r="AE311" s="131"/>
      <c r="AF311" s="637"/>
      <c r="AG311" s="131"/>
      <c r="AH311" s="637"/>
      <c r="AI311" s="131"/>
      <c r="AJ311" s="352">
        <f t="shared" si="192"/>
        <v>0</v>
      </c>
      <c r="AK311" s="349" t="str">
        <f>CONCATENATE(IF(D313&lt;SUM(D314,D315,D316,D317)," * Post Treatment Follow up, Total CXCA Screening positive for Age "&amp;D33&amp;" "&amp;D34&amp;" should be greater than or equal to  the sum of (Cryotherapy , Leep , Thermocoagulation and Reffered for treatment)"&amp;CHAR(10),""),IF(E313&lt;SUM(E314,E315,E316,E317)," * Post Treatment Follow up, Total CXCA Screening positive for Age "&amp;D33&amp;" "&amp;E34&amp;" should be greater than or equal to  the sum of (Cryotherapy , Leep , Thermocoagulation and Reffered for treatment)"&amp;CHAR(10),""),IF(F313&lt;SUM(F314,F315,F316,F317)," * Post Treatment Follow up, Total CXCA Screening positive for Age "&amp;F33&amp;" "&amp;F34&amp;" should be greater than or equal to  the sum of (Cryotherapy , Leep , Thermocoagulation and Reffered for treatment)"&amp;CHAR(10),""),IF(G313&lt;SUM(G314,G315,G316,G317)," * Post Treatment Follow up, Total CXCA Screening positive for Age "&amp;F33&amp;" "&amp;G34&amp;" should be greater than or equal to  the sum of (Cryotherapy , Leep , Thermocoagulation and Reffered for treatment)"&amp;CHAR(10),""),IF(H313&lt;SUM(H314,H315,H316,H317)," * Post Treatment Follow up, Total CXCA Screening positive for Age "&amp;H33&amp;" "&amp;H34&amp;" should be greater than or equal to  the sum of (Cryotherapy , Leep , Thermocoagulation and Reffered for treatment)"&amp;CHAR(10),""),IF(I313&lt;SUM(I314,I315,I316,I317)," * Post Treatment Follow up, Total CXCA Screening positive for Age "&amp;H33&amp;" "&amp;I34&amp;" should be greater than or equal to  the sum of (Cryotherapy , Leep , Thermocoagulation and Reffered for treatment)"&amp;CHAR(10),""),IF(J313&lt;SUM(J314,J315,J316,J317)," * Post Treatment Follow up, Total CXCA Screening positive for Age "&amp;J33&amp;" "&amp;J34&amp;" should be greater than or equal to  the sum of (Cryotherapy , Leep , Thermocoagulation and Reffered for treatment)"&amp;CHAR(10),""),IF(K313&lt;SUM(K314,K315,K316,K317)," * Post Treatment Follow up, Total CXCA Screening positive for Age "&amp;J33&amp;" "&amp;K34&amp;" should be greater than or equal to  the sum of (Cryotherapy , Leep , Thermocoagulation and Reffered for treatment)"&amp;CHAR(10),""),IF(L313&lt;SUM(L314,L315,L316,L317)," * Post Treatment Follow up, Total CXCA Screening positive for Age "&amp;L33&amp;" "&amp;L34&amp;" should be greater than or equal to  the sum of (Cryotherapy , Leep , Thermocoagulation and Reffered for treatment)"&amp;CHAR(10),""),IF(M313&lt;SUM(M314,M315,M316,M317)," * Post Treatment Follow up, Total CXCA Screening positive for Age "&amp;L33&amp;" "&amp;M34&amp;" should be greater than or equal to  the sum of (Cryotherapy , Leep , Thermocoagulation and Reffered for treatment)"&amp;CHAR(10),""),IF(N313&lt;SUM(N314,N315,N316,N317)," * Post Treatment Follow up, Total CXCA Screening positive for Age "&amp;N33&amp;" "&amp;N34&amp;" should be greater than or equal to  the sum of (Cryotherapy , Leep , Thermocoagulation and Reffered for treatment)"&amp;CHAR(10),""),IF(O313&lt;SUM(O314,O315,O316,O317)," * Post Treatment Follow up, Total CXCA Screening positive for Age "&amp;N33&amp;" "&amp;O34&amp;" should be greater than or equal to  the sum of (Cryotherapy , Leep , Thermocoagulation and Reffered for treatment)"&amp;CHAR(10),""),IF(P313&lt;SUM(P314,P315,P316,P317)," * Post Treatment Follow up, Total CXCA Screening positive for Age "&amp;P33&amp;" "&amp;P34&amp;" should be greater than or equal to  the sum of (Cryotherapy , Leep , Thermocoagulation and Reffered for treatment)"&amp;CHAR(10),""),IF(Q313&lt;SUM(Q314,Q315,Q316,Q317)," * Post Treatment Follow up, Total CXCA Screening positive for Age "&amp;P33&amp;" "&amp;Q34&amp;" should be greater than or equal to  the sum of (Cryotherapy , Leep , Thermocoagulation and Reffered for treatment)"&amp;CHAR(10),""),IF(R313&lt;SUM(R314,R315,R316,R317)," * Post Treatment Follow up, Total CXCA Screening positive for Age "&amp;R33&amp;" "&amp;R34&amp;" should be greater than or equal to  the sum of (Cryotherapy , Leep , Thermocoagulation and Reffered for treatment)"&amp;CHAR(10),""),IF(S313&lt;SUM(S314,S315,S316,S317)," * Post Treatment Follow up, Total CXCA Screening positive for Age "&amp;R33&amp;" "&amp;S34&amp;" should be greater than or equal to  the sum of (Cryotherapy , Leep , Thermocoagulation and Reffered for treatment)"&amp;CHAR(10),""),IF(T313&lt;SUM(T314,T315,T316,T317)," * Post Treatment Follow up, Total CXCA Screening positive for Age "&amp;T33&amp;" "&amp;T34&amp;" should be greater than or equal to  the sum of (Cryotherapy , Leep , Thermocoagulation and Reffered for treatment)"&amp;CHAR(10),""),IF(U313&lt;SUM(U314,U315,U316,U317)," * Post Treatment Follow up, Total CXCA Screening positive for Age "&amp;T33&amp;" "&amp;U34&amp;" should be greater than or equal to  the sum of (Cryotherapy , Leep , Thermocoagulation and Reffered for treatment)"&amp;CHAR(10),""),IF(V313&lt;SUM(V314,V315,V316,V317)," * Post Treatment Follow up, Total CXCA Screening positive for Age "&amp;V33&amp;" "&amp;V34&amp;" should be greater than or equal to  the sum of (Cryotherapy , Leep , Thermocoagulation and Reffered for treatment)"&amp;CHAR(10),""),IF(W313&lt;SUM(W314,W315,W316,W317)," * Post Treatment Follow up, Total CXCA Screening positive for Age "&amp;V33&amp;" "&amp;W34&amp;" should be greater than or equal to  the sum of (Cryotherapy , Leep , Thermocoagulation and Reffered for treatment)"&amp;CHAR(10),""),IF(X313&lt;SUM(X314,X315,X316,X317)," * Post Treatment Follow up, Total CXCA Screening positive for Age "&amp;X33&amp;" "&amp;X34&amp;" should be greater than or equal to  the sum of (Cryotherapy , Leep , Thermocoagulation and Reffered for treatment)"&amp;CHAR(10),""),IF(Y313&lt;SUM(Y314,Y315,Y316,Y317)," * Post Treatment Follow up, Total CXCA Screening positive for Age "&amp;X33&amp;" "&amp;Y34&amp;" should be greater than or equal to  the sum of (Cryotherapy , Leep , Thermocoagulation and Reffered for treatment)"&amp;CHAR(10),""),IF(Z313&lt;SUM(Z314,Z315,Z316,Z317)," * Post Treatment Follow up, Total CXCA Screening positive for Age "&amp;Z33&amp;" "&amp;Z34&amp;" should be greater than or equal to  the sum of (Cryotherapy , Leep , Thermocoagulation and Reffered for treatment)"&amp;CHAR(10),""),IF(AA313&lt;SUM(AA314,AA315,AA316,AA317)," * Post Treatment Follow up, Total CXCA Screening positive for Age "&amp;Z33&amp;" "&amp;AA34&amp;" should be greater than or equal to  the sum of (Cryotherapy , Leep , Thermocoagulation and Reffered for treatment)"&amp;CHAR(10),""))</f>
        <v/>
      </c>
      <c r="AL311" s="1027"/>
      <c r="AM311" s="136"/>
      <c r="AN311" s="1017"/>
      <c r="AO311" s="330">
        <v>132</v>
      </c>
    </row>
    <row r="312" spans="1:41" x14ac:dyDescent="0.6">
      <c r="A312" s="862"/>
      <c r="B312" s="716" t="s">
        <v>279</v>
      </c>
      <c r="C312" s="127" t="s">
        <v>133</v>
      </c>
      <c r="D312" s="141"/>
      <c r="E312" s="129"/>
      <c r="F312" s="129"/>
      <c r="G312" s="129"/>
      <c r="H312" s="129"/>
      <c r="I312" s="129"/>
      <c r="J312" s="129"/>
      <c r="K312" s="129"/>
      <c r="L312" s="129"/>
      <c r="M312" s="130"/>
      <c r="N312" s="129"/>
      <c r="O312" s="130"/>
      <c r="P312" s="129"/>
      <c r="Q312" s="130"/>
      <c r="R312" s="129"/>
      <c r="S312" s="130"/>
      <c r="T312" s="129"/>
      <c r="U312" s="130"/>
      <c r="V312" s="129"/>
      <c r="W312" s="130"/>
      <c r="X312" s="637"/>
      <c r="Y312" s="130"/>
      <c r="Z312" s="638"/>
      <c r="AA312" s="488">
        <f t="shared" si="191"/>
        <v>0</v>
      </c>
      <c r="AB312" s="639"/>
      <c r="AC312" s="131"/>
      <c r="AD312" s="637"/>
      <c r="AE312" s="131"/>
      <c r="AF312" s="637"/>
      <c r="AG312" s="131"/>
      <c r="AH312" s="637"/>
      <c r="AI312" s="131"/>
      <c r="AJ312" s="352">
        <f t="shared" si="192"/>
        <v>0</v>
      </c>
      <c r="AK312" s="349"/>
      <c r="AL312" s="1027"/>
      <c r="AM312" s="136"/>
      <c r="AN312" s="1017"/>
      <c r="AO312" s="330">
        <v>133</v>
      </c>
    </row>
    <row r="313" spans="1:41" ht="31.5" thickBot="1" x14ac:dyDescent="0.65">
      <c r="A313" s="863"/>
      <c r="B313" s="792" t="s">
        <v>344</v>
      </c>
      <c r="C313" s="127" t="s">
        <v>347</v>
      </c>
      <c r="D313" s="141"/>
      <c r="E313" s="129"/>
      <c r="F313" s="129"/>
      <c r="G313" s="129"/>
      <c r="H313" s="129"/>
      <c r="I313" s="129"/>
      <c r="J313" s="129"/>
      <c r="K313" s="129"/>
      <c r="L313" s="129"/>
      <c r="M313" s="640">
        <f>M312+M311</f>
        <v>0</v>
      </c>
      <c r="N313" s="641"/>
      <c r="O313" s="640">
        <f>O312+O311</f>
        <v>0</v>
      </c>
      <c r="P313" s="129"/>
      <c r="Q313" s="640">
        <f>Q312+Q311</f>
        <v>0</v>
      </c>
      <c r="R313" s="129"/>
      <c r="S313" s="640">
        <f>S312+S311</f>
        <v>0</v>
      </c>
      <c r="T313" s="129"/>
      <c r="U313" s="640">
        <f>U312+U311</f>
        <v>0</v>
      </c>
      <c r="V313" s="129"/>
      <c r="W313" s="640">
        <f>W312+W311</f>
        <v>0</v>
      </c>
      <c r="X313" s="637"/>
      <c r="Y313" s="640">
        <f>Y312+Y311</f>
        <v>0</v>
      </c>
      <c r="Z313" s="638"/>
      <c r="AA313" s="488">
        <f t="shared" si="191"/>
        <v>0</v>
      </c>
      <c r="AB313" s="639"/>
      <c r="AC313" s="642">
        <f>AC312+AC311</f>
        <v>0</v>
      </c>
      <c r="AD313" s="637"/>
      <c r="AE313" s="642">
        <f>AE312+AE311</f>
        <v>0</v>
      </c>
      <c r="AF313" s="637"/>
      <c r="AG313" s="642">
        <f>AG312+AG311</f>
        <v>0</v>
      </c>
      <c r="AH313" s="637"/>
      <c r="AI313" s="642">
        <f>AI312+AI311</f>
        <v>0</v>
      </c>
      <c r="AJ313" s="352">
        <f t="shared" si="192"/>
        <v>0</v>
      </c>
      <c r="AK313" s="349"/>
      <c r="AL313" s="1027"/>
      <c r="AM313" s="136"/>
      <c r="AN313" s="1017"/>
      <c r="AO313" s="330">
        <v>134</v>
      </c>
    </row>
    <row r="314" spans="1:41" x14ac:dyDescent="0.6">
      <c r="A314" s="862" t="s">
        <v>618</v>
      </c>
      <c r="B314" s="791" t="s">
        <v>475</v>
      </c>
      <c r="C314" s="411" t="s">
        <v>357</v>
      </c>
      <c r="D314" s="141"/>
      <c r="E314" s="129"/>
      <c r="F314" s="129"/>
      <c r="G314" s="129"/>
      <c r="H314" s="129"/>
      <c r="I314" s="129"/>
      <c r="J314" s="129"/>
      <c r="K314" s="129"/>
      <c r="L314" s="129"/>
      <c r="M314" s="643"/>
      <c r="N314" s="641"/>
      <c r="O314" s="643"/>
      <c r="P314" s="129"/>
      <c r="Q314" s="643"/>
      <c r="R314" s="129"/>
      <c r="S314" s="643"/>
      <c r="T314" s="129"/>
      <c r="U314" s="643"/>
      <c r="V314" s="129"/>
      <c r="W314" s="643"/>
      <c r="X314" s="637"/>
      <c r="Y314" s="643"/>
      <c r="Z314" s="638"/>
      <c r="AA314" s="488">
        <f t="shared" si="191"/>
        <v>0</v>
      </c>
      <c r="AB314" s="639"/>
      <c r="AC314" s="644"/>
      <c r="AD314" s="637"/>
      <c r="AE314" s="644"/>
      <c r="AF314" s="637"/>
      <c r="AG314" s="644"/>
      <c r="AH314" s="637"/>
      <c r="AI314" s="644"/>
      <c r="AJ314" s="352">
        <f t="shared" si="192"/>
        <v>0</v>
      </c>
      <c r="AK314" s="349"/>
      <c r="AL314" s="1027"/>
      <c r="AM314" s="136"/>
      <c r="AN314" s="1017"/>
      <c r="AO314" s="330">
        <v>135</v>
      </c>
    </row>
    <row r="315" spans="1:41" x14ac:dyDescent="0.6">
      <c r="A315" s="862"/>
      <c r="B315" s="716" t="s">
        <v>280</v>
      </c>
      <c r="C315" s="127" t="s">
        <v>99</v>
      </c>
      <c r="D315" s="141"/>
      <c r="E315" s="129"/>
      <c r="F315" s="129"/>
      <c r="G315" s="129"/>
      <c r="H315" s="129"/>
      <c r="I315" s="129"/>
      <c r="J315" s="129"/>
      <c r="K315" s="129"/>
      <c r="L315" s="129"/>
      <c r="M315" s="130"/>
      <c r="N315" s="129"/>
      <c r="O315" s="130"/>
      <c r="P315" s="129"/>
      <c r="Q315" s="130"/>
      <c r="R315" s="129"/>
      <c r="S315" s="130"/>
      <c r="T315" s="129"/>
      <c r="U315" s="130"/>
      <c r="V315" s="129"/>
      <c r="W315" s="130"/>
      <c r="X315" s="637"/>
      <c r="Y315" s="130"/>
      <c r="Z315" s="638"/>
      <c r="AA315" s="488">
        <f t="shared" si="191"/>
        <v>0</v>
      </c>
      <c r="AB315" s="639"/>
      <c r="AC315" s="131"/>
      <c r="AD315" s="637"/>
      <c r="AE315" s="131"/>
      <c r="AF315" s="637"/>
      <c r="AG315" s="131"/>
      <c r="AH315" s="637"/>
      <c r="AI315" s="131"/>
      <c r="AJ315" s="352">
        <f t="shared" si="192"/>
        <v>0</v>
      </c>
      <c r="AK315" s="349"/>
      <c r="AL315" s="1027"/>
      <c r="AM315" s="136"/>
      <c r="AN315" s="1017"/>
      <c r="AO315" s="330">
        <v>136</v>
      </c>
    </row>
    <row r="316" spans="1:41" x14ac:dyDescent="0.6">
      <c r="A316" s="862"/>
      <c r="B316" s="716" t="s">
        <v>281</v>
      </c>
      <c r="C316" s="127" t="s">
        <v>134</v>
      </c>
      <c r="D316" s="141"/>
      <c r="E316" s="129"/>
      <c r="F316" s="129"/>
      <c r="G316" s="129"/>
      <c r="H316" s="129"/>
      <c r="I316" s="129"/>
      <c r="J316" s="129"/>
      <c r="K316" s="129"/>
      <c r="L316" s="129"/>
      <c r="M316" s="130"/>
      <c r="N316" s="129"/>
      <c r="O316" s="130"/>
      <c r="P316" s="129"/>
      <c r="Q316" s="130"/>
      <c r="R316" s="129"/>
      <c r="S316" s="130"/>
      <c r="T316" s="129"/>
      <c r="U316" s="130"/>
      <c r="V316" s="129"/>
      <c r="W316" s="130"/>
      <c r="X316" s="637"/>
      <c r="Y316" s="130"/>
      <c r="Z316" s="638"/>
      <c r="AA316" s="488">
        <f t="shared" si="191"/>
        <v>0</v>
      </c>
      <c r="AB316" s="639"/>
      <c r="AC316" s="131"/>
      <c r="AD316" s="637"/>
      <c r="AE316" s="131"/>
      <c r="AF316" s="637"/>
      <c r="AG316" s="131"/>
      <c r="AH316" s="637"/>
      <c r="AI316" s="131"/>
      <c r="AJ316" s="352">
        <f t="shared" si="192"/>
        <v>0</v>
      </c>
      <c r="AK316" s="349"/>
      <c r="AL316" s="1027"/>
      <c r="AM316" s="136"/>
      <c r="AN316" s="1017"/>
      <c r="AO316" s="330">
        <v>137</v>
      </c>
    </row>
    <row r="317" spans="1:41" ht="31.5" thickBot="1" x14ac:dyDescent="0.65">
      <c r="A317" s="862"/>
      <c r="B317" s="716" t="s">
        <v>282</v>
      </c>
      <c r="C317" s="127" t="s">
        <v>135</v>
      </c>
      <c r="D317" s="262"/>
      <c r="E317" s="209"/>
      <c r="F317" s="209"/>
      <c r="G317" s="209"/>
      <c r="H317" s="209"/>
      <c r="I317" s="209"/>
      <c r="J317" s="209"/>
      <c r="K317" s="209"/>
      <c r="L317" s="209"/>
      <c r="M317" s="393"/>
      <c r="N317" s="186"/>
      <c r="O317" s="393"/>
      <c r="P317" s="186"/>
      <c r="Q317" s="393"/>
      <c r="R317" s="186"/>
      <c r="S317" s="393"/>
      <c r="T317" s="186"/>
      <c r="U317" s="393"/>
      <c r="V317" s="186"/>
      <c r="W317" s="393"/>
      <c r="X317" s="645"/>
      <c r="Y317" s="393"/>
      <c r="Z317" s="646"/>
      <c r="AA317" s="488">
        <f t="shared" si="191"/>
        <v>0</v>
      </c>
      <c r="AB317" s="647"/>
      <c r="AC317" s="569"/>
      <c r="AD317" s="645"/>
      <c r="AE317" s="569"/>
      <c r="AF317" s="645"/>
      <c r="AG317" s="569"/>
      <c r="AH317" s="645"/>
      <c r="AI317" s="569"/>
      <c r="AJ317" s="371">
        <f t="shared" si="192"/>
        <v>0</v>
      </c>
      <c r="AK317" s="358"/>
      <c r="AL317" s="1028"/>
      <c r="AM317" s="359"/>
      <c r="AN317" s="1018"/>
      <c r="AO317" s="330">
        <v>138</v>
      </c>
    </row>
    <row r="318" spans="1:41" ht="31.5" thickBot="1" x14ac:dyDescent="0.65">
      <c r="A318" s="863"/>
      <c r="B318" s="823" t="s">
        <v>748</v>
      </c>
      <c r="C318" s="652" t="s">
        <v>700</v>
      </c>
      <c r="D318" s="653"/>
      <c r="E318" s="397"/>
      <c r="F318" s="397"/>
      <c r="G318" s="397"/>
      <c r="H318" s="397"/>
      <c r="I318" s="397"/>
      <c r="J318" s="397"/>
      <c r="K318" s="397"/>
      <c r="L318" s="397"/>
      <c r="M318" s="163"/>
      <c r="N318" s="397"/>
      <c r="O318" s="163"/>
      <c r="P318" s="397"/>
      <c r="Q318" s="163"/>
      <c r="R318" s="397"/>
      <c r="S318" s="163"/>
      <c r="T318" s="397"/>
      <c r="U318" s="163"/>
      <c r="V318" s="397"/>
      <c r="W318" s="163"/>
      <c r="X318" s="654"/>
      <c r="Y318" s="163"/>
      <c r="Z318" s="655"/>
      <c r="AA318" s="488"/>
      <c r="AB318" s="656"/>
      <c r="AC318" s="164"/>
      <c r="AD318" s="654"/>
      <c r="AE318" s="164"/>
      <c r="AF318" s="654"/>
      <c r="AG318" s="164"/>
      <c r="AH318" s="654"/>
      <c r="AI318" s="164"/>
      <c r="AJ318" s="612"/>
      <c r="AK318" s="613"/>
      <c r="AL318" s="103"/>
      <c r="AM318" s="407"/>
      <c r="AN318" s="86"/>
      <c r="AO318" s="330"/>
    </row>
    <row r="319" spans="1:41" ht="31.5" thickBot="1" x14ac:dyDescent="0.65">
      <c r="A319" s="945" t="s">
        <v>619</v>
      </c>
      <c r="B319" s="941"/>
      <c r="C319" s="941"/>
      <c r="D319" s="941"/>
      <c r="E319" s="941"/>
      <c r="F319" s="941"/>
      <c r="G319" s="941"/>
      <c r="H319" s="941"/>
      <c r="I319" s="941"/>
      <c r="J319" s="941"/>
      <c r="K319" s="941"/>
      <c r="L319" s="941"/>
      <c r="M319" s="941"/>
      <c r="N319" s="941"/>
      <c r="O319" s="941"/>
      <c r="P319" s="941"/>
      <c r="Q319" s="941"/>
      <c r="R319" s="941"/>
      <c r="S319" s="941"/>
      <c r="T319" s="941"/>
      <c r="U319" s="941"/>
      <c r="V319" s="941"/>
      <c r="W319" s="941"/>
      <c r="X319" s="941"/>
      <c r="Y319" s="941"/>
      <c r="Z319" s="941"/>
      <c r="AA319" s="946"/>
      <c r="AB319" s="947"/>
      <c r="AC319" s="947"/>
      <c r="AD319" s="947"/>
      <c r="AE319" s="947"/>
      <c r="AF319" s="947"/>
      <c r="AG319" s="947"/>
      <c r="AH319" s="947"/>
      <c r="AI319" s="947"/>
      <c r="AJ319" s="941"/>
      <c r="AK319" s="941"/>
      <c r="AL319" s="941"/>
      <c r="AM319" s="941"/>
      <c r="AN319" s="948"/>
      <c r="AO319" s="330">
        <v>139</v>
      </c>
    </row>
    <row r="320" spans="1:41" ht="26.25" customHeight="1" x14ac:dyDescent="0.6">
      <c r="A320" s="950" t="s">
        <v>18</v>
      </c>
      <c r="B320" s="1029" t="s">
        <v>123</v>
      </c>
      <c r="C320" s="951" t="s">
        <v>122</v>
      </c>
      <c r="D320" s="849" t="s">
        <v>0</v>
      </c>
      <c r="E320" s="849"/>
      <c r="F320" s="849" t="s">
        <v>1</v>
      </c>
      <c r="G320" s="849"/>
      <c r="H320" s="849" t="s">
        <v>2</v>
      </c>
      <c r="I320" s="849"/>
      <c r="J320" s="849" t="s">
        <v>3</v>
      </c>
      <c r="K320" s="849"/>
      <c r="L320" s="849" t="s">
        <v>4</v>
      </c>
      <c r="M320" s="849"/>
      <c r="N320" s="849" t="s">
        <v>5</v>
      </c>
      <c r="O320" s="849"/>
      <c r="P320" s="849" t="s">
        <v>6</v>
      </c>
      <c r="Q320" s="849"/>
      <c r="R320" s="849" t="s">
        <v>7</v>
      </c>
      <c r="S320" s="849"/>
      <c r="T320" s="849" t="s">
        <v>8</v>
      </c>
      <c r="U320" s="849"/>
      <c r="V320" s="849" t="s">
        <v>15</v>
      </c>
      <c r="W320" s="849"/>
      <c r="X320" s="849" t="s">
        <v>16</v>
      </c>
      <c r="Y320" s="849"/>
      <c r="Z320" s="849" t="s">
        <v>9</v>
      </c>
      <c r="AA320" s="840"/>
      <c r="AB320" s="996"/>
      <c r="AC320" s="838"/>
      <c r="AD320" s="838"/>
      <c r="AE320" s="838"/>
      <c r="AF320" s="838"/>
      <c r="AG320" s="838"/>
      <c r="AH320" s="838"/>
      <c r="AI320" s="839"/>
      <c r="AJ320" s="967" t="s">
        <v>13</v>
      </c>
      <c r="AK320" s="881" t="s">
        <v>148</v>
      </c>
      <c r="AL320" s="879" t="s">
        <v>154</v>
      </c>
      <c r="AM320" s="883" t="s">
        <v>155</v>
      </c>
      <c r="AN320" s="943" t="s">
        <v>155</v>
      </c>
      <c r="AO320" s="330">
        <v>140</v>
      </c>
    </row>
    <row r="321" spans="1:45" ht="31.5" thickBot="1" x14ac:dyDescent="0.65">
      <c r="A321" s="845"/>
      <c r="B321" s="1030"/>
      <c r="C321" s="969"/>
      <c r="D321" s="114" t="s">
        <v>10</v>
      </c>
      <c r="E321" s="114" t="s">
        <v>11</v>
      </c>
      <c r="F321" s="114" t="s">
        <v>10</v>
      </c>
      <c r="G321" s="114" t="s">
        <v>11</v>
      </c>
      <c r="H321" s="114" t="s">
        <v>10</v>
      </c>
      <c r="I321" s="114" t="s">
        <v>11</v>
      </c>
      <c r="J321" s="114" t="s">
        <v>10</v>
      </c>
      <c r="K321" s="114" t="s">
        <v>11</v>
      </c>
      <c r="L321" s="114" t="s">
        <v>10</v>
      </c>
      <c r="M321" s="114" t="s">
        <v>11</v>
      </c>
      <c r="N321" s="114" t="s">
        <v>10</v>
      </c>
      <c r="O321" s="114" t="s">
        <v>11</v>
      </c>
      <c r="P321" s="114" t="s">
        <v>10</v>
      </c>
      <c r="Q321" s="114" t="s">
        <v>11</v>
      </c>
      <c r="R321" s="114" t="s">
        <v>10</v>
      </c>
      <c r="S321" s="114" t="s">
        <v>11</v>
      </c>
      <c r="T321" s="114" t="s">
        <v>10</v>
      </c>
      <c r="U321" s="114" t="s">
        <v>11</v>
      </c>
      <c r="V321" s="114" t="s">
        <v>10</v>
      </c>
      <c r="W321" s="114" t="s">
        <v>11</v>
      </c>
      <c r="X321" s="114" t="s">
        <v>10</v>
      </c>
      <c r="Y321" s="114" t="s">
        <v>11</v>
      </c>
      <c r="Z321" s="114" t="s">
        <v>10</v>
      </c>
      <c r="AA321" s="464" t="s">
        <v>11</v>
      </c>
      <c r="AB321" s="362"/>
      <c r="AC321" s="363"/>
      <c r="AD321" s="363"/>
      <c r="AE321" s="363"/>
      <c r="AF321" s="363"/>
      <c r="AG321" s="363"/>
      <c r="AH321" s="363"/>
      <c r="AI321" s="364"/>
      <c r="AJ321" s="968"/>
      <c r="AK321" s="882"/>
      <c r="AL321" s="880"/>
      <c r="AM321" s="883"/>
      <c r="AN321" s="944"/>
      <c r="AO321" s="330">
        <v>141</v>
      </c>
    </row>
    <row r="322" spans="1:45" ht="57" thickBot="1" x14ac:dyDescent="0.65">
      <c r="A322" s="104" t="s">
        <v>620</v>
      </c>
      <c r="B322" s="793" t="s">
        <v>621</v>
      </c>
      <c r="C322" s="387" t="s">
        <v>225</v>
      </c>
      <c r="D322" s="657">
        <f>D323+D324</f>
        <v>0</v>
      </c>
      <c r="E322" s="657">
        <f t="shared" ref="E322:AA322" si="195">E323+E324</f>
        <v>0</v>
      </c>
      <c r="F322" s="657">
        <f t="shared" si="195"/>
        <v>0</v>
      </c>
      <c r="G322" s="657">
        <f t="shared" si="195"/>
        <v>0</v>
      </c>
      <c r="H322" s="657">
        <f t="shared" si="195"/>
        <v>0</v>
      </c>
      <c r="I322" s="657">
        <f t="shared" si="195"/>
        <v>0</v>
      </c>
      <c r="J322" s="657">
        <f t="shared" si="195"/>
        <v>0</v>
      </c>
      <c r="K322" s="657">
        <f t="shared" si="195"/>
        <v>0</v>
      </c>
      <c r="L322" s="657">
        <f t="shared" si="195"/>
        <v>0</v>
      </c>
      <c r="M322" s="657">
        <f t="shared" si="195"/>
        <v>0</v>
      </c>
      <c r="N322" s="657">
        <f t="shared" si="195"/>
        <v>0</v>
      </c>
      <c r="O322" s="657">
        <f t="shared" si="195"/>
        <v>0</v>
      </c>
      <c r="P322" s="657">
        <f t="shared" si="195"/>
        <v>0</v>
      </c>
      <c r="Q322" s="657">
        <f t="shared" si="195"/>
        <v>0</v>
      </c>
      <c r="R322" s="657">
        <f t="shared" si="195"/>
        <v>0</v>
      </c>
      <c r="S322" s="657">
        <f t="shared" si="195"/>
        <v>0</v>
      </c>
      <c r="T322" s="657">
        <f t="shared" si="195"/>
        <v>0</v>
      </c>
      <c r="U322" s="657">
        <f t="shared" si="195"/>
        <v>0</v>
      </c>
      <c r="V322" s="657">
        <f t="shared" si="195"/>
        <v>0</v>
      </c>
      <c r="W322" s="657">
        <f t="shared" si="195"/>
        <v>0</v>
      </c>
      <c r="X322" s="657">
        <f t="shared" si="195"/>
        <v>0</v>
      </c>
      <c r="Y322" s="657">
        <f t="shared" si="195"/>
        <v>0</v>
      </c>
      <c r="Z322" s="657">
        <f t="shared" si="195"/>
        <v>0</v>
      </c>
      <c r="AA322" s="657">
        <f t="shared" si="195"/>
        <v>0</v>
      </c>
      <c r="AB322" s="657">
        <f t="shared" ref="AB322" si="196">AB323+AB324</f>
        <v>0</v>
      </c>
      <c r="AC322" s="657">
        <f t="shared" ref="AC322" si="197">AC323+AC324</f>
        <v>0</v>
      </c>
      <c r="AD322" s="657">
        <f t="shared" ref="AD322" si="198">AD323+AD324</f>
        <v>0</v>
      </c>
      <c r="AE322" s="657">
        <f t="shared" ref="AE322" si="199">AE323+AE324</f>
        <v>0</v>
      </c>
      <c r="AF322" s="657">
        <f t="shared" ref="AF322" si="200">AF323+AF324</f>
        <v>0</v>
      </c>
      <c r="AG322" s="657">
        <f t="shared" ref="AG322" si="201">AG323+AG324</f>
        <v>0</v>
      </c>
      <c r="AH322" s="657">
        <f t="shared" ref="AH322" si="202">AH323+AH324</f>
        <v>0</v>
      </c>
      <c r="AI322" s="657">
        <f t="shared" ref="AI322" si="203">AI323+AI324</f>
        <v>0</v>
      </c>
      <c r="AJ322" s="253">
        <f>SUM(D322:AA322)</f>
        <v>0</v>
      </c>
      <c r="AK322" s="174"/>
      <c r="AL322" s="105" t="str">
        <f>CONCATENATE(AK322)</f>
        <v/>
      </c>
      <c r="AM322" s="125"/>
      <c r="AN322" s="416" t="str">
        <f>CONCATENATE(AM322,AM329,AM323,AM328,AM333,AM334,AM336,AM331,AM332)</f>
        <v/>
      </c>
      <c r="AO322" s="330">
        <v>142</v>
      </c>
    </row>
    <row r="323" spans="1:45" ht="57" thickBot="1" x14ac:dyDescent="0.65">
      <c r="A323" s="106" t="s">
        <v>622</v>
      </c>
      <c r="B323" s="794" t="s">
        <v>623</v>
      </c>
      <c r="C323" s="365" t="s">
        <v>100</v>
      </c>
      <c r="D323" s="659"/>
      <c r="E323" s="660"/>
      <c r="F323" s="660"/>
      <c r="G323" s="660"/>
      <c r="H323" s="660"/>
      <c r="I323" s="660"/>
      <c r="J323" s="660"/>
      <c r="K323" s="660"/>
      <c r="L323" s="660"/>
      <c r="M323" s="660"/>
      <c r="N323" s="660"/>
      <c r="O323" s="660"/>
      <c r="P323" s="660"/>
      <c r="Q323" s="660"/>
      <c r="R323" s="660"/>
      <c r="S323" s="660"/>
      <c r="T323" s="660"/>
      <c r="U323" s="660"/>
      <c r="V323" s="660"/>
      <c r="W323" s="660"/>
      <c r="X323" s="660"/>
      <c r="Y323" s="660"/>
      <c r="Z323" s="660"/>
      <c r="AA323" s="661"/>
      <c r="AB323" s="334"/>
      <c r="AC323" s="334"/>
      <c r="AD323" s="334"/>
      <c r="AE323" s="334"/>
      <c r="AF323" s="334"/>
      <c r="AG323" s="334"/>
      <c r="AH323" s="334"/>
      <c r="AI323" s="334"/>
      <c r="AJ323" s="662">
        <f>SUM(D323:AA323)</f>
        <v>0</v>
      </c>
      <c r="AK323" s="358"/>
      <c r="AL323" s="107" t="str">
        <f>CONCATENATE(AK322,AK323,AK328,AK333,AK334,AK331,AK329,AK336,AK325,AK332,AK326,AK330,AK327,AK335)</f>
        <v/>
      </c>
      <c r="AM323" s="359"/>
      <c r="AN323" s="663"/>
      <c r="AO323" s="330">
        <v>180</v>
      </c>
    </row>
    <row r="324" spans="1:45" ht="84" x14ac:dyDescent="0.6">
      <c r="A324" s="861" t="s">
        <v>624</v>
      </c>
      <c r="B324" s="795" t="s">
        <v>732</v>
      </c>
      <c r="C324" s="115" t="s">
        <v>84</v>
      </c>
      <c r="D324" s="664"/>
      <c r="E324" s="665"/>
      <c r="F324" s="665"/>
      <c r="G324" s="665"/>
      <c r="H324" s="665"/>
      <c r="I324" s="665"/>
      <c r="J324" s="665"/>
      <c r="K324" s="665"/>
      <c r="L324" s="665"/>
      <c r="M324" s="665"/>
      <c r="N324" s="665"/>
      <c r="O324" s="665"/>
      <c r="P324" s="665"/>
      <c r="Q324" s="665"/>
      <c r="R324" s="665"/>
      <c r="S324" s="665"/>
      <c r="T324" s="665"/>
      <c r="U324" s="665"/>
      <c r="V324" s="665"/>
      <c r="W324" s="665"/>
      <c r="X324" s="665"/>
      <c r="Y324" s="665"/>
      <c r="Z324" s="665"/>
      <c r="AA324" s="666"/>
      <c r="AB324" s="346"/>
      <c r="AC324" s="346"/>
      <c r="AD324" s="346"/>
      <c r="AE324" s="346"/>
      <c r="AF324" s="346"/>
      <c r="AG324" s="346"/>
      <c r="AH324" s="346"/>
      <c r="AI324" s="346"/>
      <c r="AJ324" s="253">
        <f>SUM(D324:AA324)</f>
        <v>0</v>
      </c>
      <c r="AK324" s="667"/>
      <c r="AL324" s="80"/>
      <c r="AM324" s="668"/>
      <c r="AN324" s="669"/>
      <c r="AO324" s="330"/>
    </row>
    <row r="325" spans="1:45" ht="31.5" customHeight="1" x14ac:dyDescent="0.6">
      <c r="A325" s="862"/>
      <c r="B325" s="796" t="s">
        <v>625</v>
      </c>
      <c r="C325" s="127" t="s">
        <v>348</v>
      </c>
      <c r="D325" s="670"/>
      <c r="E325" s="671"/>
      <c r="F325" s="671"/>
      <c r="G325" s="671"/>
      <c r="H325" s="671"/>
      <c r="I325" s="671"/>
      <c r="J325" s="671"/>
      <c r="K325" s="671"/>
      <c r="L325" s="671"/>
      <c r="M325" s="671"/>
      <c r="N325" s="671"/>
      <c r="O325" s="671"/>
      <c r="P325" s="671"/>
      <c r="Q325" s="671"/>
      <c r="R325" s="671"/>
      <c r="S325" s="671"/>
      <c r="T325" s="671"/>
      <c r="U325" s="671"/>
      <c r="V325" s="671"/>
      <c r="W325" s="671"/>
      <c r="X325" s="671"/>
      <c r="Y325" s="671"/>
      <c r="Z325" s="671"/>
      <c r="AA325" s="672"/>
      <c r="AB325" s="334"/>
      <c r="AC325" s="334"/>
      <c r="AD325" s="334"/>
      <c r="AE325" s="334"/>
      <c r="AF325" s="334"/>
      <c r="AG325" s="334"/>
      <c r="AH325" s="334"/>
      <c r="AI325" s="334"/>
      <c r="AJ325" s="260">
        <f>SUM(D325:AA325)</f>
        <v>0</v>
      </c>
      <c r="AK325" s="374" t="str">
        <f>CONCATENATE(IF(D329&gt;D325," * Initiated Pep for Age "&amp;D6&amp;" "&amp;D7&amp;" is more than Rape survivors"&amp;CHAR(10),""),IF(E329&gt;E325," * Initiated Pep for Age "&amp;D6&amp;" "&amp;E7&amp;" is more than Rape survivors"&amp;CHAR(10),""),IF(F329&gt;F325," * Initiated Pep for Age "&amp;F6&amp;" "&amp;F7&amp;" is more than Rape survivors"&amp;CHAR(10),""),IF(G329&gt;G325," * Initiated Pep for Age "&amp;F6&amp;" "&amp;G7&amp;" is more than Rape survivors"&amp;CHAR(10),""),IF(H329&gt;H325," * Initiated Pep for Age "&amp;H6&amp;" "&amp;H7&amp;" is more than Rape survivors"&amp;CHAR(10),""),IF(I329&gt;I325," * Initiated Pep for Age "&amp;H6&amp;" "&amp;I7&amp;" is more than Rape survivors"&amp;CHAR(10),""),IF(J329&gt;J325," * Initiated Pep for Age "&amp;J6&amp;" "&amp;J7&amp;" is more than Rape survivors"&amp;CHAR(10),""),IF(K329&gt;K325," * Initiated Pep for Age "&amp;J6&amp;" "&amp;K7&amp;" is more than Rape survivors"&amp;CHAR(10),""),IF(L329&gt;L325," * Initiated Pep for Age "&amp;L6&amp;" "&amp;L7&amp;" is more than Rape survivors"&amp;CHAR(10),""),IF(M329&gt;M325," * Initiated Pep for Age "&amp;L6&amp;" "&amp;M7&amp;" is more than Rape survivors"&amp;CHAR(10),""),IF(N329&gt;N325," * Initiated Pep for Age "&amp;N6&amp;" "&amp;N7&amp;" is more than Rape survivors"&amp;CHAR(10),""),IF(O329&gt;O325," * Initiated Pep for Age "&amp;N6&amp;" "&amp;O7&amp;" is more than Rape survivors"&amp;CHAR(10),""),IF(P329&gt;P325," * Initiated Pep for Age "&amp;P6&amp;" "&amp;P7&amp;" is more than Rape survivors"&amp;CHAR(10),""),IF(Q329&gt;Q325," * Initiated Pep for Age "&amp;P6&amp;" "&amp;Q7&amp;" is more than Rape survivors"&amp;CHAR(10),""),IF(R329&gt;R325," * Initiated Pep for Age "&amp;R6&amp;" "&amp;R7&amp;" is more than Rape survivors"&amp;CHAR(10),""),IF(S329&gt;S325," * Initiated Pep for Age "&amp;R6&amp;" "&amp;S7&amp;" is more than Rape survivors"&amp;CHAR(10),""),IF(T329&gt;T325," * Initiated Pep for Age "&amp;T6&amp;" "&amp;T7&amp;" is more than Rape survivors"&amp;CHAR(10),""),IF(U329&gt;U325," * Initiated Pep for Age "&amp;T6&amp;" "&amp;U7&amp;" is more than Rape survivors"&amp;CHAR(10),""),IF(V329&gt;V325," * Initiated Pep for Age "&amp;V6&amp;" "&amp;V7&amp;" is more than Rape survivors"&amp;CHAR(10),""),IF(W329&gt;W325," * Initiated Pep for Age "&amp;V6&amp;" "&amp;W7&amp;" is more than Rape survivors"&amp;CHAR(10),""),IF(X329&gt;X325," * Initiated Pep for Age "&amp;X6&amp;" "&amp;X7&amp;" is more than Rape survivors"&amp;CHAR(10),""),IF(Y329&gt;Y325," * Initiated Pep for Age "&amp;X6&amp;" "&amp;Y7&amp;" is more than Rape survivors"&amp;CHAR(10),""),IF(Z329&gt;Z325," * Initiated Pep for Age "&amp;Z6&amp;" "&amp;Z7&amp;" is more than Rape survivors"&amp;CHAR(10),""),IF(AA329&gt;AA325," * Initiated Pep for Age "&amp;Z6&amp;" "&amp;AA7&amp;" is more than Rape survivors"&amp;CHAR(10),""))</f>
        <v/>
      </c>
      <c r="AL325" s="81"/>
      <c r="AM325" s="136"/>
      <c r="AN325" s="663"/>
      <c r="AO325" s="330">
        <v>178</v>
      </c>
    </row>
    <row r="326" spans="1:45" s="4" customFormat="1" x14ac:dyDescent="0.6">
      <c r="A326" s="862"/>
      <c r="B326" s="797" t="s">
        <v>626</v>
      </c>
      <c r="C326" s="127" t="s">
        <v>106</v>
      </c>
      <c r="D326" s="673"/>
      <c r="E326" s="674"/>
      <c r="F326" s="674"/>
      <c r="G326" s="674"/>
      <c r="H326" s="674"/>
      <c r="I326" s="674"/>
      <c r="J326" s="674"/>
      <c r="K326" s="674"/>
      <c r="L326" s="674"/>
      <c r="M326" s="674"/>
      <c r="N326" s="674"/>
      <c r="O326" s="674"/>
      <c r="P326" s="674"/>
      <c r="Q326" s="674"/>
      <c r="R326" s="674"/>
      <c r="S326" s="674"/>
      <c r="T326" s="674"/>
      <c r="U326" s="674"/>
      <c r="V326" s="674"/>
      <c r="W326" s="674"/>
      <c r="X326" s="674"/>
      <c r="Y326" s="674"/>
      <c r="Z326" s="674"/>
      <c r="AA326" s="675"/>
      <c r="AB326" s="334"/>
      <c r="AC326" s="334"/>
      <c r="AD326" s="334"/>
      <c r="AE326" s="334"/>
      <c r="AF326" s="334"/>
      <c r="AG326" s="334"/>
      <c r="AH326" s="334"/>
      <c r="AI326" s="334"/>
      <c r="AJ326" s="260">
        <f t="shared" ref="AJ326:AJ327" si="204">SUM(D326:AA326)</f>
        <v>0</v>
      </c>
      <c r="AK326" s="374" t="str">
        <f>CONCATENATE(IF(D327&gt;D326," * F05-11 for Age "&amp;#REF!&amp;" "&amp;#REF!&amp;" is more than F05-10"&amp;CHAR(10),""),IF(E327&gt;E326," * F05-11 for Age "&amp;#REF!&amp;" "&amp;#REF!&amp;" is more than F05-10"&amp;CHAR(10),""),IF(F327&gt;F326," * F05-11 for Age "&amp;#REF!&amp;" "&amp;#REF!&amp;" is more than F05-10"&amp;CHAR(10),""),IF(G327&gt;G326," * F05-11 for Age "&amp;#REF!&amp;" "&amp;#REF!&amp;" is more than F05-10"&amp;CHAR(10),""),IF(H327&gt;H326," * F05-11 for Age "&amp;#REF!&amp;" "&amp;#REF!&amp;" is more than F05-10"&amp;CHAR(10),""),IF(I327&gt;I326," * F05-11 for Age "&amp;#REF!&amp;" "&amp;#REF!&amp;" is more than F05-10"&amp;CHAR(10),""),IF(J327&gt;J326," * F05-11 for Age "&amp;#REF!&amp;" "&amp;#REF!&amp;" is more than F05-10"&amp;CHAR(10),""),IF(K327&gt;K326," * F05-11 for Age "&amp;#REF!&amp;" "&amp;#REF!&amp;" is more than F05-10"&amp;CHAR(10),""),IF(L327&gt;L326," * F05-11 for Age "&amp;#REF!&amp;" "&amp;#REF!&amp;" is more than F05-10"&amp;CHAR(10),""),IF(M327&gt;M326," * F05-11 for Age "&amp;#REF!&amp;" "&amp;#REF!&amp;" is more than F05-10"&amp;CHAR(10),""),IF(N327&gt;N326," * F05-11 for Age "&amp;#REF!&amp;" "&amp;#REF!&amp;" is more than F05-10"&amp;CHAR(10),""),IF(O327&gt;O326," * F05-11 for Age "&amp;#REF!&amp;" "&amp;#REF!&amp;" is more than F05-10"&amp;CHAR(10),""),IF(P327&gt;P326," * F05-11 for Age "&amp;#REF!&amp;" "&amp;#REF!&amp;" is more than F05-10"&amp;CHAR(10),""),IF(Q327&gt;Q326," * F05-11 for Age "&amp;#REF!&amp;" "&amp;#REF!&amp;" is more than F05-10"&amp;CHAR(10),""),IF(R327&gt;R326," * F05-11 for Age "&amp;#REF!&amp;" "&amp;#REF!&amp;" is more than F05-10"&amp;CHAR(10),""),IF(S327&gt;S326," * F05-11 for Age "&amp;#REF!&amp;" "&amp;#REF!&amp;" is more than F05-10"&amp;CHAR(10),""),IF(T327&gt;T326," * F05-11 for Age "&amp;#REF!&amp;" "&amp;#REF!&amp;" is more than F05-10"&amp;CHAR(10),""),IF(U327&gt;U326," * F05-11 for Age "&amp;#REF!&amp;" "&amp;#REF!&amp;" is more than F05-10"&amp;CHAR(10),""),IF(V327&gt;V326," * F05-11 for Age "&amp;#REF!&amp;" "&amp;#REF!&amp;" is more than F05-10"&amp;CHAR(10),""),IF(W327&gt;W326," * F05-11 for Age "&amp;#REF!&amp;" "&amp;#REF!&amp;" is more than F05-10"&amp;CHAR(10),""),IF(X327&gt;X326," * F05-11 for Age "&amp;#REF!&amp;" "&amp;#REF!&amp;" is more than F05-10"&amp;CHAR(10),""),IF(Y327&gt;Y326," * F05-11 for Age "&amp;#REF!&amp;" "&amp;#REF!&amp;" is more than F05-10"&amp;CHAR(10),""),IF(Z327&gt;Z326," * F05-11 for Age "&amp;#REF!&amp;" "&amp;#REF!&amp;" is more than F05-10"&amp;CHAR(10),""),IF(AA327&gt;AA326," * F05-11 for Age "&amp;#REF!&amp;" "&amp;#REF!&amp;" is more than F05-10"&amp;CHAR(10),""),IF(AJ327&gt;AJ326," * Total F05-11 is more than Total F05-10"&amp;CHAR(10),""))</f>
        <v/>
      </c>
      <c r="AL326" s="81"/>
      <c r="AM326" s="136"/>
      <c r="AN326" s="663"/>
      <c r="AO326" s="330">
        <v>187</v>
      </c>
      <c r="AQ326" s="1045"/>
      <c r="AR326" s="1045"/>
      <c r="AS326" s="1045"/>
    </row>
    <row r="327" spans="1:45" s="4" customFormat="1" ht="31.5" thickBot="1" x14ac:dyDescent="0.65">
      <c r="A327" s="862"/>
      <c r="B327" s="798" t="s">
        <v>701</v>
      </c>
      <c r="C327" s="127" t="s">
        <v>107</v>
      </c>
      <c r="D327" s="676"/>
      <c r="E327" s="677"/>
      <c r="F327" s="677"/>
      <c r="G327" s="677"/>
      <c r="H327" s="677"/>
      <c r="I327" s="677"/>
      <c r="J327" s="677"/>
      <c r="K327" s="677"/>
      <c r="L327" s="677"/>
      <c r="M327" s="677"/>
      <c r="N327" s="677"/>
      <c r="O327" s="677"/>
      <c r="P327" s="677"/>
      <c r="Q327" s="677"/>
      <c r="R327" s="677"/>
      <c r="S327" s="677"/>
      <c r="T327" s="677"/>
      <c r="U327" s="677"/>
      <c r="V327" s="677"/>
      <c r="W327" s="677"/>
      <c r="X327" s="677"/>
      <c r="Y327" s="677"/>
      <c r="Z327" s="677"/>
      <c r="AA327" s="678"/>
      <c r="AB327" s="334"/>
      <c r="AC327" s="334"/>
      <c r="AD327" s="334"/>
      <c r="AE327" s="334"/>
      <c r="AF327" s="334"/>
      <c r="AG327" s="334"/>
      <c r="AH327" s="334"/>
      <c r="AI327" s="334"/>
      <c r="AJ327" s="260">
        <f t="shared" si="204"/>
        <v>0</v>
      </c>
      <c r="AK327" s="374" t="str">
        <f>CONCATENATE(IF(D328&gt;D326," * SGBV Presenting within 72 Hours for Age "&amp;#REF!&amp;" "&amp;#REF!&amp;" is more than Number Tested For HIV"&amp;CHAR(10),""),IF(E328&gt;E326," * SGBV Presenting within 72 Hours for Age "&amp;#REF!&amp;" "&amp;#REF!&amp;" is more than Number Tested For HIV"&amp;CHAR(10),""),IF(F328&gt;F326," * SGBV Presenting within 72 Hours for Age "&amp;#REF!&amp;" "&amp;#REF!&amp;" is more than Number Tested For HIV"&amp;CHAR(10),""),IF(G328&gt;G326," * SGBV Presenting within 72 Hours for Age "&amp;#REF!&amp;" "&amp;#REF!&amp;" is more than Number Tested For HIV"&amp;CHAR(10),""),IF(H328&gt;H326," * SGBV Presenting within 72 Hours for Age "&amp;#REF!&amp;" "&amp;#REF!&amp;" is more than Number Tested For HIV"&amp;CHAR(10),""),IF(I328&gt;I326," * SGBV Presenting within 72 Hours for Age "&amp;#REF!&amp;" "&amp;#REF!&amp;" is more than Number Tested For HIV"&amp;CHAR(10),""),IF(J328&gt;J326," * SGBV Presenting within 72 Hours for Age "&amp;#REF!&amp;" "&amp;#REF!&amp;" is more than Number Tested For HIV"&amp;CHAR(10),""),IF(K328&gt;K326," * SGBV Presenting within 72 Hours for Age "&amp;#REF!&amp;" "&amp;#REF!&amp;" is more than Number Tested For HIV"&amp;CHAR(10),""),IF(L328&gt;L326," * SGBV Presenting within 72 Hours for Age "&amp;#REF!&amp;" "&amp;#REF!&amp;" is more than Number Tested For HIV"&amp;CHAR(10),""),IF(M328&gt;M326," * SGBV Presenting within 72 Hours for Age "&amp;#REF!&amp;" "&amp;#REF!&amp;" is more than Number Tested For HIV"&amp;CHAR(10),""),IF(N328&gt;N326," * SGBV Presenting within 72 Hours for Age "&amp;#REF!&amp;" "&amp;#REF!&amp;" is more than Number Tested For HIV"&amp;CHAR(10),""),IF(O328&gt;O326," * SGBV Presenting within 72 Hours for Age "&amp;#REF!&amp;" "&amp;#REF!&amp;" is more than Number Tested For HIV"&amp;CHAR(10),""),IF(P328&gt;P326," * SGBV Presenting within 72 Hours for Age "&amp;#REF!&amp;" "&amp;#REF!&amp;" is more than Number Tested For HIV"&amp;CHAR(10),""),IF(Q328&gt;Q326," * SGBV Presenting within 72 Hours for Age "&amp;#REF!&amp;" "&amp;#REF!&amp;" is more than Number Tested For HIV"&amp;CHAR(10),""),IF(R328&gt;R326," * SGBV Presenting within 72 Hours for Age "&amp;#REF!&amp;" "&amp;#REF!&amp;" is more than Number Tested For HIV"&amp;CHAR(10),""),IF(S328&gt;S326," * SGBV Presenting within 72 Hours for Age "&amp;#REF!&amp;" "&amp;#REF!&amp;" is more than Number Tested For HIV"&amp;CHAR(10),""),IF(T328&gt;T326," * SGBV Presenting within 72 Hours for Age "&amp;#REF!&amp;" "&amp;#REF!&amp;" is more than Number Tested For HIV"&amp;CHAR(10),""),IF(U328&gt;U326," * SGBV Presenting within 72 Hours for Age "&amp;#REF!&amp;" "&amp;#REF!&amp;" is more than Number Tested For HIV"&amp;CHAR(10),""),IF(V328&gt;V326," * SGBV Presenting within 72 Hours for Age "&amp;#REF!&amp;" "&amp;#REF!&amp;" is more than Number Tested For HIV"&amp;CHAR(10),""),IF(W328&gt;W326," * SGBV Presenting within 72 Hours for Age "&amp;#REF!&amp;" "&amp;#REF!&amp;" is more than Number Tested For HIV"&amp;CHAR(10),""),IF(X328&gt;X326," * SGBV Presenting within 72 Hours for Age "&amp;#REF!&amp;" "&amp;#REF!&amp;" is more than Number Tested For HIV"&amp;CHAR(10),""),IF(Y328&gt;Y326," * SGBV Presenting within 72 Hours for Age "&amp;#REF!&amp;" "&amp;#REF!&amp;" is more than Number Tested For HIV"&amp;CHAR(10),""),IF(Z328&gt;Z326," * SGBV Presenting within 72 Hours for Age "&amp;#REF!&amp;" "&amp;#REF!&amp;" is more than Number Tested For HIV"&amp;CHAR(10),""),IF(AA328&gt;AA326," * SGBV Presenting within 72 Hours for Age "&amp;#REF!&amp;" "&amp;#REF!&amp;" is more than Number Tested For HIV"&amp;CHAR(10),""),IF(AJ328&gt;AJ326," * Total SGBV Presenting within 72 Hours is more than Total Number Tested For HIV"&amp;CHAR(10),""))</f>
        <v/>
      </c>
      <c r="AL327" s="81"/>
      <c r="AM327" s="136"/>
      <c r="AN327" s="663"/>
      <c r="AO327" s="330">
        <v>188</v>
      </c>
      <c r="AQ327" s="1045"/>
      <c r="AR327" s="1045"/>
      <c r="AS327" s="1045"/>
    </row>
    <row r="328" spans="1:45" x14ac:dyDescent="0.6">
      <c r="A328" s="862"/>
      <c r="B328" s="799" t="s">
        <v>627</v>
      </c>
      <c r="C328" s="127" t="s">
        <v>552</v>
      </c>
      <c r="D328" s="670"/>
      <c r="E328" s="671"/>
      <c r="F328" s="671"/>
      <c r="G328" s="671"/>
      <c r="H328" s="671"/>
      <c r="I328" s="671"/>
      <c r="J328" s="671"/>
      <c r="K328" s="671"/>
      <c r="L328" s="671"/>
      <c r="M328" s="671"/>
      <c r="N328" s="671"/>
      <c r="O328" s="671"/>
      <c r="P328" s="671"/>
      <c r="Q328" s="671"/>
      <c r="R328" s="671"/>
      <c r="S328" s="671"/>
      <c r="T328" s="671"/>
      <c r="U328" s="671"/>
      <c r="V328" s="671"/>
      <c r="W328" s="671"/>
      <c r="X328" s="671"/>
      <c r="Y328" s="671"/>
      <c r="Z328" s="671"/>
      <c r="AA328" s="672"/>
      <c r="AB328" s="334"/>
      <c r="AC328" s="334"/>
      <c r="AD328" s="334"/>
      <c r="AE328" s="334"/>
      <c r="AF328" s="334"/>
      <c r="AG328" s="334"/>
      <c r="AH328" s="334"/>
      <c r="AI328" s="334"/>
      <c r="AJ328" s="260">
        <f>SUM(D328:AA328)</f>
        <v>0</v>
      </c>
      <c r="AK328" s="349"/>
      <c r="AL328" s="81"/>
      <c r="AM328" s="136"/>
      <c r="AN328" s="663"/>
      <c r="AO328" s="330">
        <v>181</v>
      </c>
    </row>
    <row r="329" spans="1:45" x14ac:dyDescent="0.6">
      <c r="A329" s="862"/>
      <c r="B329" s="799" t="s">
        <v>628</v>
      </c>
      <c r="C329" s="127" t="s">
        <v>83</v>
      </c>
      <c r="D329" s="679"/>
      <c r="E329" s="680"/>
      <c r="F329" s="680"/>
      <c r="G329" s="680"/>
      <c r="H329" s="680"/>
      <c r="I329" s="680"/>
      <c r="J329" s="680"/>
      <c r="K329" s="680"/>
      <c r="L329" s="680"/>
      <c r="M329" s="680"/>
      <c r="N329" s="680"/>
      <c r="O329" s="680"/>
      <c r="P329" s="680"/>
      <c r="Q329" s="680"/>
      <c r="R329" s="680"/>
      <c r="S329" s="680"/>
      <c r="T329" s="680"/>
      <c r="U329" s="680"/>
      <c r="V329" s="680"/>
      <c r="W329" s="680"/>
      <c r="X329" s="680"/>
      <c r="Y329" s="680"/>
      <c r="Z329" s="680"/>
      <c r="AA329" s="681"/>
      <c r="AB329" s="334"/>
      <c r="AC329" s="334"/>
      <c r="AD329" s="334"/>
      <c r="AE329" s="334"/>
      <c r="AF329" s="334"/>
      <c r="AG329" s="334"/>
      <c r="AH329" s="334"/>
      <c r="AI329" s="334"/>
      <c r="AJ329" s="260">
        <f>SUM(D329:AA329)</f>
        <v>0</v>
      </c>
      <c r="AK329" s="374" t="str">
        <f>CONCATENATE(IF(D328&lt;D329," * SGBV Survivors Presenting within 72 hours  for Age "&amp;D5&amp;" "&amp;D6&amp;" should not be more than Sexual Rape Survivors"&amp;CHAR(10),""),IF(E328&lt;E329," * SGBV Survivors Presenting within 72 hours  for Age "&amp;D5&amp;" "&amp;E6&amp;" should not be more than Sexual Rape Survivors"&amp;CHAR(10),""),IF(F328&lt;F329," * SGBV Survivors Presenting within 72 hours  for Age "&amp;F5&amp;" "&amp;F6&amp;" should not be more than Sexual Rape Survivors"&amp;CHAR(10),""),IF(G328&lt;G329," * SGBV Survivors Presenting within 72 hours  for Age "&amp;F5&amp;" "&amp;G6&amp;" should not be more than Sexual Rape Survivors"&amp;CHAR(10),""),IF(H328&lt;H329," * SGBV Survivors Presenting within 72 hours  for Age "&amp;H5&amp;" "&amp;H6&amp;" should not be more than Sexual Rape Survivors"&amp;CHAR(10),""),IF(I328&lt;I329," * SGBV Survivors Presenting within 72 hours  for Age "&amp;H5&amp;" "&amp;I6&amp;" should not be more than Sexual Rape Survivors"&amp;CHAR(10),""),IF(J328&lt;J329," * SGBV Survivors Presenting within 72 hours  for Age "&amp;J5&amp;" "&amp;J6&amp;" should not be more than Sexual Rape Survivors"&amp;CHAR(10),""),IF(K328&lt;K329," * SGBV Survivors Presenting within 72 hours  for Age "&amp;J5&amp;" "&amp;K6&amp;" should not be more than Sexual Rape Survivors"&amp;CHAR(10),""),IF(L328&lt;L329," * SGBV Survivors Presenting within 72 hours  for Age "&amp;L5&amp;" "&amp;L6&amp;" should not be more than Sexual Rape Survivors"&amp;CHAR(10),""),IF(M328&lt;M329," * SGBV Survivors Presenting within 72 hours  for Age "&amp;L5&amp;" "&amp;M6&amp;" should not be more than Sexual Rape Survivors"&amp;CHAR(10),""),IF(N328&lt;N329," * SGBV Survivors Presenting within 72 hours  for Age "&amp;N5&amp;" "&amp;N6&amp;" should not be more than Sexual Rape Survivors"&amp;CHAR(10),""),IF(O328&lt;O329," * SGBV Survivors Presenting within 72 hours  for Age "&amp;N5&amp;" "&amp;O6&amp;" should not be more than Sexual Rape Survivors"&amp;CHAR(10),""),IF(P328&lt;P329," * SGBV Survivors Presenting within 72 hours  for Age "&amp;P5&amp;" "&amp;P6&amp;" should not be more than Sexual Rape Survivors"&amp;CHAR(10),""),IF(Q328&lt;Q329," * SGBV Survivors Presenting within 72 hours  for Age "&amp;P5&amp;" "&amp;Q6&amp;" should not be more than Sexual Rape Survivors"&amp;CHAR(10),""),IF(R328&lt;R329," * SGBV Survivors Presenting within 72 hours  for Age "&amp;R5&amp;" "&amp;R6&amp;" should not be more than Sexual Rape Survivors"&amp;CHAR(10),""),IF(S328&lt;S329," * SGBV Survivors Presenting within 72 hours  for Age "&amp;R5&amp;" "&amp;S6&amp;" should not be more than Sexual Rape Survivors"&amp;CHAR(10),""),IF(T328&lt;T329," * SGBV Survivors Presenting within 72 hours  for Age "&amp;T5&amp;" "&amp;T6&amp;" should not be more than Sexual Rape Survivors"&amp;CHAR(10),""),IF(U328&lt;U329," * SGBV Survivors Presenting within 72 hours  for Age "&amp;T5&amp;" "&amp;U6&amp;" should not be more than Sexual Rape Survivors"&amp;CHAR(10),""),IF(V328&lt;V329," * SGBV Survivors Presenting within 72 hours  for Age "&amp;V5&amp;" "&amp;V6&amp;" should not be more than Sexual Rape Survivors"&amp;CHAR(10),""),IF(W328&lt;W329," * SGBV Survivors Presenting within 72 hours  for Age "&amp;V5&amp;" "&amp;W6&amp;" should not be more than Sexual Rape Survivors"&amp;CHAR(10),""),IF(X328&lt;X329," * SGBV Survivors Presenting within 72 hours  for Age "&amp;X5&amp;" "&amp;X6&amp;" should not be more than Sexual Rape Survivors"&amp;CHAR(10),""),IF(Y328&lt;Y329," * SGBV Survivors Presenting within 72 hours  for Age "&amp;X5&amp;" "&amp;Y6&amp;" should not be more than Sexual Rape Survivors"&amp;CHAR(10),""),IF(Z328&lt;Z329," * SGBV Survivors Presenting within 72 hours  for Age "&amp;Z5&amp;" "&amp;Z6&amp;" should not be more than Sexual Rape Survivors"&amp;CHAR(10),""),IF(AA328&lt;AA329," * SGBV Survivors Presenting within 72 hours  for Age "&amp;Z5&amp;" "&amp;AA6&amp;" should not be more than Sexual Rape Survivors"&amp;CHAR(10),""))</f>
        <v/>
      </c>
      <c r="AL329" s="81"/>
      <c r="AM329" s="136"/>
      <c r="AN329" s="663"/>
      <c r="AO329" s="330">
        <v>179</v>
      </c>
    </row>
    <row r="330" spans="1:45" x14ac:dyDescent="0.6">
      <c r="A330" s="862"/>
      <c r="B330" s="799" t="s">
        <v>629</v>
      </c>
      <c r="C330" s="127" t="s">
        <v>553</v>
      </c>
      <c r="D330" s="208"/>
      <c r="E330" s="671"/>
      <c r="F330" s="209"/>
      <c r="G330" s="671"/>
      <c r="H330" s="209"/>
      <c r="I330" s="671"/>
      <c r="J330" s="209"/>
      <c r="K330" s="671"/>
      <c r="L330" s="209"/>
      <c r="M330" s="671"/>
      <c r="N330" s="209"/>
      <c r="O330" s="671"/>
      <c r="P330" s="209"/>
      <c r="Q330" s="671"/>
      <c r="R330" s="209"/>
      <c r="S330" s="671"/>
      <c r="T330" s="209"/>
      <c r="U330" s="671"/>
      <c r="V330" s="209"/>
      <c r="W330" s="671"/>
      <c r="X330" s="209"/>
      <c r="Y330" s="671"/>
      <c r="Z330" s="209"/>
      <c r="AA330" s="672"/>
      <c r="AB330" s="334"/>
      <c r="AC330" s="334"/>
      <c r="AD330" s="334"/>
      <c r="AE330" s="334"/>
      <c r="AF330" s="334"/>
      <c r="AG330" s="334"/>
      <c r="AH330" s="334"/>
      <c r="AI330" s="334"/>
      <c r="AJ330" s="260">
        <f t="shared" ref="AJ330" si="205">SUM(D330:AA330)</f>
        <v>0</v>
      </c>
      <c r="AK330" s="349" t="str">
        <f>CONCATENATE(IF(D330&gt;D329," * SGBV Survivors Presenting within 120 hours  for Age "&amp;D5&amp;" "&amp;D6&amp;" should not be more than Sexual Rape Survivors"&amp;CHAR(10),""),IF(E330&gt;E329," * SGBV Survivors Presenting within 120 hours  for Age "&amp;D5&amp;" "&amp;E6&amp;" should not be more than Sexual Rape Survivors"&amp;CHAR(10),""),IF(F330&gt;F329," * SGBV Survivors Presenting within 120 hours  for Age "&amp;F5&amp;" "&amp;F6&amp;" should not be more than Sexual Rape Survivors"&amp;CHAR(10),""),IF(G330&gt;G329," * SGBV Survivors Presenting within 120 hours  for Age "&amp;F5&amp;" "&amp;G6&amp;" should not be more than Sexual Rape Survivors"&amp;CHAR(10),""),IF(H330&gt;H329," * SGBV Survivors Presenting within 120 hours  for Age "&amp;H5&amp;" "&amp;H6&amp;" should not be more than Sexual Rape Survivors"&amp;CHAR(10),""),IF(I330&gt;I329," * SGBV Survivors Presenting within 120 hours  for Age "&amp;H5&amp;" "&amp;I6&amp;" should not be more than Sexual Rape Survivors"&amp;CHAR(10),""),IF(J330&gt;J329," * SGBV Survivors Presenting within 120 hours  for Age "&amp;J5&amp;" "&amp;J6&amp;" should not be more than Sexual Rape Survivors"&amp;CHAR(10),""),IF(K330&gt;K329," * SGBV Survivors Presenting within 120 hours  for Age "&amp;J5&amp;" "&amp;K6&amp;" should not be more than Sexual Rape Survivors"&amp;CHAR(10),""),IF(L330&gt;L329," * SGBV Survivors Presenting within 120 hours  for Age "&amp;L5&amp;" "&amp;L6&amp;" should not be more than Sexual Rape Survivors"&amp;CHAR(10),""),IF(M330&gt;M329," * SGBV Survivors Presenting within 120 hours  for Age "&amp;L5&amp;" "&amp;M6&amp;" should not be more than Sexual Rape Survivors"&amp;CHAR(10),""),IF(N330&gt;N329," * SGBV Survivors Presenting within 120 hours  for Age "&amp;N5&amp;" "&amp;N6&amp;" should not be more than Sexual Rape Survivors"&amp;CHAR(10),""),IF(O330&gt;O329," * SGBV Survivors Presenting within 120 hours  for Age "&amp;N5&amp;" "&amp;O6&amp;" should not be more than Sexual Rape Survivors"&amp;CHAR(10),""),IF(P330&gt;P329," * SGBV Survivors Presenting within 120 hours  for Age "&amp;P5&amp;" "&amp;P6&amp;" should not be more than Sexual Rape Survivors"&amp;CHAR(10),""),IF(Q330&gt;Q329," * SGBV Survivors Presenting within 120 hours  for Age "&amp;P5&amp;" "&amp;Q6&amp;" should not be more than Sexual Rape Survivors"&amp;CHAR(10),""),IF(R330&gt;R329," * SGBV Survivors Presenting within 120 hours  for Age "&amp;R5&amp;" "&amp;R6&amp;" should not be more than Sexual Rape Survivors"&amp;CHAR(10),""),IF(S330&gt;S329," * SGBV Survivors Presenting within 120 hours  for Age "&amp;R5&amp;" "&amp;S6&amp;" should not be more than Sexual Rape Survivors"&amp;CHAR(10),""),IF(T330&gt;T329," * SGBV Survivors Presenting within 120 hours  for Age "&amp;T5&amp;" "&amp;T6&amp;" should not be more than Sexual Rape Survivors"&amp;CHAR(10),""),IF(U330&gt;U329," * SGBV Survivors Presenting within 120 hours  for Age "&amp;T5&amp;" "&amp;U6&amp;" should not be more than Sexual Rape Survivors"&amp;CHAR(10),""),IF(V330&gt;V329," * SGBV Survivors Presenting within 120 hours  for Age "&amp;V5&amp;" "&amp;V6&amp;" should not be more than Sexual Rape Survivors"&amp;CHAR(10),""),IF(W330&gt;W329," * SGBV Survivors Presenting within 120 hours  for Age "&amp;V5&amp;" "&amp;W6&amp;" should not be more than Sexual Rape Survivors"&amp;CHAR(10),""),IF(X330&gt;X329," * SGBV Survivors Presenting within 120 hours  for Age "&amp;X5&amp;" "&amp;X6&amp;" should not be more than Sexual Rape Survivors"&amp;CHAR(10),""),IF(Y330&gt;Y329," * SGBV Survivors Presenting within 120 hours  for Age "&amp;X5&amp;" "&amp;Y6&amp;" should not be more than Sexual Rape Survivors"&amp;CHAR(10),""),IF(Z330&gt;Z329," * SGBV Survivors Presenting within 120 hours  for Age "&amp;Z5&amp;" "&amp;Z6&amp;" should not be more than Sexual Rape Survivors"&amp;CHAR(10),""),IF(AA330&gt;AA329," * SGBV Survivors Presenting within 120 hours  for Age "&amp;Z5&amp;" "&amp;AA6&amp;" should not be more than Sexual Rape Survivors"&amp;CHAR(10),""))</f>
        <v/>
      </c>
      <c r="AL330" s="81"/>
      <c r="AM330" s="136"/>
      <c r="AN330" s="663"/>
      <c r="AO330" s="330">
        <v>181</v>
      </c>
    </row>
    <row r="331" spans="1:45" s="4" customFormat="1" ht="56.25" x14ac:dyDescent="0.6">
      <c r="A331" s="862"/>
      <c r="B331" s="799" t="s">
        <v>630</v>
      </c>
      <c r="C331" s="127" t="s">
        <v>104</v>
      </c>
      <c r="D331" s="208"/>
      <c r="E331" s="209"/>
      <c r="F331" s="209"/>
      <c r="G331" s="209"/>
      <c r="H331" s="209"/>
      <c r="I331" s="209"/>
      <c r="J331" s="209"/>
      <c r="K331" s="674"/>
      <c r="L331" s="209"/>
      <c r="M331" s="674"/>
      <c r="N331" s="209"/>
      <c r="O331" s="674"/>
      <c r="P331" s="209"/>
      <c r="Q331" s="674"/>
      <c r="R331" s="209"/>
      <c r="S331" s="674"/>
      <c r="T331" s="209"/>
      <c r="U331" s="674"/>
      <c r="V331" s="209"/>
      <c r="W331" s="674"/>
      <c r="X331" s="209"/>
      <c r="Y331" s="674"/>
      <c r="Z331" s="209"/>
      <c r="AA331" s="675"/>
      <c r="AB331" s="334"/>
      <c r="AC331" s="334"/>
      <c r="AD331" s="334"/>
      <c r="AE331" s="334"/>
      <c r="AF331" s="334"/>
      <c r="AG331" s="334"/>
      <c r="AH331" s="334"/>
      <c r="AI331" s="334"/>
      <c r="AJ331" s="260">
        <f>SUM(D331:AA331)</f>
        <v>0</v>
      </c>
      <c r="AK331" s="374" t="str">
        <f>CONCATENATE(IF(D331&gt;D325," * Given Emergency Contraceptive Pill for Age "&amp;D6&amp;" "&amp;D7&amp;" is more than Sexual Violence Rape Survivors"&amp;CHAR(10),""),IF(E331&gt;E325," * Given Emergency Contraceptive Pill for Age "&amp;D6&amp;" "&amp;E7&amp;" is more than Sexual Violence Rape Survivors"&amp;CHAR(10),""),IF(F331&gt;F325," * Given Emergency Contraceptive Pill for Age "&amp;F6&amp;" "&amp;F7&amp;" is more than Sexual Violence Rape Survivors"&amp;CHAR(10),""),IF(G331&gt;G325," * Given Emergency Contraceptive Pill for Age "&amp;F6&amp;" "&amp;G7&amp;" is more than Sexual Violence Rape Survivors"&amp;CHAR(10),""),IF(H331&gt;H325," * Given Emergency Contraceptive Pill for Age "&amp;H6&amp;" "&amp;H7&amp;" is more than Sexual Violence Rape Survivors"&amp;CHAR(10),""),IF(I331&gt;I325," * Given Emergency Contraceptive Pill for Age "&amp;H6&amp;" "&amp;I7&amp;" is more than Sexual Violence Rape Survivors"&amp;CHAR(10),""),IF(J331&gt;J325," * Given Emergency Contraceptive Pill for Age "&amp;J6&amp;" "&amp;J7&amp;" is more than Sexual Violence Rape Survivors"&amp;CHAR(10),""),IF(K331&gt;K325," * Given Emergency Contraceptive Pill for Age "&amp;J6&amp;" "&amp;K7&amp;" is more than Sexual Violence Rape Survivors"&amp;CHAR(10),""),IF(L331&gt;L325," * Given Emergency Contraceptive Pill for Age "&amp;L6&amp;" "&amp;L7&amp;" is more than Sexual Violence Rape Survivors"&amp;CHAR(10),""),IF(M331&gt;M325," * Given Emergency Contraceptive Pill for Age "&amp;L6&amp;" "&amp;M7&amp;" is more than Sexual Violence Rape Survivors"&amp;CHAR(10),""),IF(N331&gt;N325," * Given Emergency Contraceptive Pill for Age "&amp;N6&amp;" "&amp;N7&amp;" is more than Sexual Violence Rape Survivors"&amp;CHAR(10),""),IF(O331&gt;O325," * Given Emergency Contraceptive Pill for Age "&amp;N6&amp;" "&amp;O7&amp;" is more than Sexual Violence Rape Survivors"&amp;CHAR(10),""),IF(P331&gt;P325," * Given Emergency Contraceptive Pill for Age "&amp;P6&amp;" "&amp;P7&amp;" is more than Sexual Violence Rape Survivors"&amp;CHAR(10),""),IF(Q331&gt;Q325," * Given Emergency Contraceptive Pill for Age "&amp;P6&amp;" "&amp;Q7&amp;" is more than Sexual Violence Rape Survivors"&amp;CHAR(10),""),IF(R331&gt;R325," * Given Emergency Contraceptive Pill for Age "&amp;R6&amp;" "&amp;R7&amp;" is more than Sexual Violence Rape Survivors"&amp;CHAR(10),""),IF(S331&gt;S325," * Given Emergency Contraceptive Pill for Age "&amp;R6&amp;" "&amp;S7&amp;" is more than Sexual Violence Rape Survivors"&amp;CHAR(10),""),IF(T331&gt;T325," * Given Emergency Contraceptive Pill for Age "&amp;T6&amp;" "&amp;T7&amp;" is more than Sexual Violence Rape Survivors"&amp;CHAR(10),""),IF(U331&gt;U325," * Given Emergency Contraceptive Pill for Age "&amp;T6&amp;" "&amp;U7&amp;" is more than Sexual Violence Rape Survivors"&amp;CHAR(10),""),IF(V331&gt;V325," * Given Emergency Contraceptive Pill for Age "&amp;V6&amp;" "&amp;V7&amp;" is more than Sexual Violence Rape Survivors"&amp;CHAR(10),""),IF(W331&gt;W325," * Given Emergency Contraceptive Pill for Age "&amp;V6&amp;" "&amp;W7&amp;" is more than Sexual Violence Rape Survivors"&amp;CHAR(10),""),IF(X331&gt;X325," * Given Emergency Contraceptive Pill for Age "&amp;X6&amp;" "&amp;X7&amp;" is more than Sexual Violence Rape Survivors"&amp;CHAR(10),""),IF(Y331&gt;Y325," * Given Emergency Contraceptive Pill for Age "&amp;X6&amp;" "&amp;Y7&amp;" is more than Sexual Violence Rape Survivors"&amp;CHAR(10),""),IF(Z331&gt;Z325," * Given Emergency Contraceptive Pill for Age "&amp;Z6&amp;" "&amp;Z7&amp;" is more than Sexual Violence Rape Survivors"&amp;CHAR(10),""),IF(AA331&gt;AA325," * Given Emergency Contraceptive Pill for Age "&amp;Z6&amp;" "&amp;AA7&amp;" is more than Sexual Violence Rape Survivors"&amp;CHAR(10),""))</f>
        <v/>
      </c>
      <c r="AL331" s="81"/>
      <c r="AM331" s="136"/>
      <c r="AN331" s="663"/>
      <c r="AO331" s="330">
        <v>185</v>
      </c>
      <c r="AQ331" s="1045"/>
      <c r="AR331" s="1045"/>
      <c r="AS331" s="1045"/>
    </row>
    <row r="332" spans="1:45" s="4" customFormat="1" ht="56.25" x14ac:dyDescent="0.6">
      <c r="A332" s="862"/>
      <c r="B332" s="799" t="s">
        <v>631</v>
      </c>
      <c r="C332" s="127" t="s">
        <v>105</v>
      </c>
      <c r="D332" s="208"/>
      <c r="E332" s="209"/>
      <c r="F332" s="209"/>
      <c r="G332" s="209"/>
      <c r="H332" s="209"/>
      <c r="I332" s="209"/>
      <c r="J332" s="209"/>
      <c r="K332" s="682"/>
      <c r="L332" s="209"/>
      <c r="M332" s="682"/>
      <c r="N332" s="209"/>
      <c r="O332" s="682"/>
      <c r="P332" s="209"/>
      <c r="Q332" s="682"/>
      <c r="R332" s="209"/>
      <c r="S332" s="682"/>
      <c r="T332" s="209"/>
      <c r="U332" s="682"/>
      <c r="V332" s="209"/>
      <c r="W332" s="682"/>
      <c r="X332" s="209"/>
      <c r="Y332" s="682"/>
      <c r="Z332" s="209"/>
      <c r="AA332" s="683"/>
      <c r="AB332" s="334"/>
      <c r="AC332" s="334"/>
      <c r="AD332" s="334"/>
      <c r="AE332" s="334"/>
      <c r="AF332" s="334"/>
      <c r="AG332" s="334"/>
      <c r="AH332" s="334"/>
      <c r="AI332" s="334"/>
      <c r="AJ332" s="260">
        <f>SUM(D332:AA332)</f>
        <v>0</v>
      </c>
      <c r="AK332" s="374" t="str">
        <f>CONCATENATE(IF(D332&gt;D331," * Given Emergency Contraceptive Pill for Age "&amp;D6&amp;" "&amp;D7&amp;" is more than Eligible for Emergency Contraceptive Pill"&amp;CHAR(10),""),IF(E332&gt;E331," * Given Emergency Contraceptive Pill for Age "&amp;D6&amp;" "&amp;E7&amp;" is more than Eligible for Emergency Contraceptive Pill"&amp;CHAR(10),""),IF(F332&gt;F331," * Given Emergency Contraceptive Pill for Age "&amp;F6&amp;" "&amp;F7&amp;" is more than Eligible for Emergency Contraceptive Pill"&amp;CHAR(10),""),IF(G332&gt;G331," * Given Emergency Contraceptive Pill for Age "&amp;F6&amp;" "&amp;G7&amp;" is more than Eligible for Emergency Contraceptive Pill"&amp;CHAR(10),""),IF(H332&gt;H331," * Given Emergency Contraceptive Pill for Age "&amp;H6&amp;" "&amp;H7&amp;" is more than Eligible for Emergency Contraceptive Pill"&amp;CHAR(10),""),IF(I332&gt;I331," * Given Emergency Contraceptive Pill for Age "&amp;H6&amp;" "&amp;I7&amp;" is more than Eligible for Emergency Contraceptive Pill"&amp;CHAR(10),""),IF(J332&gt;J331," * Given Emergency Contraceptive Pill for Age "&amp;J6&amp;" "&amp;J7&amp;" is more than Eligible for Emergency Contraceptive Pill"&amp;CHAR(10),""),IF(K332&gt;K331," * Given Emergency Contraceptive Pill for Age "&amp;J6&amp;" "&amp;K7&amp;" is more than Eligible for Emergency Contraceptive Pill"&amp;CHAR(10),""),IF(L332&gt;L331," * Given Emergency Contraceptive Pill for Age "&amp;L6&amp;" "&amp;L7&amp;" is more than Eligible for Emergency Contraceptive Pill"&amp;CHAR(10),""),IF(M332&gt;M331," * Given Emergency Contraceptive Pill for Age "&amp;L6&amp;" "&amp;M7&amp;" is more than Eligible for Emergency Contraceptive Pill"&amp;CHAR(10),""),IF(N332&gt;N331," * Given Emergency Contraceptive Pill for Age "&amp;N6&amp;" "&amp;N7&amp;" is more than Eligible for Emergency Contraceptive Pill"&amp;CHAR(10),""),IF(O332&gt;O331," * Given Emergency Contraceptive Pill for Age "&amp;N6&amp;" "&amp;O7&amp;" is more than Eligible for Emergency Contraceptive Pill"&amp;CHAR(10),""),IF(P332&gt;P331," * Given Emergency Contraceptive Pill for Age "&amp;P6&amp;" "&amp;P7&amp;" is more than Eligible for Emergency Contraceptive Pill"&amp;CHAR(10),""),IF(Q332&gt;Q331," * Given Emergency Contraceptive Pill for Age "&amp;P6&amp;" "&amp;Q7&amp;" is more than Eligible for Emergency Contraceptive Pill"&amp;CHAR(10),""),IF(R332&gt;R331," * Given Emergency Contraceptive Pill for Age "&amp;R6&amp;" "&amp;R7&amp;" is more than Eligible for Emergency Contraceptive Pill"&amp;CHAR(10),""),IF(S332&gt;S331," * Given Emergency Contraceptive Pill for Age "&amp;R6&amp;" "&amp;S7&amp;" is more than Eligible for Emergency Contraceptive Pill"&amp;CHAR(10),""),IF(T332&gt;T331," * Given Emergency Contraceptive Pill for Age "&amp;T6&amp;" "&amp;T7&amp;" is more than Eligible for Emergency Contraceptive Pill"&amp;CHAR(10),""),IF(U332&gt;U331," * Given Emergency Contraceptive Pill for Age "&amp;T6&amp;" "&amp;U7&amp;" is more than Eligible for Emergency Contraceptive Pill"&amp;CHAR(10),""),IF(V332&gt;V331," * Given Emergency Contraceptive Pill for Age "&amp;V6&amp;" "&amp;V7&amp;" is more than Eligible for Emergency Contraceptive Pill"&amp;CHAR(10),""),IF(W332&gt;W331," * Given Emergency Contraceptive Pill for Age "&amp;V6&amp;" "&amp;W7&amp;" is more than Eligible for Emergency Contraceptive Pill"&amp;CHAR(10),""),IF(X332&gt;X331," * Given Emergency Contraceptive Pill for Age "&amp;X6&amp;" "&amp;X7&amp;" is more than Eligible for Emergency Contraceptive Pill"&amp;CHAR(10),""),IF(Y332&gt;Y331," * Given Emergency Contraceptive Pill for Age "&amp;X6&amp;" "&amp;Y7&amp;" is more than Eligible for Emergency Contraceptive Pill"&amp;CHAR(10),""),IF(Z332&gt;Z331," * Given Emergency Contraceptive Pill for Age "&amp;Z6&amp;" "&amp;Z7&amp;" is more than Eligible for Emergency Contraceptive Pill"&amp;CHAR(10),""),IF(AA332&gt;AA331," * Given Emergency Contraceptive Pill for Age "&amp;Z6&amp;" "&amp;AA7&amp;" is more than Eligible for Emergency Contraceptive Pill"&amp;CHAR(10),""))</f>
        <v/>
      </c>
      <c r="AL332" s="81"/>
      <c r="AM332" s="136"/>
      <c r="AN332" s="663"/>
      <c r="AO332" s="330">
        <v>186</v>
      </c>
      <c r="AQ332" s="1045"/>
      <c r="AR332" s="1045"/>
      <c r="AS332" s="1045"/>
    </row>
    <row r="333" spans="1:45" s="4" customFormat="1" x14ac:dyDescent="0.6">
      <c r="A333" s="862"/>
      <c r="B333" s="799" t="s">
        <v>632</v>
      </c>
      <c r="C333" s="127" t="s">
        <v>101</v>
      </c>
      <c r="D333" s="684"/>
      <c r="E333" s="620"/>
      <c r="F333" s="620"/>
      <c r="G333" s="620"/>
      <c r="H333" s="620"/>
      <c r="I333" s="620"/>
      <c r="J333" s="620"/>
      <c r="K333" s="620"/>
      <c r="L333" s="620"/>
      <c r="M333" s="620"/>
      <c r="N333" s="620"/>
      <c r="O333" s="620"/>
      <c r="P333" s="620"/>
      <c r="Q333" s="620"/>
      <c r="R333" s="620"/>
      <c r="S333" s="620"/>
      <c r="T333" s="620"/>
      <c r="U333" s="620"/>
      <c r="V333" s="620"/>
      <c r="W333" s="620"/>
      <c r="X333" s="620"/>
      <c r="Y333" s="620"/>
      <c r="Z333" s="620"/>
      <c r="AA333" s="685"/>
      <c r="AB333" s="334"/>
      <c r="AC333" s="334"/>
      <c r="AD333" s="334"/>
      <c r="AE333" s="334"/>
      <c r="AF333" s="334"/>
      <c r="AG333" s="334"/>
      <c r="AH333" s="334"/>
      <c r="AI333" s="334"/>
      <c r="AJ333" s="260">
        <f t="shared" ref="AJ333:AJ336" si="206">SUM(D333:AA333)</f>
        <v>0</v>
      </c>
      <c r="AK333" s="349" t="str">
        <f>CONCATENATE(IF(D333&gt;D325," * Total Rape Survivors for Age "&amp;D6&amp;" "&amp;D7&amp;" is less than Screened For STI"&amp;CHAR(10),""),IF(E333&gt;E325," * Total Rape Survivors for Age "&amp;D6&amp;" "&amp;E7&amp;" is less than Screened For STI"&amp;CHAR(10),""),IF(F333&gt;F325," * Total Rape Survivors for Age "&amp;F6&amp;" "&amp;F7&amp;" is less than Screened For STI"&amp;CHAR(10),""),IF(G333&gt;G325," * Total Rape Survivors for Age "&amp;F6&amp;" "&amp;G7&amp;" is less than Screened For STI"&amp;CHAR(10),""),IF(H333&gt;H325," * Total Rape Survivors for Age "&amp;H6&amp;" "&amp;H7&amp;" is less than Screened For STI"&amp;CHAR(10),""),IF(I333&gt;I325," * Total Rape Survivors for Age "&amp;H6&amp;" "&amp;I7&amp;" is less than Screened For STI"&amp;CHAR(10),""),IF(J333&gt;J325," * Total Rape Survivors for Age "&amp;J6&amp;" "&amp;J7&amp;" is less than Screened For STI"&amp;CHAR(10),""),IF(K333&gt;K325," * Total Rape Survivors for Age "&amp;J6&amp;" "&amp;K7&amp;" is less than Screened For STI"&amp;CHAR(10),""),IF(L333&gt;L325," * Total Rape Survivors for Age "&amp;L6&amp;" "&amp;L7&amp;" is less than Screened For STI"&amp;CHAR(10),""),IF(M333&gt;M325," * Total Rape Survivors for Age "&amp;L6&amp;" "&amp;M7&amp;" is less than Screened For STI"&amp;CHAR(10),""),IF(N333&gt;N325," * Total Rape Survivors for Age "&amp;N6&amp;" "&amp;N7&amp;" is less than Screened For STI"&amp;CHAR(10),""),IF(O333&gt;O325," * Total Rape Survivors for Age "&amp;N6&amp;" "&amp;O7&amp;" is less than Screened For STI"&amp;CHAR(10),""),IF(P333&gt;P325," * Total Rape Survivors for Age "&amp;P6&amp;" "&amp;P7&amp;" is less than Screened For STI"&amp;CHAR(10),""),IF(Q333&gt;Q325," * Total Rape Survivors for Age "&amp;P6&amp;" "&amp;Q7&amp;" is less than Screened For STI"&amp;CHAR(10),""),IF(R333&gt;R325," * Total Rape Survivors for Age "&amp;R6&amp;" "&amp;R7&amp;" is less than Screened For STI"&amp;CHAR(10),""),IF(S333&gt;S325," * Total Rape Survivors for Age "&amp;R6&amp;" "&amp;S7&amp;" is less than Screened For STI"&amp;CHAR(10),""),IF(T333&gt;T325," * Total Rape Survivors for Age "&amp;T6&amp;" "&amp;T7&amp;" is less than Screened For STI"&amp;CHAR(10),""),IF(U333&gt;U325," * Total Rape Survivors for Age "&amp;T6&amp;" "&amp;U7&amp;" is less than Screened For STI"&amp;CHAR(10),""),IF(V333&gt;V325," * Total Rape Survivors for Age "&amp;V6&amp;" "&amp;V7&amp;" is less than Screened For STI"&amp;CHAR(10),""),IF(W333&gt;W325," * Total Rape Survivors for Age "&amp;V6&amp;" "&amp;W7&amp;" is less than Screened For STI"&amp;CHAR(10),""),IF(X333&gt;X325," * Total Rape Survivors for Age "&amp;X6&amp;" "&amp;X7&amp;" is less than Screened For STI"&amp;CHAR(10),""),IF(Y333&gt;Y325," * Total Rape Survivors for Age "&amp;X6&amp;" "&amp;Y7&amp;" is less than Screened For STI"&amp;CHAR(10),""),IF(Z333&gt;Z325," * Total Rape Survivors for Age "&amp;Z6&amp;" "&amp;Z7&amp;" is less than Screened For STI"&amp;CHAR(10),""),IF(AA333&gt;AA325," * Total Rape Survivors for Age "&amp;Z6&amp;" "&amp;AA7&amp;" is less than Screened For STI"&amp;CHAR(10),""),IF(AJ333&gt;AJ325," * Total Total Rape Survivors is less than Total Screened For STI"&amp;CHAR(10),""))</f>
        <v/>
      </c>
      <c r="AL333" s="81"/>
      <c r="AM333" s="136"/>
      <c r="AN333" s="663"/>
      <c r="AO333" s="330">
        <v>182</v>
      </c>
      <c r="AQ333" s="1045"/>
      <c r="AR333" s="1045"/>
      <c r="AS333" s="1045"/>
    </row>
    <row r="334" spans="1:45" s="4" customFormat="1" x14ac:dyDescent="0.6">
      <c r="A334" s="862"/>
      <c r="B334" s="800" t="s">
        <v>633</v>
      </c>
      <c r="C334" s="127" t="s">
        <v>102</v>
      </c>
      <c r="D334" s="673"/>
      <c r="E334" s="686"/>
      <c r="F334" s="686"/>
      <c r="G334" s="686"/>
      <c r="H334" s="686"/>
      <c r="I334" s="686"/>
      <c r="J334" s="686"/>
      <c r="K334" s="686"/>
      <c r="L334" s="686"/>
      <c r="M334" s="686"/>
      <c r="N334" s="686"/>
      <c r="O334" s="686"/>
      <c r="P334" s="686"/>
      <c r="Q334" s="686"/>
      <c r="R334" s="686"/>
      <c r="S334" s="686"/>
      <c r="T334" s="686"/>
      <c r="U334" s="686"/>
      <c r="V334" s="686"/>
      <c r="W334" s="686"/>
      <c r="X334" s="686"/>
      <c r="Y334" s="686"/>
      <c r="Z334" s="686"/>
      <c r="AA334" s="687"/>
      <c r="AB334" s="334"/>
      <c r="AC334" s="334"/>
      <c r="AD334" s="334"/>
      <c r="AE334" s="334"/>
      <c r="AF334" s="334"/>
      <c r="AG334" s="334"/>
      <c r="AH334" s="334"/>
      <c r="AI334" s="334"/>
      <c r="AJ334" s="260">
        <f t="shared" si="206"/>
        <v>0</v>
      </c>
      <c r="AK334" s="374" t="str">
        <f>CONCATENATE(IF(D334&gt;D333," * Screened For STI for Age "&amp;D6&amp;" "&amp;D7&amp;" is more than Tested For STI"&amp;CHAR(10),""),IF(E334&gt;E333," * Screened For STI for Age "&amp;D6&amp;" "&amp;E7&amp;" is more than Tested For STI"&amp;CHAR(10),""),IF(F334&gt;F333," * Screened For STI for Age "&amp;F6&amp;" "&amp;F7&amp;" is more than Tested For STI"&amp;CHAR(10),""),IF(G334&gt;G333," * Screened For STI for Age "&amp;F6&amp;" "&amp;G7&amp;" is more than Tested For STI"&amp;CHAR(10),""),IF(H334&gt;H333," * Screened For STI for Age "&amp;H6&amp;" "&amp;H7&amp;" is more than Tested For STI"&amp;CHAR(10),""),IF(I334&gt;I333," * Screened For STI for Age "&amp;H6&amp;" "&amp;I7&amp;" is more than Tested For STI"&amp;CHAR(10),""),IF(J334&gt;J333," * Screened For STI for Age "&amp;J6&amp;" "&amp;J7&amp;" is more than Tested For STI"&amp;CHAR(10),""),IF(K334&gt;K333," * Screened For STI for Age "&amp;J6&amp;" "&amp;K7&amp;" is more than Tested For STI"&amp;CHAR(10),""),IF(L334&gt;L333," * Screened For STI for Age "&amp;L6&amp;" "&amp;L7&amp;" is more than Tested For STI"&amp;CHAR(10),""),IF(M334&gt;M333," * Screened For STI for Age "&amp;L6&amp;" "&amp;M7&amp;" is more than Tested For STI"&amp;CHAR(10),""),IF(N334&gt;N333," * Screened For STI for Age "&amp;N6&amp;" "&amp;N7&amp;" is more than Tested For STI"&amp;CHAR(10),""),IF(O334&gt;O333," * Screened For STI for Age "&amp;N6&amp;" "&amp;O7&amp;" is more than Tested For STI"&amp;CHAR(10),""),IF(P334&gt;P333," * Screened For STI for Age "&amp;P6&amp;" "&amp;P7&amp;" is more than Tested For STI"&amp;CHAR(10),""),IF(Q334&gt;Q333," * Screened For STI for Age "&amp;P6&amp;" "&amp;Q7&amp;" is more than Tested For STI"&amp;CHAR(10),""),IF(R334&gt;R333," * Screened For STI for Age "&amp;R6&amp;" "&amp;R7&amp;" is more than Tested For STI"&amp;CHAR(10),""),IF(S334&gt;S333," * Screened For STI for Age "&amp;R6&amp;" "&amp;S7&amp;" is more than Tested For STI"&amp;CHAR(10),""),IF(T334&gt;T333," * Screened For STI for Age "&amp;T6&amp;" "&amp;T7&amp;" is more than Tested For STI"&amp;CHAR(10),""),IF(U334&gt;U333," * Screened For STI for Age "&amp;T6&amp;" "&amp;U7&amp;" is more than Tested For STI"&amp;CHAR(10),""),IF(V334&gt;V333," * Screened For STI for Age "&amp;V6&amp;" "&amp;V7&amp;" is more than Tested For STI"&amp;CHAR(10),""),IF(W334&gt;W333," * Screened For STI for Age "&amp;V6&amp;" "&amp;W7&amp;" is more than Tested For STI"&amp;CHAR(10),""),IF(X334&gt;X333," * Screened For STI for Age "&amp;X6&amp;" "&amp;X7&amp;" is more than Tested For STI"&amp;CHAR(10),""),IF(Y334&gt;Y333," * Screened For STI for Age "&amp;X6&amp;" "&amp;Y7&amp;" is more than Tested For STI"&amp;CHAR(10),""),IF(Z334&gt;Z333," * Screened For STI for Age "&amp;Z6&amp;" "&amp;Z7&amp;" is more than Tested For STI"&amp;CHAR(10),""),IF(AA334&gt;AA333," * Screened For STI for Age "&amp;AA6&amp;" "&amp;AA7&amp;" is more than Tested For STI"&amp;CHAR(10),""))</f>
        <v/>
      </c>
      <c r="AL334" s="81"/>
      <c r="AM334" s="136"/>
      <c r="AN334" s="663"/>
      <c r="AO334" s="330">
        <v>183</v>
      </c>
      <c r="AQ334" s="1045"/>
      <c r="AR334" s="1045"/>
      <c r="AS334" s="1045"/>
    </row>
    <row r="335" spans="1:45" s="4" customFormat="1" x14ac:dyDescent="0.6">
      <c r="A335" s="862"/>
      <c r="B335" s="800" t="s">
        <v>634</v>
      </c>
      <c r="C335" s="127" t="s">
        <v>564</v>
      </c>
      <c r="D335" s="673"/>
      <c r="E335" s="686"/>
      <c r="F335" s="686"/>
      <c r="G335" s="686"/>
      <c r="H335" s="686"/>
      <c r="I335" s="686"/>
      <c r="J335" s="686"/>
      <c r="K335" s="686"/>
      <c r="L335" s="686"/>
      <c r="M335" s="686"/>
      <c r="N335" s="686"/>
      <c r="O335" s="686"/>
      <c r="P335" s="686"/>
      <c r="Q335" s="686"/>
      <c r="R335" s="686"/>
      <c r="S335" s="686"/>
      <c r="T335" s="686"/>
      <c r="U335" s="686"/>
      <c r="V335" s="686"/>
      <c r="W335" s="686"/>
      <c r="X335" s="686"/>
      <c r="Y335" s="686"/>
      <c r="Z335" s="686"/>
      <c r="AA335" s="687"/>
      <c r="AB335" s="334"/>
      <c r="AC335" s="334"/>
      <c r="AD335" s="334"/>
      <c r="AE335" s="334"/>
      <c r="AF335" s="334"/>
      <c r="AG335" s="334"/>
      <c r="AH335" s="334"/>
      <c r="AI335" s="334"/>
      <c r="AJ335" s="260">
        <f t="shared" ref="AJ335" si="207">SUM(D335:AA335)</f>
        <v>0</v>
      </c>
      <c r="AK335" s="374" t="str">
        <f>CONCATENATE(IF(D335&gt;D334," * Tested Positive for STI for Age "&amp;D7&amp;" "&amp;D8&amp;" is more than Tested For STI"&amp;CHAR(10),""),IF(E335&gt;E334," * Screened For STI for Age "&amp;D7&amp;" "&amp;E8&amp;" is more than Tested For STI"&amp;CHAR(10),""),IF(F335&gt;F334," * Screened For STI for Age "&amp;F7&amp;" "&amp;F8&amp;" is more than Tested For STI"&amp;CHAR(10),""),IF(G335&gt;G334," * Screened For STI for Age "&amp;F7&amp;" "&amp;G8&amp;" is more than Tested For STI"&amp;CHAR(10),""),IF(H335&gt;H334," * Screened For STI for Age "&amp;H7&amp;" "&amp;H8&amp;" is more than Tested For STI"&amp;CHAR(10),""),IF(I335&gt;I334," * Screened For STI for Age "&amp;H7&amp;" "&amp;I8&amp;" is more than Tested For STI"&amp;CHAR(10),""),IF(J335&gt;J334," * Screened For STI for Age "&amp;J7&amp;" "&amp;J8&amp;" is more than Tested For STI"&amp;CHAR(10),""),IF(K335&gt;K334," * Screened For STI for Age "&amp;J7&amp;" "&amp;K8&amp;" is more than Tested For STI"&amp;CHAR(10),""),IF(L335&gt;L334," * Screened For STI for Age "&amp;L7&amp;" "&amp;L8&amp;" is more than Tested For STI"&amp;CHAR(10),""),IF(M335&gt;M334," * Screened For STI for Age "&amp;L7&amp;" "&amp;M8&amp;" is more than Tested For STI"&amp;CHAR(10),""),IF(N335&gt;N334," * Screened For STI for Age "&amp;N7&amp;" "&amp;N8&amp;" is more than Tested For STI"&amp;CHAR(10),""),IF(O335&gt;O334," * Screened For STI for Age "&amp;N7&amp;" "&amp;O8&amp;" is more than Tested For STI"&amp;CHAR(10),""),IF(P335&gt;P334," * Screened For STI for Age "&amp;P7&amp;" "&amp;P8&amp;" is more than Tested For STI"&amp;CHAR(10),""),IF(Q335&gt;Q334," * Screened For STI for Age "&amp;P7&amp;" "&amp;Q8&amp;" is more than Tested For STI"&amp;CHAR(10),""),IF(R335&gt;R334," * Screened For STI for Age "&amp;R7&amp;" "&amp;R8&amp;" is more than Tested For STI"&amp;CHAR(10),""),IF(S335&gt;S334," * Screened For STI for Age "&amp;R7&amp;" "&amp;S8&amp;" is more than Tested For STI"&amp;CHAR(10),""),IF(T335&gt;T334," * Screened For STI for Age "&amp;T7&amp;" "&amp;T8&amp;" is more than Tested For STI"&amp;CHAR(10),""),IF(U335&gt;U334," * Screened For STI for Age "&amp;T7&amp;" "&amp;U8&amp;" is more than Tested For STI"&amp;CHAR(10),""),IF(V335&gt;V334," * Screened For STI for Age "&amp;V7&amp;" "&amp;V8&amp;" is more than Tested For STI"&amp;CHAR(10),""),IF(W335&gt;W334," * Screened For STI for Age "&amp;V7&amp;" "&amp;W8&amp;" is more than Tested For STI"&amp;CHAR(10),""),IF(X335&gt;X334," * Screened For STI for Age "&amp;X7&amp;" "&amp;X8&amp;" is more than Tested For STI"&amp;CHAR(10),""),IF(Y335&gt;Y334," * Screened For STI for Age "&amp;X7&amp;" "&amp;Y8&amp;" is more than Tested For STI"&amp;CHAR(10),""),IF(Z335&gt;Z334," * Screened For STI for Age "&amp;Z7&amp;" "&amp;Z8&amp;" is more than Tested For STI"&amp;CHAR(10),""),IF(AA335&gt;AA334," * Screened For STI for Age "&amp;AA7&amp;" "&amp;AA8&amp;" is more than Tested For STI"&amp;CHAR(10),""))</f>
        <v/>
      </c>
      <c r="AL335" s="81"/>
      <c r="AM335" s="136"/>
      <c r="AN335" s="663"/>
      <c r="AO335" s="330">
        <v>183</v>
      </c>
      <c r="AQ335" s="1045"/>
      <c r="AR335" s="1045"/>
      <c r="AS335" s="1045"/>
    </row>
    <row r="336" spans="1:45" s="4" customFormat="1" ht="31.5" thickBot="1" x14ac:dyDescent="0.65">
      <c r="A336" s="863"/>
      <c r="B336" s="801" t="s">
        <v>635</v>
      </c>
      <c r="C336" s="337" t="s">
        <v>103</v>
      </c>
      <c r="D336" s="676"/>
      <c r="E336" s="688"/>
      <c r="F336" s="688"/>
      <c r="G336" s="688"/>
      <c r="H336" s="688"/>
      <c r="I336" s="688"/>
      <c r="J336" s="688"/>
      <c r="K336" s="688"/>
      <c r="L336" s="688"/>
      <c r="M336" s="688"/>
      <c r="N336" s="688"/>
      <c r="O336" s="688"/>
      <c r="P336" s="688"/>
      <c r="Q336" s="688"/>
      <c r="R336" s="688"/>
      <c r="S336" s="688"/>
      <c r="T336" s="688"/>
      <c r="U336" s="688"/>
      <c r="V336" s="688"/>
      <c r="W336" s="688"/>
      <c r="X336" s="688"/>
      <c r="Y336" s="688"/>
      <c r="Z336" s="688"/>
      <c r="AA336" s="689"/>
      <c r="AB336" s="573"/>
      <c r="AC336" s="573"/>
      <c r="AD336" s="573"/>
      <c r="AE336" s="573"/>
      <c r="AF336" s="573"/>
      <c r="AG336" s="573"/>
      <c r="AH336" s="573"/>
      <c r="AI336" s="573"/>
      <c r="AJ336" s="690">
        <f t="shared" si="206"/>
        <v>0</v>
      </c>
      <c r="AK336" s="691" t="str">
        <f>CONCATENATE(IF(D336&gt;D334," * F05-07 for Age "&amp;D6&amp;" "&amp;D7&amp;" is more than F05-06"&amp;CHAR(10),""),IF(E336&gt;E334," * F05-07 for Age "&amp;D6&amp;" "&amp;E7&amp;" is more than F05-06"&amp;CHAR(10),""),IF(F336&gt;F334," * F05-07 for Age "&amp;F6&amp;" "&amp;F7&amp;" is more than F05-06"&amp;CHAR(10),""),IF(G336&gt;G334," * F05-07 for Age "&amp;F6&amp;" "&amp;G7&amp;" is more than F05-06"&amp;CHAR(10),""),IF(H336&gt;H334," * F05-07 for Age "&amp;H6&amp;" "&amp;H7&amp;" is more than F05-06"&amp;CHAR(10),""),IF(I336&gt;I334," * F05-07 for Age "&amp;H6&amp;" "&amp;I7&amp;" is more than F05-06"&amp;CHAR(10),""),IF(J336&gt;J334," * F05-07 for Age "&amp;J6&amp;" "&amp;J7&amp;" is more than F05-06"&amp;CHAR(10),""),IF(K336&gt;K334," * F05-07 for Age "&amp;J6&amp;" "&amp;K7&amp;" is more than F05-06"&amp;CHAR(10),""),IF(L336&gt;L334," * F05-07 for Age "&amp;L6&amp;" "&amp;L7&amp;" is more than F05-06"&amp;CHAR(10),""),IF(M336&gt;M334," * F05-07 for Age "&amp;L6&amp;" "&amp;M7&amp;" is more than F05-06"&amp;CHAR(10),""),IF(N336&gt;N334," * F05-07 for Age "&amp;N6&amp;" "&amp;N7&amp;" is more than F05-06"&amp;CHAR(10),""),IF(O336&gt;O334," * F05-07 for Age "&amp;N6&amp;" "&amp;O7&amp;" is more than F05-06"&amp;CHAR(10),""),IF(P336&gt;P334," * F05-07 for Age "&amp;P6&amp;" "&amp;P7&amp;" is more than F05-06"&amp;CHAR(10),""),IF(Q336&gt;Q334," * F05-07 for Age "&amp;P6&amp;" "&amp;Q7&amp;" is more than F05-06"&amp;CHAR(10),""),IF(R336&gt;R334," * F05-07 for Age "&amp;R6&amp;" "&amp;R7&amp;" is more than F05-06"&amp;CHAR(10),""),IF(S336&gt;S334," * F05-07 for Age "&amp;R6&amp;" "&amp;S7&amp;" is more than F05-06"&amp;CHAR(10),""),IF(T336&gt;T334," * F05-07 for Age "&amp;T6&amp;" "&amp;T7&amp;" is more than F05-06"&amp;CHAR(10),""),IF(U336&gt;U334," * F05-07 for Age "&amp;T6&amp;" "&amp;U7&amp;" is more than F05-06"&amp;CHAR(10),""),IF(V336&gt;V334," * F05-07 for Age "&amp;V6&amp;" "&amp;V7&amp;" is more than F05-06"&amp;CHAR(10),""),IF(W336&gt;W334," * F05-07 for Age "&amp;V6&amp;" "&amp;W7&amp;" is more than F05-06"&amp;CHAR(10),""),IF(X336&gt;X334," * F05-07 for Age "&amp;X6&amp;" "&amp;X7&amp;" is more than F05-06"&amp;CHAR(10),""),IF(Y336&gt;Y334," * F05-07 for Age "&amp;X6&amp;" "&amp;Y7&amp;" is more than F05-06"&amp;CHAR(10),""),IF(Z336&gt;Z334," * F05-07 for Age "&amp;Z6&amp;" "&amp;Z7&amp;" is more than F05-06"&amp;CHAR(10),""),IF(AA336&gt;AA334," * F05-07 for Age "&amp;Z6&amp;" "&amp;AA7&amp;" is more than F05-06"&amp;CHAR(10),""),IF(AJ336&gt;AJ334," * Total F05-07 is more than Total F05-06"&amp;CHAR(10),""))</f>
        <v/>
      </c>
      <c r="AL336" s="83"/>
      <c r="AM336" s="692"/>
      <c r="AN336" s="693"/>
      <c r="AO336" s="330">
        <v>184</v>
      </c>
      <c r="AQ336" s="1045"/>
      <c r="AR336" s="1045"/>
      <c r="AS336" s="1045"/>
    </row>
    <row r="337" spans="1:45" ht="63" customHeight="1" thickBot="1" x14ac:dyDescent="0.65">
      <c r="A337" s="805" t="s">
        <v>198</v>
      </c>
      <c r="B337" s="802"/>
      <c r="C337" s="694"/>
      <c r="D337" s="695"/>
      <c r="E337" s="695"/>
      <c r="F337" s="696"/>
      <c r="G337" s="696"/>
      <c r="H337" s="695"/>
      <c r="I337" s="696"/>
      <c r="J337" s="696"/>
      <c r="K337" s="695"/>
      <c r="L337" s="695"/>
      <c r="M337" s="696"/>
      <c r="N337" s="696"/>
      <c r="O337" s="696"/>
      <c r="P337" s="695"/>
      <c r="Q337" s="696"/>
      <c r="R337" s="695"/>
      <c r="S337" s="695"/>
      <c r="T337" s="695"/>
      <c r="U337" s="695"/>
      <c r="V337" s="695"/>
      <c r="W337" s="695"/>
      <c r="X337" s="696"/>
      <c r="Y337" s="695"/>
      <c r="Z337" s="695"/>
      <c r="AA337" s="695"/>
      <c r="AB337" s="695"/>
      <c r="AC337" s="695"/>
      <c r="AD337" s="695"/>
      <c r="AE337" s="695"/>
      <c r="AF337" s="695"/>
      <c r="AG337" s="695"/>
      <c r="AH337" s="695"/>
      <c r="AI337" s="695"/>
      <c r="AJ337" s="695"/>
      <c r="AK337" s="694"/>
      <c r="AL337" s="108"/>
      <c r="AM337" s="695"/>
      <c r="AN337" s="695"/>
      <c r="AO337" s="697"/>
    </row>
    <row r="339" spans="1:45" ht="31.5" thickBot="1" x14ac:dyDescent="0.65">
      <c r="A339" s="24"/>
      <c r="B339" s="803"/>
      <c r="E339" s="2"/>
      <c r="F339" s="2"/>
      <c r="G339" s="2"/>
      <c r="H339" s="2"/>
      <c r="I339" s="2"/>
      <c r="J339" s="2"/>
      <c r="K339" s="2"/>
      <c r="L339" s="2"/>
      <c r="M339" s="2"/>
    </row>
    <row r="340" spans="1:45" s="27" customFormat="1" ht="41.25" customHeight="1" thickBot="1" x14ac:dyDescent="0.3">
      <c r="A340" s="920" t="s">
        <v>352</v>
      </c>
      <c r="B340" s="921"/>
      <c r="C340" s="921"/>
      <c r="D340" s="921"/>
      <c r="E340" s="921"/>
      <c r="F340" s="921"/>
      <c r="G340" s="921"/>
      <c r="H340" s="921"/>
      <c r="I340" s="921"/>
      <c r="J340" s="921"/>
      <c r="K340" s="921"/>
      <c r="L340" s="921"/>
      <c r="M340" s="922" t="s">
        <v>350</v>
      </c>
      <c r="N340" s="921"/>
      <c r="O340" s="921"/>
      <c r="P340" s="921"/>
      <c r="Q340" s="921"/>
      <c r="R340" s="921"/>
      <c r="S340" s="921"/>
      <c r="T340" s="921"/>
      <c r="U340" s="921"/>
      <c r="V340" s="921"/>
      <c r="W340" s="921"/>
      <c r="X340" s="921"/>
      <c r="Y340" s="921"/>
      <c r="Z340" s="921"/>
      <c r="AA340" s="921"/>
      <c r="AB340" s="921"/>
      <c r="AC340" s="921"/>
      <c r="AD340" s="921"/>
      <c r="AE340" s="921"/>
      <c r="AF340" s="921"/>
      <c r="AG340" s="921"/>
      <c r="AH340" s="921"/>
      <c r="AI340" s="921"/>
      <c r="AJ340" s="921"/>
      <c r="AK340" s="921"/>
      <c r="AL340" s="921"/>
      <c r="AM340" s="921"/>
      <c r="AN340" s="923"/>
      <c r="AO340" s="26"/>
      <c r="AQ340" s="1047"/>
      <c r="AR340" s="1047"/>
      <c r="AS340" s="1047"/>
    </row>
    <row r="341" spans="1:45" ht="30.75" customHeight="1" x14ac:dyDescent="0.6">
      <c r="A341" s="911" t="str">
        <f>CONCATENATE(AL204,AL253,AL224,AL185,AL176,AL150,AL325,AL322,AL292,AL271,AL107,AL8,AL323)</f>
        <v/>
      </c>
      <c r="B341" s="912"/>
      <c r="C341" s="912"/>
      <c r="D341" s="912"/>
      <c r="E341" s="912"/>
      <c r="F341" s="912"/>
      <c r="G341" s="912"/>
      <c r="H341" s="912"/>
      <c r="I341" s="912"/>
      <c r="J341" s="912"/>
      <c r="K341" s="912"/>
      <c r="L341" s="913"/>
      <c r="M341" s="924" t="str">
        <f>IF(LEN(A341)&lt;=0,"","Please ensure you solve the errors appearing on the left . However, In the cases where the errors are valid and can be explained ( We expect this to be very rare cases), Please delete this message and type the  justification for the error here)")</f>
        <v/>
      </c>
      <c r="N341" s="925"/>
      <c r="O341" s="925"/>
      <c r="P341" s="925"/>
      <c r="Q341" s="925"/>
      <c r="R341" s="925"/>
      <c r="S341" s="925"/>
      <c r="T341" s="925"/>
      <c r="U341" s="925"/>
      <c r="V341" s="925"/>
      <c r="W341" s="925"/>
      <c r="X341" s="925"/>
      <c r="Y341" s="925"/>
      <c r="Z341" s="925"/>
      <c r="AA341" s="925"/>
      <c r="AB341" s="925"/>
      <c r="AC341" s="925"/>
      <c r="AD341" s="925"/>
      <c r="AE341" s="925"/>
      <c r="AF341" s="925"/>
      <c r="AG341" s="925"/>
      <c r="AH341" s="925"/>
      <c r="AI341" s="925"/>
      <c r="AJ341" s="925"/>
      <c r="AK341" s="925"/>
      <c r="AL341" s="925"/>
      <c r="AM341" s="925"/>
      <c r="AN341" s="926"/>
    </row>
    <row r="342" spans="1:45" ht="25.5" customHeight="1" x14ac:dyDescent="0.6">
      <c r="A342" s="914"/>
      <c r="B342" s="915"/>
      <c r="C342" s="915"/>
      <c r="D342" s="915"/>
      <c r="E342" s="915"/>
      <c r="F342" s="915"/>
      <c r="G342" s="915"/>
      <c r="H342" s="915"/>
      <c r="I342" s="915"/>
      <c r="J342" s="915"/>
      <c r="K342" s="915"/>
      <c r="L342" s="916"/>
      <c r="M342" s="927"/>
      <c r="N342" s="928"/>
      <c r="O342" s="928"/>
      <c r="P342" s="928"/>
      <c r="Q342" s="928"/>
      <c r="R342" s="928"/>
      <c r="S342" s="928"/>
      <c r="T342" s="928"/>
      <c r="U342" s="928"/>
      <c r="V342" s="928"/>
      <c r="W342" s="928"/>
      <c r="X342" s="928"/>
      <c r="Y342" s="928"/>
      <c r="Z342" s="928"/>
      <c r="AA342" s="928"/>
      <c r="AB342" s="928"/>
      <c r="AC342" s="928"/>
      <c r="AD342" s="928"/>
      <c r="AE342" s="928"/>
      <c r="AF342" s="928"/>
      <c r="AG342" s="928"/>
      <c r="AH342" s="928"/>
      <c r="AI342" s="928"/>
      <c r="AJ342" s="928"/>
      <c r="AK342" s="928"/>
      <c r="AL342" s="928"/>
      <c r="AM342" s="928"/>
      <c r="AN342" s="929"/>
    </row>
    <row r="343" spans="1:45" ht="30.75" customHeight="1" x14ac:dyDescent="0.6">
      <c r="A343" s="914"/>
      <c r="B343" s="915"/>
      <c r="C343" s="915"/>
      <c r="D343" s="915"/>
      <c r="E343" s="915"/>
      <c r="F343" s="915"/>
      <c r="G343" s="915"/>
      <c r="H343" s="915"/>
      <c r="I343" s="915"/>
      <c r="J343" s="915"/>
      <c r="K343" s="915"/>
      <c r="L343" s="916"/>
      <c r="M343" s="927"/>
      <c r="N343" s="928"/>
      <c r="O343" s="928"/>
      <c r="P343" s="928"/>
      <c r="Q343" s="928"/>
      <c r="R343" s="928"/>
      <c r="S343" s="928"/>
      <c r="T343" s="928"/>
      <c r="U343" s="928"/>
      <c r="V343" s="928"/>
      <c r="W343" s="928"/>
      <c r="X343" s="928"/>
      <c r="Y343" s="928"/>
      <c r="Z343" s="928"/>
      <c r="AA343" s="928"/>
      <c r="AB343" s="928"/>
      <c r="AC343" s="928"/>
      <c r="AD343" s="928"/>
      <c r="AE343" s="928"/>
      <c r="AF343" s="928"/>
      <c r="AG343" s="928"/>
      <c r="AH343" s="928"/>
      <c r="AI343" s="928"/>
      <c r="AJ343" s="928"/>
      <c r="AK343" s="928"/>
      <c r="AL343" s="928"/>
      <c r="AM343" s="928"/>
      <c r="AN343" s="929"/>
    </row>
    <row r="344" spans="1:45" ht="25.5" customHeight="1" x14ac:dyDescent="0.6">
      <c r="A344" s="914"/>
      <c r="B344" s="915"/>
      <c r="C344" s="915"/>
      <c r="D344" s="915"/>
      <c r="E344" s="915"/>
      <c r="F344" s="915"/>
      <c r="G344" s="915"/>
      <c r="H344" s="915"/>
      <c r="I344" s="915"/>
      <c r="J344" s="915"/>
      <c r="K344" s="915"/>
      <c r="L344" s="916"/>
      <c r="M344" s="927"/>
      <c r="N344" s="928"/>
      <c r="O344" s="928"/>
      <c r="P344" s="928"/>
      <c r="Q344" s="928"/>
      <c r="R344" s="928"/>
      <c r="S344" s="928"/>
      <c r="T344" s="928"/>
      <c r="U344" s="928"/>
      <c r="V344" s="928"/>
      <c r="W344" s="928"/>
      <c r="X344" s="928"/>
      <c r="Y344" s="928"/>
      <c r="Z344" s="928"/>
      <c r="AA344" s="928"/>
      <c r="AB344" s="928"/>
      <c r="AC344" s="928"/>
      <c r="AD344" s="928"/>
      <c r="AE344" s="928"/>
      <c r="AF344" s="928"/>
      <c r="AG344" s="928"/>
      <c r="AH344" s="928"/>
      <c r="AI344" s="928"/>
      <c r="AJ344" s="928"/>
      <c r="AK344" s="928"/>
      <c r="AL344" s="928"/>
      <c r="AM344" s="928"/>
      <c r="AN344" s="929"/>
    </row>
    <row r="345" spans="1:45" ht="25.5" customHeight="1" x14ac:dyDescent="0.6">
      <c r="A345" s="914"/>
      <c r="B345" s="915"/>
      <c r="C345" s="915"/>
      <c r="D345" s="915"/>
      <c r="E345" s="915"/>
      <c r="F345" s="915"/>
      <c r="G345" s="915"/>
      <c r="H345" s="915"/>
      <c r="I345" s="915"/>
      <c r="J345" s="915"/>
      <c r="K345" s="915"/>
      <c r="L345" s="916"/>
      <c r="M345" s="927"/>
      <c r="N345" s="928"/>
      <c r="O345" s="928"/>
      <c r="P345" s="928"/>
      <c r="Q345" s="928"/>
      <c r="R345" s="928"/>
      <c r="S345" s="928"/>
      <c r="T345" s="928"/>
      <c r="U345" s="928"/>
      <c r="V345" s="928"/>
      <c r="W345" s="928"/>
      <c r="X345" s="928"/>
      <c r="Y345" s="928"/>
      <c r="Z345" s="928"/>
      <c r="AA345" s="928"/>
      <c r="AB345" s="928"/>
      <c r="AC345" s="928"/>
      <c r="AD345" s="928"/>
      <c r="AE345" s="928"/>
      <c r="AF345" s="928"/>
      <c r="AG345" s="928"/>
      <c r="AH345" s="928"/>
      <c r="AI345" s="928"/>
      <c r="AJ345" s="928"/>
      <c r="AK345" s="928"/>
      <c r="AL345" s="928"/>
      <c r="AM345" s="928"/>
      <c r="AN345" s="929"/>
    </row>
    <row r="346" spans="1:45" ht="25.5" customHeight="1" x14ac:dyDescent="0.6">
      <c r="A346" s="914"/>
      <c r="B346" s="915"/>
      <c r="C346" s="915"/>
      <c r="D346" s="915"/>
      <c r="E346" s="915"/>
      <c r="F346" s="915"/>
      <c r="G346" s="915"/>
      <c r="H346" s="915"/>
      <c r="I346" s="915"/>
      <c r="J346" s="915"/>
      <c r="K346" s="915"/>
      <c r="L346" s="916"/>
      <c r="M346" s="927"/>
      <c r="N346" s="928"/>
      <c r="O346" s="928"/>
      <c r="P346" s="928"/>
      <c r="Q346" s="928"/>
      <c r="R346" s="928"/>
      <c r="S346" s="928"/>
      <c r="T346" s="928"/>
      <c r="U346" s="928"/>
      <c r="V346" s="928"/>
      <c r="W346" s="928"/>
      <c r="X346" s="928"/>
      <c r="Y346" s="928"/>
      <c r="Z346" s="928"/>
      <c r="AA346" s="928"/>
      <c r="AB346" s="928"/>
      <c r="AC346" s="928"/>
      <c r="AD346" s="928"/>
      <c r="AE346" s="928"/>
      <c r="AF346" s="928"/>
      <c r="AG346" s="928"/>
      <c r="AH346" s="928"/>
      <c r="AI346" s="928"/>
      <c r="AJ346" s="928"/>
      <c r="AK346" s="928"/>
      <c r="AL346" s="928"/>
      <c r="AM346" s="928"/>
      <c r="AN346" s="929"/>
    </row>
    <row r="347" spans="1:45" ht="25.5" customHeight="1" x14ac:dyDescent="0.6">
      <c r="A347" s="914"/>
      <c r="B347" s="915"/>
      <c r="C347" s="915"/>
      <c r="D347" s="915"/>
      <c r="E347" s="915"/>
      <c r="F347" s="915"/>
      <c r="G347" s="915"/>
      <c r="H347" s="915"/>
      <c r="I347" s="915"/>
      <c r="J347" s="915"/>
      <c r="K347" s="915"/>
      <c r="L347" s="916"/>
      <c r="M347" s="927"/>
      <c r="N347" s="928"/>
      <c r="O347" s="928"/>
      <c r="P347" s="928"/>
      <c r="Q347" s="928"/>
      <c r="R347" s="928"/>
      <c r="S347" s="928"/>
      <c r="T347" s="928"/>
      <c r="U347" s="928"/>
      <c r="V347" s="928"/>
      <c r="W347" s="928"/>
      <c r="X347" s="928"/>
      <c r="Y347" s="928"/>
      <c r="Z347" s="928"/>
      <c r="AA347" s="928"/>
      <c r="AB347" s="928"/>
      <c r="AC347" s="928"/>
      <c r="AD347" s="928"/>
      <c r="AE347" s="928"/>
      <c r="AF347" s="928"/>
      <c r="AG347" s="928"/>
      <c r="AH347" s="928"/>
      <c r="AI347" s="928"/>
      <c r="AJ347" s="928"/>
      <c r="AK347" s="928"/>
      <c r="AL347" s="928"/>
      <c r="AM347" s="928"/>
      <c r="AN347" s="929"/>
    </row>
    <row r="348" spans="1:45" ht="25.5" customHeight="1" x14ac:dyDescent="0.6">
      <c r="A348" s="914"/>
      <c r="B348" s="915"/>
      <c r="C348" s="915"/>
      <c r="D348" s="915"/>
      <c r="E348" s="915"/>
      <c r="F348" s="915"/>
      <c r="G348" s="915"/>
      <c r="H348" s="915"/>
      <c r="I348" s="915"/>
      <c r="J348" s="915"/>
      <c r="K348" s="915"/>
      <c r="L348" s="916"/>
      <c r="M348" s="927"/>
      <c r="N348" s="928"/>
      <c r="O348" s="928"/>
      <c r="P348" s="928"/>
      <c r="Q348" s="928"/>
      <c r="R348" s="928"/>
      <c r="S348" s="928"/>
      <c r="T348" s="928"/>
      <c r="U348" s="928"/>
      <c r="V348" s="928"/>
      <c r="W348" s="928"/>
      <c r="X348" s="928"/>
      <c r="Y348" s="928"/>
      <c r="Z348" s="928"/>
      <c r="AA348" s="928"/>
      <c r="AB348" s="928"/>
      <c r="AC348" s="928"/>
      <c r="AD348" s="928"/>
      <c r="AE348" s="928"/>
      <c r="AF348" s="928"/>
      <c r="AG348" s="928"/>
      <c r="AH348" s="928"/>
      <c r="AI348" s="928"/>
      <c r="AJ348" s="928"/>
      <c r="AK348" s="928"/>
      <c r="AL348" s="928"/>
      <c r="AM348" s="928"/>
      <c r="AN348" s="929"/>
    </row>
    <row r="349" spans="1:45" ht="25.5" customHeight="1" x14ac:dyDescent="0.6">
      <c r="A349" s="914"/>
      <c r="B349" s="915"/>
      <c r="C349" s="915"/>
      <c r="D349" s="915"/>
      <c r="E349" s="915"/>
      <c r="F349" s="915"/>
      <c r="G349" s="915"/>
      <c r="H349" s="915"/>
      <c r="I349" s="915"/>
      <c r="J349" s="915"/>
      <c r="K349" s="915"/>
      <c r="L349" s="916"/>
      <c r="M349" s="927"/>
      <c r="N349" s="928"/>
      <c r="O349" s="928"/>
      <c r="P349" s="928"/>
      <c r="Q349" s="928"/>
      <c r="R349" s="928"/>
      <c r="S349" s="928"/>
      <c r="T349" s="928"/>
      <c r="U349" s="928"/>
      <c r="V349" s="928"/>
      <c r="W349" s="928"/>
      <c r="X349" s="928"/>
      <c r="Y349" s="928"/>
      <c r="Z349" s="928"/>
      <c r="AA349" s="928"/>
      <c r="AB349" s="928"/>
      <c r="AC349" s="928"/>
      <c r="AD349" s="928"/>
      <c r="AE349" s="928"/>
      <c r="AF349" s="928"/>
      <c r="AG349" s="928"/>
      <c r="AH349" s="928"/>
      <c r="AI349" s="928"/>
      <c r="AJ349" s="928"/>
      <c r="AK349" s="928"/>
      <c r="AL349" s="928"/>
      <c r="AM349" s="928"/>
      <c r="AN349" s="929"/>
    </row>
    <row r="350" spans="1:45" ht="25.5" customHeight="1" x14ac:dyDescent="0.6">
      <c r="A350" s="914"/>
      <c r="B350" s="915"/>
      <c r="C350" s="915"/>
      <c r="D350" s="915"/>
      <c r="E350" s="915"/>
      <c r="F350" s="915"/>
      <c r="G350" s="915"/>
      <c r="H350" s="915"/>
      <c r="I350" s="915"/>
      <c r="J350" s="915"/>
      <c r="K350" s="915"/>
      <c r="L350" s="916"/>
      <c r="M350" s="927"/>
      <c r="N350" s="928"/>
      <c r="O350" s="928"/>
      <c r="P350" s="928"/>
      <c r="Q350" s="928"/>
      <c r="R350" s="928"/>
      <c r="S350" s="928"/>
      <c r="T350" s="928"/>
      <c r="U350" s="928"/>
      <c r="V350" s="928"/>
      <c r="W350" s="928"/>
      <c r="X350" s="928"/>
      <c r="Y350" s="928"/>
      <c r="Z350" s="928"/>
      <c r="AA350" s="928"/>
      <c r="AB350" s="928"/>
      <c r="AC350" s="928"/>
      <c r="AD350" s="928"/>
      <c r="AE350" s="928"/>
      <c r="AF350" s="928"/>
      <c r="AG350" s="928"/>
      <c r="AH350" s="928"/>
      <c r="AI350" s="928"/>
      <c r="AJ350" s="928"/>
      <c r="AK350" s="928"/>
      <c r="AL350" s="928"/>
      <c r="AM350" s="928"/>
      <c r="AN350" s="929"/>
    </row>
    <row r="351" spans="1:45" ht="25.5" customHeight="1" x14ac:dyDescent="0.6">
      <c r="A351" s="914"/>
      <c r="B351" s="915"/>
      <c r="C351" s="915"/>
      <c r="D351" s="915"/>
      <c r="E351" s="915"/>
      <c r="F351" s="915"/>
      <c r="G351" s="915"/>
      <c r="H351" s="915"/>
      <c r="I351" s="915"/>
      <c r="J351" s="915"/>
      <c r="K351" s="915"/>
      <c r="L351" s="916"/>
      <c r="M351" s="927"/>
      <c r="N351" s="928"/>
      <c r="O351" s="928"/>
      <c r="P351" s="928"/>
      <c r="Q351" s="928"/>
      <c r="R351" s="928"/>
      <c r="S351" s="928"/>
      <c r="T351" s="928"/>
      <c r="U351" s="928"/>
      <c r="V351" s="928"/>
      <c r="W351" s="928"/>
      <c r="X351" s="928"/>
      <c r="Y351" s="928"/>
      <c r="Z351" s="928"/>
      <c r="AA351" s="928"/>
      <c r="AB351" s="928"/>
      <c r="AC351" s="928"/>
      <c r="AD351" s="928"/>
      <c r="AE351" s="928"/>
      <c r="AF351" s="928"/>
      <c r="AG351" s="928"/>
      <c r="AH351" s="928"/>
      <c r="AI351" s="928"/>
      <c r="AJ351" s="928"/>
      <c r="AK351" s="928"/>
      <c r="AL351" s="928"/>
      <c r="AM351" s="928"/>
      <c r="AN351" s="929"/>
    </row>
    <row r="352" spans="1:45" ht="25.5" customHeight="1" x14ac:dyDescent="0.6">
      <c r="A352" s="914"/>
      <c r="B352" s="915"/>
      <c r="C352" s="915"/>
      <c r="D352" s="915"/>
      <c r="E352" s="915"/>
      <c r="F352" s="915"/>
      <c r="G352" s="915"/>
      <c r="H352" s="915"/>
      <c r="I352" s="915"/>
      <c r="J352" s="915"/>
      <c r="K352" s="915"/>
      <c r="L352" s="916"/>
      <c r="M352" s="927"/>
      <c r="N352" s="928"/>
      <c r="O352" s="928"/>
      <c r="P352" s="928"/>
      <c r="Q352" s="928"/>
      <c r="R352" s="928"/>
      <c r="S352" s="928"/>
      <c r="T352" s="928"/>
      <c r="U352" s="928"/>
      <c r="V352" s="928"/>
      <c r="W352" s="928"/>
      <c r="X352" s="928"/>
      <c r="Y352" s="928"/>
      <c r="Z352" s="928"/>
      <c r="AA352" s="928"/>
      <c r="AB352" s="928"/>
      <c r="AC352" s="928"/>
      <c r="AD352" s="928"/>
      <c r="AE352" s="928"/>
      <c r="AF352" s="928"/>
      <c r="AG352" s="928"/>
      <c r="AH352" s="928"/>
      <c r="AI352" s="928"/>
      <c r="AJ352" s="928"/>
      <c r="AK352" s="928"/>
      <c r="AL352" s="928"/>
      <c r="AM352" s="928"/>
      <c r="AN352" s="929"/>
    </row>
    <row r="353" spans="1:45" ht="25.5" customHeight="1" x14ac:dyDescent="0.6">
      <c r="A353" s="914"/>
      <c r="B353" s="915"/>
      <c r="C353" s="915"/>
      <c r="D353" s="915"/>
      <c r="E353" s="915"/>
      <c r="F353" s="915"/>
      <c r="G353" s="915"/>
      <c r="H353" s="915"/>
      <c r="I353" s="915"/>
      <c r="J353" s="915"/>
      <c r="K353" s="915"/>
      <c r="L353" s="916"/>
      <c r="M353" s="927"/>
      <c r="N353" s="928"/>
      <c r="O353" s="928"/>
      <c r="P353" s="928"/>
      <c r="Q353" s="928"/>
      <c r="R353" s="928"/>
      <c r="S353" s="928"/>
      <c r="T353" s="928"/>
      <c r="U353" s="928"/>
      <c r="V353" s="928"/>
      <c r="W353" s="928"/>
      <c r="X353" s="928"/>
      <c r="Y353" s="928"/>
      <c r="Z353" s="928"/>
      <c r="AA353" s="928"/>
      <c r="AB353" s="928"/>
      <c r="AC353" s="928"/>
      <c r="AD353" s="928"/>
      <c r="AE353" s="928"/>
      <c r="AF353" s="928"/>
      <c r="AG353" s="928"/>
      <c r="AH353" s="928"/>
      <c r="AI353" s="928"/>
      <c r="AJ353" s="928"/>
      <c r="AK353" s="928"/>
      <c r="AL353" s="928"/>
      <c r="AM353" s="928"/>
      <c r="AN353" s="929"/>
    </row>
    <row r="354" spans="1:45" ht="25.5" customHeight="1" x14ac:dyDescent="0.6">
      <c r="A354" s="914"/>
      <c r="B354" s="915"/>
      <c r="C354" s="915"/>
      <c r="D354" s="915"/>
      <c r="E354" s="915"/>
      <c r="F354" s="915"/>
      <c r="G354" s="915"/>
      <c r="H354" s="915"/>
      <c r="I354" s="915"/>
      <c r="J354" s="915"/>
      <c r="K354" s="915"/>
      <c r="L354" s="916"/>
      <c r="M354" s="927"/>
      <c r="N354" s="928"/>
      <c r="O354" s="928"/>
      <c r="P354" s="928"/>
      <c r="Q354" s="928"/>
      <c r="R354" s="928"/>
      <c r="S354" s="928"/>
      <c r="T354" s="928"/>
      <c r="U354" s="928"/>
      <c r="V354" s="928"/>
      <c r="W354" s="928"/>
      <c r="X354" s="928"/>
      <c r="Y354" s="928"/>
      <c r="Z354" s="928"/>
      <c r="AA354" s="928"/>
      <c r="AB354" s="928"/>
      <c r="AC354" s="928"/>
      <c r="AD354" s="928"/>
      <c r="AE354" s="928"/>
      <c r="AF354" s="928"/>
      <c r="AG354" s="928"/>
      <c r="AH354" s="928"/>
      <c r="AI354" s="928"/>
      <c r="AJ354" s="928"/>
      <c r="AK354" s="928"/>
      <c r="AL354" s="928"/>
      <c r="AM354" s="928"/>
      <c r="AN354" s="929"/>
    </row>
    <row r="355" spans="1:45" ht="25.5" customHeight="1" x14ac:dyDescent="0.6">
      <c r="A355" s="914"/>
      <c r="B355" s="915"/>
      <c r="C355" s="915"/>
      <c r="D355" s="915"/>
      <c r="E355" s="915"/>
      <c r="F355" s="915"/>
      <c r="G355" s="915"/>
      <c r="H355" s="915"/>
      <c r="I355" s="915"/>
      <c r="J355" s="915"/>
      <c r="K355" s="915"/>
      <c r="L355" s="916"/>
      <c r="M355" s="927"/>
      <c r="N355" s="928"/>
      <c r="O355" s="928"/>
      <c r="P355" s="928"/>
      <c r="Q355" s="928"/>
      <c r="R355" s="928"/>
      <c r="S355" s="928"/>
      <c r="T355" s="928"/>
      <c r="U355" s="928"/>
      <c r="V355" s="928"/>
      <c r="W355" s="928"/>
      <c r="X355" s="928"/>
      <c r="Y355" s="928"/>
      <c r="Z355" s="928"/>
      <c r="AA355" s="928"/>
      <c r="AB355" s="928"/>
      <c r="AC355" s="928"/>
      <c r="AD355" s="928"/>
      <c r="AE355" s="928"/>
      <c r="AF355" s="928"/>
      <c r="AG355" s="928"/>
      <c r="AH355" s="928"/>
      <c r="AI355" s="928"/>
      <c r="AJ355" s="928"/>
      <c r="AK355" s="928"/>
      <c r="AL355" s="928"/>
      <c r="AM355" s="928"/>
      <c r="AN355" s="929"/>
    </row>
    <row r="356" spans="1:45" ht="25.5" customHeight="1" x14ac:dyDescent="0.6">
      <c r="A356" s="914"/>
      <c r="B356" s="915"/>
      <c r="C356" s="915"/>
      <c r="D356" s="915"/>
      <c r="E356" s="915"/>
      <c r="F356" s="915"/>
      <c r="G356" s="915"/>
      <c r="H356" s="915"/>
      <c r="I356" s="915"/>
      <c r="J356" s="915"/>
      <c r="K356" s="915"/>
      <c r="L356" s="916"/>
      <c r="M356" s="927"/>
      <c r="N356" s="928"/>
      <c r="O356" s="928"/>
      <c r="P356" s="928"/>
      <c r="Q356" s="928"/>
      <c r="R356" s="928"/>
      <c r="S356" s="928"/>
      <c r="T356" s="928"/>
      <c r="U356" s="928"/>
      <c r="V356" s="928"/>
      <c r="W356" s="928"/>
      <c r="X356" s="928"/>
      <c r="Y356" s="928"/>
      <c r="Z356" s="928"/>
      <c r="AA356" s="928"/>
      <c r="AB356" s="928"/>
      <c r="AC356" s="928"/>
      <c r="AD356" s="928"/>
      <c r="AE356" s="928"/>
      <c r="AF356" s="928"/>
      <c r="AG356" s="928"/>
      <c r="AH356" s="928"/>
      <c r="AI356" s="928"/>
      <c r="AJ356" s="928"/>
      <c r="AK356" s="928"/>
      <c r="AL356" s="928"/>
      <c r="AM356" s="928"/>
      <c r="AN356" s="929"/>
    </row>
    <row r="357" spans="1:45" ht="25.5" customHeight="1" x14ac:dyDescent="0.6">
      <c r="A357" s="914"/>
      <c r="B357" s="915"/>
      <c r="C357" s="915"/>
      <c r="D357" s="915"/>
      <c r="E357" s="915"/>
      <c r="F357" s="915"/>
      <c r="G357" s="915"/>
      <c r="H357" s="915"/>
      <c r="I357" s="915"/>
      <c r="J357" s="915"/>
      <c r="K357" s="915"/>
      <c r="L357" s="916"/>
      <c r="M357" s="927"/>
      <c r="N357" s="928"/>
      <c r="O357" s="928"/>
      <c r="P357" s="928"/>
      <c r="Q357" s="928"/>
      <c r="R357" s="928"/>
      <c r="S357" s="928"/>
      <c r="T357" s="928"/>
      <c r="U357" s="928"/>
      <c r="V357" s="928"/>
      <c r="W357" s="928"/>
      <c r="X357" s="928"/>
      <c r="Y357" s="928"/>
      <c r="Z357" s="928"/>
      <c r="AA357" s="928"/>
      <c r="AB357" s="928"/>
      <c r="AC357" s="928"/>
      <c r="AD357" s="928"/>
      <c r="AE357" s="928"/>
      <c r="AF357" s="928"/>
      <c r="AG357" s="928"/>
      <c r="AH357" s="928"/>
      <c r="AI357" s="928"/>
      <c r="AJ357" s="928"/>
      <c r="AK357" s="928"/>
      <c r="AL357" s="928"/>
      <c r="AM357" s="928"/>
      <c r="AN357" s="929"/>
    </row>
    <row r="358" spans="1:45" ht="25.5" customHeight="1" x14ac:dyDescent="0.6">
      <c r="A358" s="914"/>
      <c r="B358" s="915"/>
      <c r="C358" s="915"/>
      <c r="D358" s="915"/>
      <c r="E358" s="915"/>
      <c r="F358" s="915"/>
      <c r="G358" s="915"/>
      <c r="H358" s="915"/>
      <c r="I358" s="915"/>
      <c r="J358" s="915"/>
      <c r="K358" s="915"/>
      <c r="L358" s="916"/>
      <c r="M358" s="927"/>
      <c r="N358" s="928"/>
      <c r="O358" s="928"/>
      <c r="P358" s="928"/>
      <c r="Q358" s="928"/>
      <c r="R358" s="928"/>
      <c r="S358" s="928"/>
      <c r="T358" s="928"/>
      <c r="U358" s="928"/>
      <c r="V358" s="928"/>
      <c r="W358" s="928"/>
      <c r="X358" s="928"/>
      <c r="Y358" s="928"/>
      <c r="Z358" s="928"/>
      <c r="AA358" s="928"/>
      <c r="AB358" s="928"/>
      <c r="AC358" s="928"/>
      <c r="AD358" s="928"/>
      <c r="AE358" s="928"/>
      <c r="AF358" s="928"/>
      <c r="AG358" s="928"/>
      <c r="AH358" s="928"/>
      <c r="AI358" s="928"/>
      <c r="AJ358" s="928"/>
      <c r="AK358" s="928"/>
      <c r="AL358" s="928"/>
      <c r="AM358" s="928"/>
      <c r="AN358" s="929"/>
    </row>
    <row r="359" spans="1:45" ht="25.5" customHeight="1" x14ac:dyDescent="0.6">
      <c r="A359" s="914"/>
      <c r="B359" s="915"/>
      <c r="C359" s="915"/>
      <c r="D359" s="915"/>
      <c r="E359" s="915"/>
      <c r="F359" s="915"/>
      <c r="G359" s="915"/>
      <c r="H359" s="915"/>
      <c r="I359" s="915"/>
      <c r="J359" s="915"/>
      <c r="K359" s="915"/>
      <c r="L359" s="916"/>
      <c r="M359" s="927"/>
      <c r="N359" s="928"/>
      <c r="O359" s="928"/>
      <c r="P359" s="928"/>
      <c r="Q359" s="928"/>
      <c r="R359" s="928"/>
      <c r="S359" s="928"/>
      <c r="T359" s="928"/>
      <c r="U359" s="928"/>
      <c r="V359" s="928"/>
      <c r="W359" s="928"/>
      <c r="X359" s="928"/>
      <c r="Y359" s="928"/>
      <c r="Z359" s="928"/>
      <c r="AA359" s="928"/>
      <c r="AB359" s="928"/>
      <c r="AC359" s="928"/>
      <c r="AD359" s="928"/>
      <c r="AE359" s="928"/>
      <c r="AF359" s="928"/>
      <c r="AG359" s="928"/>
      <c r="AH359" s="928"/>
      <c r="AI359" s="928"/>
      <c r="AJ359" s="928"/>
      <c r="AK359" s="928"/>
      <c r="AL359" s="928"/>
      <c r="AM359" s="928"/>
      <c r="AN359" s="929"/>
    </row>
    <row r="360" spans="1:45" ht="25.5" customHeight="1" x14ac:dyDescent="0.6">
      <c r="A360" s="914"/>
      <c r="B360" s="915"/>
      <c r="C360" s="915"/>
      <c r="D360" s="915"/>
      <c r="E360" s="915"/>
      <c r="F360" s="915"/>
      <c r="G360" s="915"/>
      <c r="H360" s="915"/>
      <c r="I360" s="915"/>
      <c r="J360" s="915"/>
      <c r="K360" s="915"/>
      <c r="L360" s="916"/>
      <c r="M360" s="927"/>
      <c r="N360" s="928"/>
      <c r="O360" s="928"/>
      <c r="P360" s="928"/>
      <c r="Q360" s="928"/>
      <c r="R360" s="928"/>
      <c r="S360" s="928"/>
      <c r="T360" s="928"/>
      <c r="U360" s="928"/>
      <c r="V360" s="928"/>
      <c r="W360" s="928"/>
      <c r="X360" s="928"/>
      <c r="Y360" s="928"/>
      <c r="Z360" s="928"/>
      <c r="AA360" s="928"/>
      <c r="AB360" s="928"/>
      <c r="AC360" s="928"/>
      <c r="AD360" s="928"/>
      <c r="AE360" s="928"/>
      <c r="AF360" s="928"/>
      <c r="AG360" s="928"/>
      <c r="AH360" s="928"/>
      <c r="AI360" s="928"/>
      <c r="AJ360" s="928"/>
      <c r="AK360" s="928"/>
      <c r="AL360" s="928"/>
      <c r="AM360" s="928"/>
      <c r="AN360" s="929"/>
    </row>
    <row r="361" spans="1:45" ht="26.25" customHeight="1" thickBot="1" x14ac:dyDescent="0.65">
      <c r="A361" s="917"/>
      <c r="B361" s="918"/>
      <c r="C361" s="918"/>
      <c r="D361" s="918"/>
      <c r="E361" s="918"/>
      <c r="F361" s="918"/>
      <c r="G361" s="918"/>
      <c r="H361" s="918"/>
      <c r="I361" s="918"/>
      <c r="J361" s="918"/>
      <c r="K361" s="918"/>
      <c r="L361" s="919"/>
      <c r="M361" s="930"/>
      <c r="N361" s="931"/>
      <c r="O361" s="931"/>
      <c r="P361" s="931"/>
      <c r="Q361" s="931"/>
      <c r="R361" s="931"/>
      <c r="S361" s="931"/>
      <c r="T361" s="931"/>
      <c r="U361" s="931"/>
      <c r="V361" s="931"/>
      <c r="W361" s="931"/>
      <c r="X361" s="931"/>
      <c r="Y361" s="931"/>
      <c r="Z361" s="931"/>
      <c r="AA361" s="931"/>
      <c r="AB361" s="931"/>
      <c r="AC361" s="931"/>
      <c r="AD361" s="931"/>
      <c r="AE361" s="931"/>
      <c r="AF361" s="931"/>
      <c r="AG361" s="931"/>
      <c r="AH361" s="931"/>
      <c r="AI361" s="931"/>
      <c r="AJ361" s="931"/>
      <c r="AK361" s="931"/>
      <c r="AL361" s="931"/>
      <c r="AM361" s="931"/>
      <c r="AN361" s="932"/>
    </row>
    <row r="362" spans="1:45" s="29" customFormat="1" ht="41.25" customHeight="1" thickBot="1" x14ac:dyDescent="0.65">
      <c r="A362" s="906" t="s">
        <v>349</v>
      </c>
      <c r="B362" s="907"/>
      <c r="C362" s="907"/>
      <c r="D362" s="907"/>
      <c r="E362" s="907"/>
      <c r="F362" s="907"/>
      <c r="G362" s="907"/>
      <c r="H362" s="907"/>
      <c r="I362" s="907"/>
      <c r="J362" s="907"/>
      <c r="K362" s="907"/>
      <c r="L362" s="908"/>
      <c r="M362" s="909" t="s">
        <v>351</v>
      </c>
      <c r="N362" s="909"/>
      <c r="O362" s="909"/>
      <c r="P362" s="909"/>
      <c r="Q362" s="909"/>
      <c r="R362" s="909"/>
      <c r="S362" s="909"/>
      <c r="T362" s="909"/>
      <c r="U362" s="909"/>
      <c r="V362" s="909"/>
      <c r="W362" s="909"/>
      <c r="X362" s="909"/>
      <c r="Y362" s="909"/>
      <c r="Z362" s="909"/>
      <c r="AA362" s="909"/>
      <c r="AB362" s="909"/>
      <c r="AC362" s="909"/>
      <c r="AD362" s="909"/>
      <c r="AE362" s="909"/>
      <c r="AF362" s="909"/>
      <c r="AG362" s="909"/>
      <c r="AH362" s="909"/>
      <c r="AI362" s="909"/>
      <c r="AJ362" s="909"/>
      <c r="AK362" s="909"/>
      <c r="AL362" s="909"/>
      <c r="AM362" s="909"/>
      <c r="AN362" s="910"/>
      <c r="AO362" s="28"/>
      <c r="AQ362" s="1044"/>
      <c r="AR362" s="1044"/>
      <c r="AS362" s="1044"/>
    </row>
    <row r="363" spans="1:45" ht="30.75" customHeight="1" x14ac:dyDescent="0.6">
      <c r="A363" s="888" t="str">
        <f>CONCATENATE(AN204,AN253,AN224,AN185,AN150,AN176,AN292,AN282,AN107,AN8,AN323,AN271,AN322)</f>
        <v/>
      </c>
      <c r="B363" s="889"/>
      <c r="C363" s="889"/>
      <c r="D363" s="889"/>
      <c r="E363" s="889"/>
      <c r="F363" s="889"/>
      <c r="G363" s="889"/>
      <c r="H363" s="889"/>
      <c r="I363" s="889"/>
      <c r="J363" s="889"/>
      <c r="K363" s="889"/>
      <c r="L363" s="890"/>
      <c r="M363" s="897"/>
      <c r="N363" s="898"/>
      <c r="O363" s="898"/>
      <c r="P363" s="898"/>
      <c r="Q363" s="898"/>
      <c r="R363" s="898"/>
      <c r="S363" s="898"/>
      <c r="T363" s="898"/>
      <c r="U363" s="898"/>
      <c r="V363" s="898"/>
      <c r="W363" s="898"/>
      <c r="X363" s="898"/>
      <c r="Y363" s="898"/>
      <c r="Z363" s="898"/>
      <c r="AA363" s="898"/>
      <c r="AB363" s="898"/>
      <c r="AC363" s="898"/>
      <c r="AD363" s="898"/>
      <c r="AE363" s="898"/>
      <c r="AF363" s="898"/>
      <c r="AG363" s="898"/>
      <c r="AH363" s="898"/>
      <c r="AI363" s="898"/>
      <c r="AJ363" s="898"/>
      <c r="AK363" s="898"/>
      <c r="AL363" s="898"/>
      <c r="AM363" s="898"/>
      <c r="AN363" s="899"/>
    </row>
    <row r="364" spans="1:45" ht="30.75" customHeight="1" x14ac:dyDescent="0.6">
      <c r="A364" s="891"/>
      <c r="B364" s="892"/>
      <c r="C364" s="892"/>
      <c r="D364" s="892"/>
      <c r="E364" s="892"/>
      <c r="F364" s="892"/>
      <c r="G364" s="892"/>
      <c r="H364" s="892"/>
      <c r="I364" s="892"/>
      <c r="J364" s="892"/>
      <c r="K364" s="892"/>
      <c r="L364" s="893"/>
      <c r="M364" s="900"/>
      <c r="N364" s="901"/>
      <c r="O364" s="901"/>
      <c r="P364" s="901"/>
      <c r="Q364" s="901"/>
      <c r="R364" s="901"/>
      <c r="S364" s="901"/>
      <c r="T364" s="901"/>
      <c r="U364" s="901"/>
      <c r="V364" s="901"/>
      <c r="W364" s="901"/>
      <c r="X364" s="901"/>
      <c r="Y364" s="901"/>
      <c r="Z364" s="901"/>
      <c r="AA364" s="901"/>
      <c r="AB364" s="901"/>
      <c r="AC364" s="901"/>
      <c r="AD364" s="901"/>
      <c r="AE364" s="901"/>
      <c r="AF364" s="901"/>
      <c r="AG364" s="901"/>
      <c r="AH364" s="901"/>
      <c r="AI364" s="901"/>
      <c r="AJ364" s="901"/>
      <c r="AK364" s="901"/>
      <c r="AL364" s="901"/>
      <c r="AM364" s="901"/>
      <c r="AN364" s="902"/>
    </row>
    <row r="365" spans="1:45" ht="30.75" customHeight="1" x14ac:dyDescent="0.6">
      <c r="A365" s="891"/>
      <c r="B365" s="892"/>
      <c r="C365" s="892"/>
      <c r="D365" s="892"/>
      <c r="E365" s="892"/>
      <c r="F365" s="892"/>
      <c r="G365" s="892"/>
      <c r="H365" s="892"/>
      <c r="I365" s="892"/>
      <c r="J365" s="892"/>
      <c r="K365" s="892"/>
      <c r="L365" s="893"/>
      <c r="M365" s="900"/>
      <c r="N365" s="901"/>
      <c r="O365" s="901"/>
      <c r="P365" s="901"/>
      <c r="Q365" s="901"/>
      <c r="R365" s="901"/>
      <c r="S365" s="901"/>
      <c r="T365" s="901"/>
      <c r="U365" s="901"/>
      <c r="V365" s="901"/>
      <c r="W365" s="901"/>
      <c r="X365" s="901"/>
      <c r="Y365" s="901"/>
      <c r="Z365" s="901"/>
      <c r="AA365" s="901"/>
      <c r="AB365" s="901"/>
      <c r="AC365" s="901"/>
      <c r="AD365" s="901"/>
      <c r="AE365" s="901"/>
      <c r="AF365" s="901"/>
      <c r="AG365" s="901"/>
      <c r="AH365" s="901"/>
      <c r="AI365" s="901"/>
      <c r="AJ365" s="901"/>
      <c r="AK365" s="901"/>
      <c r="AL365" s="901"/>
      <c r="AM365" s="901"/>
      <c r="AN365" s="902"/>
    </row>
    <row r="366" spans="1:45" ht="30.75" customHeight="1" x14ac:dyDescent="0.6">
      <c r="A366" s="891"/>
      <c r="B366" s="892"/>
      <c r="C366" s="892"/>
      <c r="D366" s="892"/>
      <c r="E366" s="892"/>
      <c r="F366" s="892"/>
      <c r="G366" s="892"/>
      <c r="H366" s="892"/>
      <c r="I366" s="892"/>
      <c r="J366" s="892"/>
      <c r="K366" s="892"/>
      <c r="L366" s="893"/>
      <c r="M366" s="900"/>
      <c r="N366" s="901"/>
      <c r="O366" s="901"/>
      <c r="P366" s="901"/>
      <c r="Q366" s="901"/>
      <c r="R366" s="901"/>
      <c r="S366" s="901"/>
      <c r="T366" s="901"/>
      <c r="U366" s="901"/>
      <c r="V366" s="901"/>
      <c r="W366" s="901"/>
      <c r="X366" s="901"/>
      <c r="Y366" s="901"/>
      <c r="Z366" s="901"/>
      <c r="AA366" s="901"/>
      <c r="AB366" s="901"/>
      <c r="AC366" s="901"/>
      <c r="AD366" s="901"/>
      <c r="AE366" s="901"/>
      <c r="AF366" s="901"/>
      <c r="AG366" s="901"/>
      <c r="AH366" s="901"/>
      <c r="AI366" s="901"/>
      <c r="AJ366" s="901"/>
      <c r="AK366" s="901"/>
      <c r="AL366" s="901"/>
      <c r="AM366" s="901"/>
      <c r="AN366" s="902"/>
    </row>
    <row r="367" spans="1:45" ht="30.75" customHeight="1" x14ac:dyDescent="0.6">
      <c r="A367" s="891"/>
      <c r="B367" s="892"/>
      <c r="C367" s="892"/>
      <c r="D367" s="892"/>
      <c r="E367" s="892"/>
      <c r="F367" s="892"/>
      <c r="G367" s="892"/>
      <c r="H367" s="892"/>
      <c r="I367" s="892"/>
      <c r="J367" s="892"/>
      <c r="K367" s="892"/>
      <c r="L367" s="893"/>
      <c r="M367" s="900"/>
      <c r="N367" s="901"/>
      <c r="O367" s="901"/>
      <c r="P367" s="901"/>
      <c r="Q367" s="901"/>
      <c r="R367" s="901"/>
      <c r="S367" s="901"/>
      <c r="T367" s="901"/>
      <c r="U367" s="901"/>
      <c r="V367" s="901"/>
      <c r="W367" s="901"/>
      <c r="X367" s="901"/>
      <c r="Y367" s="901"/>
      <c r="Z367" s="901"/>
      <c r="AA367" s="901"/>
      <c r="AB367" s="901"/>
      <c r="AC367" s="901"/>
      <c r="AD367" s="901"/>
      <c r="AE367" s="901"/>
      <c r="AF367" s="901"/>
      <c r="AG367" s="901"/>
      <c r="AH367" s="901"/>
      <c r="AI367" s="901"/>
      <c r="AJ367" s="901"/>
      <c r="AK367" s="901"/>
      <c r="AL367" s="901"/>
      <c r="AM367" s="901"/>
      <c r="AN367" s="902"/>
    </row>
    <row r="368" spans="1:45" ht="30.75" customHeight="1" x14ac:dyDescent="0.6">
      <c r="A368" s="891"/>
      <c r="B368" s="892"/>
      <c r="C368" s="892"/>
      <c r="D368" s="892"/>
      <c r="E368" s="892"/>
      <c r="F368" s="892"/>
      <c r="G368" s="892"/>
      <c r="H368" s="892"/>
      <c r="I368" s="892"/>
      <c r="J368" s="892"/>
      <c r="K368" s="892"/>
      <c r="L368" s="893"/>
      <c r="M368" s="900"/>
      <c r="N368" s="901"/>
      <c r="O368" s="901"/>
      <c r="P368" s="901"/>
      <c r="Q368" s="901"/>
      <c r="R368" s="901"/>
      <c r="S368" s="901"/>
      <c r="T368" s="901"/>
      <c r="U368" s="901"/>
      <c r="V368" s="901"/>
      <c r="W368" s="901"/>
      <c r="X368" s="901"/>
      <c r="Y368" s="901"/>
      <c r="Z368" s="901"/>
      <c r="AA368" s="901"/>
      <c r="AB368" s="901"/>
      <c r="AC368" s="901"/>
      <c r="AD368" s="901"/>
      <c r="AE368" s="901"/>
      <c r="AF368" s="901"/>
      <c r="AG368" s="901"/>
      <c r="AH368" s="901"/>
      <c r="AI368" s="901"/>
      <c r="AJ368" s="901"/>
      <c r="AK368" s="901"/>
      <c r="AL368" s="901"/>
      <c r="AM368" s="901"/>
      <c r="AN368" s="902"/>
    </row>
    <row r="369" spans="1:40" ht="30.75" customHeight="1" x14ac:dyDescent="0.6">
      <c r="A369" s="891"/>
      <c r="B369" s="892"/>
      <c r="C369" s="892"/>
      <c r="D369" s="892"/>
      <c r="E369" s="892"/>
      <c r="F369" s="892"/>
      <c r="G369" s="892"/>
      <c r="H369" s="892"/>
      <c r="I369" s="892"/>
      <c r="J369" s="892"/>
      <c r="K369" s="892"/>
      <c r="L369" s="893"/>
      <c r="M369" s="900"/>
      <c r="N369" s="901"/>
      <c r="O369" s="901"/>
      <c r="P369" s="901"/>
      <c r="Q369" s="901"/>
      <c r="R369" s="901"/>
      <c r="S369" s="901"/>
      <c r="T369" s="901"/>
      <c r="U369" s="901"/>
      <c r="V369" s="901"/>
      <c r="W369" s="901"/>
      <c r="X369" s="901"/>
      <c r="Y369" s="901"/>
      <c r="Z369" s="901"/>
      <c r="AA369" s="901"/>
      <c r="AB369" s="901"/>
      <c r="AC369" s="901"/>
      <c r="AD369" s="901"/>
      <c r="AE369" s="901"/>
      <c r="AF369" s="901"/>
      <c r="AG369" s="901"/>
      <c r="AH369" s="901"/>
      <c r="AI369" s="901"/>
      <c r="AJ369" s="901"/>
      <c r="AK369" s="901"/>
      <c r="AL369" s="901"/>
      <c r="AM369" s="901"/>
      <c r="AN369" s="902"/>
    </row>
    <row r="370" spans="1:40" ht="30.75" customHeight="1" x14ac:dyDescent="0.6">
      <c r="A370" s="891"/>
      <c r="B370" s="892"/>
      <c r="C370" s="892"/>
      <c r="D370" s="892"/>
      <c r="E370" s="892"/>
      <c r="F370" s="892"/>
      <c r="G370" s="892"/>
      <c r="H370" s="892"/>
      <c r="I370" s="892"/>
      <c r="J370" s="892"/>
      <c r="K370" s="892"/>
      <c r="L370" s="893"/>
      <c r="M370" s="900"/>
      <c r="N370" s="901"/>
      <c r="O370" s="901"/>
      <c r="P370" s="901"/>
      <c r="Q370" s="901"/>
      <c r="R370" s="901"/>
      <c r="S370" s="901"/>
      <c r="T370" s="901"/>
      <c r="U370" s="901"/>
      <c r="V370" s="901"/>
      <c r="W370" s="901"/>
      <c r="X370" s="901"/>
      <c r="Y370" s="901"/>
      <c r="Z370" s="901"/>
      <c r="AA370" s="901"/>
      <c r="AB370" s="901"/>
      <c r="AC370" s="901"/>
      <c r="AD370" s="901"/>
      <c r="AE370" s="901"/>
      <c r="AF370" s="901"/>
      <c r="AG370" s="901"/>
      <c r="AH370" s="901"/>
      <c r="AI370" s="901"/>
      <c r="AJ370" s="901"/>
      <c r="AK370" s="901"/>
      <c r="AL370" s="901"/>
      <c r="AM370" s="901"/>
      <c r="AN370" s="902"/>
    </row>
    <row r="371" spans="1:40" ht="30.75" customHeight="1" x14ac:dyDescent="0.6">
      <c r="A371" s="891"/>
      <c r="B371" s="892"/>
      <c r="C371" s="892"/>
      <c r="D371" s="892"/>
      <c r="E371" s="892"/>
      <c r="F371" s="892"/>
      <c r="G371" s="892"/>
      <c r="H371" s="892"/>
      <c r="I371" s="892"/>
      <c r="J371" s="892"/>
      <c r="K371" s="892"/>
      <c r="L371" s="893"/>
      <c r="M371" s="900"/>
      <c r="N371" s="901"/>
      <c r="O371" s="901"/>
      <c r="P371" s="901"/>
      <c r="Q371" s="901"/>
      <c r="R371" s="901"/>
      <c r="S371" s="901"/>
      <c r="T371" s="901"/>
      <c r="U371" s="901"/>
      <c r="V371" s="901"/>
      <c r="W371" s="901"/>
      <c r="X371" s="901"/>
      <c r="Y371" s="901"/>
      <c r="Z371" s="901"/>
      <c r="AA371" s="901"/>
      <c r="AB371" s="901"/>
      <c r="AC371" s="901"/>
      <c r="AD371" s="901"/>
      <c r="AE371" s="901"/>
      <c r="AF371" s="901"/>
      <c r="AG371" s="901"/>
      <c r="AH371" s="901"/>
      <c r="AI371" s="901"/>
      <c r="AJ371" s="901"/>
      <c r="AK371" s="901"/>
      <c r="AL371" s="901"/>
      <c r="AM371" s="901"/>
      <c r="AN371" s="902"/>
    </row>
    <row r="372" spans="1:40" ht="30.75" customHeight="1" x14ac:dyDescent="0.6">
      <c r="A372" s="891"/>
      <c r="B372" s="892"/>
      <c r="C372" s="892"/>
      <c r="D372" s="892"/>
      <c r="E372" s="892"/>
      <c r="F372" s="892"/>
      <c r="G372" s="892"/>
      <c r="H372" s="892"/>
      <c r="I372" s="892"/>
      <c r="J372" s="892"/>
      <c r="K372" s="892"/>
      <c r="L372" s="893"/>
      <c r="M372" s="900"/>
      <c r="N372" s="901"/>
      <c r="O372" s="901"/>
      <c r="P372" s="901"/>
      <c r="Q372" s="901"/>
      <c r="R372" s="901"/>
      <c r="S372" s="901"/>
      <c r="T372" s="901"/>
      <c r="U372" s="901"/>
      <c r="V372" s="901"/>
      <c r="W372" s="901"/>
      <c r="X372" s="901"/>
      <c r="Y372" s="901"/>
      <c r="Z372" s="901"/>
      <c r="AA372" s="901"/>
      <c r="AB372" s="901"/>
      <c r="AC372" s="901"/>
      <c r="AD372" s="901"/>
      <c r="AE372" s="901"/>
      <c r="AF372" s="901"/>
      <c r="AG372" s="901"/>
      <c r="AH372" s="901"/>
      <c r="AI372" s="901"/>
      <c r="AJ372" s="901"/>
      <c r="AK372" s="901"/>
      <c r="AL372" s="901"/>
      <c r="AM372" s="901"/>
      <c r="AN372" s="902"/>
    </row>
    <row r="373" spans="1:40" ht="30.75" customHeight="1" x14ac:dyDescent="0.6">
      <c r="A373" s="891"/>
      <c r="B373" s="892"/>
      <c r="C373" s="892"/>
      <c r="D373" s="892"/>
      <c r="E373" s="892"/>
      <c r="F373" s="892"/>
      <c r="G373" s="892"/>
      <c r="H373" s="892"/>
      <c r="I373" s="892"/>
      <c r="J373" s="892"/>
      <c r="K373" s="892"/>
      <c r="L373" s="893"/>
      <c r="M373" s="900"/>
      <c r="N373" s="901"/>
      <c r="O373" s="901"/>
      <c r="P373" s="901"/>
      <c r="Q373" s="901"/>
      <c r="R373" s="901"/>
      <c r="S373" s="901"/>
      <c r="T373" s="901"/>
      <c r="U373" s="901"/>
      <c r="V373" s="901"/>
      <c r="W373" s="901"/>
      <c r="X373" s="901"/>
      <c r="Y373" s="901"/>
      <c r="Z373" s="901"/>
      <c r="AA373" s="901"/>
      <c r="AB373" s="901"/>
      <c r="AC373" s="901"/>
      <c r="AD373" s="901"/>
      <c r="AE373" s="901"/>
      <c r="AF373" s="901"/>
      <c r="AG373" s="901"/>
      <c r="AH373" s="901"/>
      <c r="AI373" s="901"/>
      <c r="AJ373" s="901"/>
      <c r="AK373" s="901"/>
      <c r="AL373" s="901"/>
      <c r="AM373" s="901"/>
      <c r="AN373" s="902"/>
    </row>
    <row r="374" spans="1:40" ht="30.75" customHeight="1" x14ac:dyDescent="0.6">
      <c r="A374" s="891"/>
      <c r="B374" s="892"/>
      <c r="C374" s="892"/>
      <c r="D374" s="892"/>
      <c r="E374" s="892"/>
      <c r="F374" s="892"/>
      <c r="G374" s="892"/>
      <c r="H374" s="892"/>
      <c r="I374" s="892"/>
      <c r="J374" s="892"/>
      <c r="K374" s="892"/>
      <c r="L374" s="893"/>
      <c r="M374" s="900"/>
      <c r="N374" s="901"/>
      <c r="O374" s="901"/>
      <c r="P374" s="901"/>
      <c r="Q374" s="901"/>
      <c r="R374" s="901"/>
      <c r="S374" s="901"/>
      <c r="T374" s="901"/>
      <c r="U374" s="901"/>
      <c r="V374" s="901"/>
      <c r="W374" s="901"/>
      <c r="X374" s="901"/>
      <c r="Y374" s="901"/>
      <c r="Z374" s="901"/>
      <c r="AA374" s="901"/>
      <c r="AB374" s="901"/>
      <c r="AC374" s="901"/>
      <c r="AD374" s="901"/>
      <c r="AE374" s="901"/>
      <c r="AF374" s="901"/>
      <c r="AG374" s="901"/>
      <c r="AH374" s="901"/>
      <c r="AI374" s="901"/>
      <c r="AJ374" s="901"/>
      <c r="AK374" s="901"/>
      <c r="AL374" s="901"/>
      <c r="AM374" s="901"/>
      <c r="AN374" s="902"/>
    </row>
    <row r="375" spans="1:40" ht="30.75" customHeight="1" x14ac:dyDescent="0.6">
      <c r="A375" s="891"/>
      <c r="B375" s="892"/>
      <c r="C375" s="892"/>
      <c r="D375" s="892"/>
      <c r="E375" s="892"/>
      <c r="F375" s="892"/>
      <c r="G375" s="892"/>
      <c r="H375" s="892"/>
      <c r="I375" s="892"/>
      <c r="J375" s="892"/>
      <c r="K375" s="892"/>
      <c r="L375" s="893"/>
      <c r="M375" s="900"/>
      <c r="N375" s="901"/>
      <c r="O375" s="901"/>
      <c r="P375" s="901"/>
      <c r="Q375" s="901"/>
      <c r="R375" s="901"/>
      <c r="S375" s="901"/>
      <c r="T375" s="901"/>
      <c r="U375" s="901"/>
      <c r="V375" s="901"/>
      <c r="W375" s="901"/>
      <c r="X375" s="901"/>
      <c r="Y375" s="901"/>
      <c r="Z375" s="901"/>
      <c r="AA375" s="901"/>
      <c r="AB375" s="901"/>
      <c r="AC375" s="901"/>
      <c r="AD375" s="901"/>
      <c r="AE375" s="901"/>
      <c r="AF375" s="901"/>
      <c r="AG375" s="901"/>
      <c r="AH375" s="901"/>
      <c r="AI375" s="901"/>
      <c r="AJ375" s="901"/>
      <c r="AK375" s="901"/>
      <c r="AL375" s="901"/>
      <c r="AM375" s="901"/>
      <c r="AN375" s="902"/>
    </row>
    <row r="376" spans="1:40" ht="30.75" customHeight="1" x14ac:dyDescent="0.6">
      <c r="A376" s="891"/>
      <c r="B376" s="892"/>
      <c r="C376" s="892"/>
      <c r="D376" s="892"/>
      <c r="E376" s="892"/>
      <c r="F376" s="892"/>
      <c r="G376" s="892"/>
      <c r="H376" s="892"/>
      <c r="I376" s="892"/>
      <c r="J376" s="892"/>
      <c r="K376" s="892"/>
      <c r="L376" s="893"/>
      <c r="M376" s="900"/>
      <c r="N376" s="901"/>
      <c r="O376" s="901"/>
      <c r="P376" s="901"/>
      <c r="Q376" s="901"/>
      <c r="R376" s="901"/>
      <c r="S376" s="901"/>
      <c r="T376" s="901"/>
      <c r="U376" s="901"/>
      <c r="V376" s="901"/>
      <c r="W376" s="901"/>
      <c r="X376" s="901"/>
      <c r="Y376" s="901"/>
      <c r="Z376" s="901"/>
      <c r="AA376" s="901"/>
      <c r="AB376" s="901"/>
      <c r="AC376" s="901"/>
      <c r="AD376" s="901"/>
      <c r="AE376" s="901"/>
      <c r="AF376" s="901"/>
      <c r="AG376" s="901"/>
      <c r="AH376" s="901"/>
      <c r="AI376" s="901"/>
      <c r="AJ376" s="901"/>
      <c r="AK376" s="901"/>
      <c r="AL376" s="901"/>
      <c r="AM376" s="901"/>
      <c r="AN376" s="902"/>
    </row>
    <row r="377" spans="1:40" ht="30.75" customHeight="1" x14ac:dyDescent="0.6">
      <c r="A377" s="891"/>
      <c r="B377" s="892"/>
      <c r="C377" s="892"/>
      <c r="D377" s="892"/>
      <c r="E377" s="892"/>
      <c r="F377" s="892"/>
      <c r="G377" s="892"/>
      <c r="H377" s="892"/>
      <c r="I377" s="892"/>
      <c r="J377" s="892"/>
      <c r="K377" s="892"/>
      <c r="L377" s="893"/>
      <c r="M377" s="900"/>
      <c r="N377" s="901"/>
      <c r="O377" s="901"/>
      <c r="P377" s="901"/>
      <c r="Q377" s="901"/>
      <c r="R377" s="901"/>
      <c r="S377" s="901"/>
      <c r="T377" s="901"/>
      <c r="U377" s="901"/>
      <c r="V377" s="901"/>
      <c r="W377" s="901"/>
      <c r="X377" s="901"/>
      <c r="Y377" s="901"/>
      <c r="Z377" s="901"/>
      <c r="AA377" s="901"/>
      <c r="AB377" s="901"/>
      <c r="AC377" s="901"/>
      <c r="AD377" s="901"/>
      <c r="AE377" s="901"/>
      <c r="AF377" s="901"/>
      <c r="AG377" s="901"/>
      <c r="AH377" s="901"/>
      <c r="AI377" s="901"/>
      <c r="AJ377" s="901"/>
      <c r="AK377" s="901"/>
      <c r="AL377" s="901"/>
      <c r="AM377" s="901"/>
      <c r="AN377" s="902"/>
    </row>
    <row r="378" spans="1:40" ht="30.75" customHeight="1" x14ac:dyDescent="0.6">
      <c r="A378" s="891"/>
      <c r="B378" s="892"/>
      <c r="C378" s="892"/>
      <c r="D378" s="892"/>
      <c r="E378" s="892"/>
      <c r="F378" s="892"/>
      <c r="G378" s="892"/>
      <c r="H378" s="892"/>
      <c r="I378" s="892"/>
      <c r="J378" s="892"/>
      <c r="K378" s="892"/>
      <c r="L378" s="893"/>
      <c r="M378" s="900"/>
      <c r="N378" s="901"/>
      <c r="O378" s="901"/>
      <c r="P378" s="901"/>
      <c r="Q378" s="901"/>
      <c r="R378" s="901"/>
      <c r="S378" s="901"/>
      <c r="T378" s="901"/>
      <c r="U378" s="901"/>
      <c r="V378" s="901"/>
      <c r="W378" s="901"/>
      <c r="X378" s="901"/>
      <c r="Y378" s="901"/>
      <c r="Z378" s="901"/>
      <c r="AA378" s="901"/>
      <c r="AB378" s="901"/>
      <c r="AC378" s="901"/>
      <c r="AD378" s="901"/>
      <c r="AE378" s="901"/>
      <c r="AF378" s="901"/>
      <c r="AG378" s="901"/>
      <c r="AH378" s="901"/>
      <c r="AI378" s="901"/>
      <c r="AJ378" s="901"/>
      <c r="AK378" s="901"/>
      <c r="AL378" s="901"/>
      <c r="AM378" s="901"/>
      <c r="AN378" s="902"/>
    </row>
    <row r="379" spans="1:40" ht="30.75" customHeight="1" x14ac:dyDescent="0.6">
      <c r="A379" s="891"/>
      <c r="B379" s="892"/>
      <c r="C379" s="892"/>
      <c r="D379" s="892"/>
      <c r="E379" s="892"/>
      <c r="F379" s="892"/>
      <c r="G379" s="892"/>
      <c r="H379" s="892"/>
      <c r="I379" s="892"/>
      <c r="J379" s="892"/>
      <c r="K379" s="892"/>
      <c r="L379" s="893"/>
      <c r="M379" s="900"/>
      <c r="N379" s="901"/>
      <c r="O379" s="901"/>
      <c r="P379" s="901"/>
      <c r="Q379" s="901"/>
      <c r="R379" s="901"/>
      <c r="S379" s="901"/>
      <c r="T379" s="901"/>
      <c r="U379" s="901"/>
      <c r="V379" s="901"/>
      <c r="W379" s="901"/>
      <c r="X379" s="901"/>
      <c r="Y379" s="901"/>
      <c r="Z379" s="901"/>
      <c r="AA379" s="901"/>
      <c r="AB379" s="901"/>
      <c r="AC379" s="901"/>
      <c r="AD379" s="901"/>
      <c r="AE379" s="901"/>
      <c r="AF379" s="901"/>
      <c r="AG379" s="901"/>
      <c r="AH379" s="901"/>
      <c r="AI379" s="901"/>
      <c r="AJ379" s="901"/>
      <c r="AK379" s="901"/>
      <c r="AL379" s="901"/>
      <c r="AM379" s="901"/>
      <c r="AN379" s="902"/>
    </row>
    <row r="380" spans="1:40" ht="30.75" customHeight="1" x14ac:dyDescent="0.6">
      <c r="A380" s="891"/>
      <c r="B380" s="892"/>
      <c r="C380" s="892"/>
      <c r="D380" s="892"/>
      <c r="E380" s="892"/>
      <c r="F380" s="892"/>
      <c r="G380" s="892"/>
      <c r="H380" s="892"/>
      <c r="I380" s="892"/>
      <c r="J380" s="892"/>
      <c r="K380" s="892"/>
      <c r="L380" s="893"/>
      <c r="M380" s="900"/>
      <c r="N380" s="901"/>
      <c r="O380" s="901"/>
      <c r="P380" s="901"/>
      <c r="Q380" s="901"/>
      <c r="R380" s="901"/>
      <c r="S380" s="901"/>
      <c r="T380" s="901"/>
      <c r="U380" s="901"/>
      <c r="V380" s="901"/>
      <c r="W380" s="901"/>
      <c r="X380" s="901"/>
      <c r="Y380" s="901"/>
      <c r="Z380" s="901"/>
      <c r="AA380" s="901"/>
      <c r="AB380" s="901"/>
      <c r="AC380" s="901"/>
      <c r="AD380" s="901"/>
      <c r="AE380" s="901"/>
      <c r="AF380" s="901"/>
      <c r="AG380" s="901"/>
      <c r="AH380" s="901"/>
      <c r="AI380" s="901"/>
      <c r="AJ380" s="901"/>
      <c r="AK380" s="901"/>
      <c r="AL380" s="901"/>
      <c r="AM380" s="901"/>
      <c r="AN380" s="902"/>
    </row>
    <row r="381" spans="1:40" ht="30.75" customHeight="1" x14ac:dyDescent="0.6">
      <c r="A381" s="891"/>
      <c r="B381" s="892"/>
      <c r="C381" s="892"/>
      <c r="D381" s="892"/>
      <c r="E381" s="892"/>
      <c r="F381" s="892"/>
      <c r="G381" s="892"/>
      <c r="H381" s="892"/>
      <c r="I381" s="892"/>
      <c r="J381" s="892"/>
      <c r="K381" s="892"/>
      <c r="L381" s="893"/>
      <c r="M381" s="900"/>
      <c r="N381" s="901"/>
      <c r="O381" s="901"/>
      <c r="P381" s="901"/>
      <c r="Q381" s="901"/>
      <c r="R381" s="901"/>
      <c r="S381" s="901"/>
      <c r="T381" s="901"/>
      <c r="U381" s="901"/>
      <c r="V381" s="901"/>
      <c r="W381" s="901"/>
      <c r="X381" s="901"/>
      <c r="Y381" s="901"/>
      <c r="Z381" s="901"/>
      <c r="AA381" s="901"/>
      <c r="AB381" s="901"/>
      <c r="AC381" s="901"/>
      <c r="AD381" s="901"/>
      <c r="AE381" s="901"/>
      <c r="AF381" s="901"/>
      <c r="AG381" s="901"/>
      <c r="AH381" s="901"/>
      <c r="AI381" s="901"/>
      <c r="AJ381" s="901"/>
      <c r="AK381" s="901"/>
      <c r="AL381" s="901"/>
      <c r="AM381" s="901"/>
      <c r="AN381" s="902"/>
    </row>
    <row r="382" spans="1:40" ht="30.75" customHeight="1" x14ac:dyDescent="0.6">
      <c r="A382" s="891"/>
      <c r="B382" s="892"/>
      <c r="C382" s="892"/>
      <c r="D382" s="892"/>
      <c r="E382" s="892"/>
      <c r="F382" s="892"/>
      <c r="G382" s="892"/>
      <c r="H382" s="892"/>
      <c r="I382" s="892"/>
      <c r="J382" s="892"/>
      <c r="K382" s="892"/>
      <c r="L382" s="893"/>
      <c r="M382" s="900"/>
      <c r="N382" s="901"/>
      <c r="O382" s="901"/>
      <c r="P382" s="901"/>
      <c r="Q382" s="901"/>
      <c r="R382" s="901"/>
      <c r="S382" s="901"/>
      <c r="T382" s="901"/>
      <c r="U382" s="901"/>
      <c r="V382" s="901"/>
      <c r="W382" s="901"/>
      <c r="X382" s="901"/>
      <c r="Y382" s="901"/>
      <c r="Z382" s="901"/>
      <c r="AA382" s="901"/>
      <c r="AB382" s="901"/>
      <c r="AC382" s="901"/>
      <c r="AD382" s="901"/>
      <c r="AE382" s="901"/>
      <c r="AF382" s="901"/>
      <c r="AG382" s="901"/>
      <c r="AH382" s="901"/>
      <c r="AI382" s="901"/>
      <c r="AJ382" s="901"/>
      <c r="AK382" s="901"/>
      <c r="AL382" s="901"/>
      <c r="AM382" s="901"/>
      <c r="AN382" s="902"/>
    </row>
    <row r="383" spans="1:40" ht="30.75" customHeight="1" x14ac:dyDescent="0.6">
      <c r="A383" s="891"/>
      <c r="B383" s="892"/>
      <c r="C383" s="892"/>
      <c r="D383" s="892"/>
      <c r="E383" s="892"/>
      <c r="F383" s="892"/>
      <c r="G383" s="892"/>
      <c r="H383" s="892"/>
      <c r="I383" s="892"/>
      <c r="J383" s="892"/>
      <c r="K383" s="892"/>
      <c r="L383" s="893"/>
      <c r="M383" s="900"/>
      <c r="N383" s="901"/>
      <c r="O383" s="901"/>
      <c r="P383" s="901"/>
      <c r="Q383" s="901"/>
      <c r="R383" s="901"/>
      <c r="S383" s="901"/>
      <c r="T383" s="901"/>
      <c r="U383" s="901"/>
      <c r="V383" s="901"/>
      <c r="W383" s="901"/>
      <c r="X383" s="901"/>
      <c r="Y383" s="901"/>
      <c r="Z383" s="901"/>
      <c r="AA383" s="901"/>
      <c r="AB383" s="901"/>
      <c r="AC383" s="901"/>
      <c r="AD383" s="901"/>
      <c r="AE383" s="901"/>
      <c r="AF383" s="901"/>
      <c r="AG383" s="901"/>
      <c r="AH383" s="901"/>
      <c r="AI383" s="901"/>
      <c r="AJ383" s="901"/>
      <c r="AK383" s="901"/>
      <c r="AL383" s="901"/>
      <c r="AM383" s="901"/>
      <c r="AN383" s="902"/>
    </row>
    <row r="384" spans="1:40" ht="30.75" customHeight="1" x14ac:dyDescent="0.6">
      <c r="A384" s="891"/>
      <c r="B384" s="892"/>
      <c r="C384" s="892"/>
      <c r="D384" s="892"/>
      <c r="E384" s="892"/>
      <c r="F384" s="892"/>
      <c r="G384" s="892"/>
      <c r="H384" s="892"/>
      <c r="I384" s="892"/>
      <c r="J384" s="892"/>
      <c r="K384" s="892"/>
      <c r="L384" s="893"/>
      <c r="M384" s="900"/>
      <c r="N384" s="901"/>
      <c r="O384" s="901"/>
      <c r="P384" s="901"/>
      <c r="Q384" s="901"/>
      <c r="R384" s="901"/>
      <c r="S384" s="901"/>
      <c r="T384" s="901"/>
      <c r="U384" s="901"/>
      <c r="V384" s="901"/>
      <c r="W384" s="901"/>
      <c r="X384" s="901"/>
      <c r="Y384" s="901"/>
      <c r="Z384" s="901"/>
      <c r="AA384" s="901"/>
      <c r="AB384" s="901"/>
      <c r="AC384" s="901"/>
      <c r="AD384" s="901"/>
      <c r="AE384" s="901"/>
      <c r="AF384" s="901"/>
      <c r="AG384" s="901"/>
      <c r="AH384" s="901"/>
      <c r="AI384" s="901"/>
      <c r="AJ384" s="901"/>
      <c r="AK384" s="901"/>
      <c r="AL384" s="901"/>
      <c r="AM384" s="901"/>
      <c r="AN384" s="902"/>
    </row>
    <row r="385" spans="1:40" ht="30.75" customHeight="1" x14ac:dyDescent="0.6">
      <c r="A385" s="891"/>
      <c r="B385" s="892"/>
      <c r="C385" s="892"/>
      <c r="D385" s="892"/>
      <c r="E385" s="892"/>
      <c r="F385" s="892"/>
      <c r="G385" s="892"/>
      <c r="H385" s="892"/>
      <c r="I385" s="892"/>
      <c r="J385" s="892"/>
      <c r="K385" s="892"/>
      <c r="L385" s="893"/>
      <c r="M385" s="900"/>
      <c r="N385" s="901"/>
      <c r="O385" s="901"/>
      <c r="P385" s="901"/>
      <c r="Q385" s="901"/>
      <c r="R385" s="901"/>
      <c r="S385" s="901"/>
      <c r="T385" s="901"/>
      <c r="U385" s="901"/>
      <c r="V385" s="901"/>
      <c r="W385" s="901"/>
      <c r="X385" s="901"/>
      <c r="Y385" s="901"/>
      <c r="Z385" s="901"/>
      <c r="AA385" s="901"/>
      <c r="AB385" s="901"/>
      <c r="AC385" s="901"/>
      <c r="AD385" s="901"/>
      <c r="AE385" s="901"/>
      <c r="AF385" s="901"/>
      <c r="AG385" s="901"/>
      <c r="AH385" s="901"/>
      <c r="AI385" s="901"/>
      <c r="AJ385" s="901"/>
      <c r="AK385" s="901"/>
      <c r="AL385" s="901"/>
      <c r="AM385" s="901"/>
      <c r="AN385" s="902"/>
    </row>
    <row r="386" spans="1:40" ht="30.75" customHeight="1" x14ac:dyDescent="0.6">
      <c r="A386" s="891"/>
      <c r="B386" s="892"/>
      <c r="C386" s="892"/>
      <c r="D386" s="892"/>
      <c r="E386" s="892"/>
      <c r="F386" s="892"/>
      <c r="G386" s="892"/>
      <c r="H386" s="892"/>
      <c r="I386" s="892"/>
      <c r="J386" s="892"/>
      <c r="K386" s="892"/>
      <c r="L386" s="893"/>
      <c r="M386" s="900"/>
      <c r="N386" s="901"/>
      <c r="O386" s="901"/>
      <c r="P386" s="901"/>
      <c r="Q386" s="901"/>
      <c r="R386" s="901"/>
      <c r="S386" s="901"/>
      <c r="T386" s="901"/>
      <c r="U386" s="901"/>
      <c r="V386" s="901"/>
      <c r="W386" s="901"/>
      <c r="X386" s="901"/>
      <c r="Y386" s="901"/>
      <c r="Z386" s="901"/>
      <c r="AA386" s="901"/>
      <c r="AB386" s="901"/>
      <c r="AC386" s="901"/>
      <c r="AD386" s="901"/>
      <c r="AE386" s="901"/>
      <c r="AF386" s="901"/>
      <c r="AG386" s="901"/>
      <c r="AH386" s="901"/>
      <c r="AI386" s="901"/>
      <c r="AJ386" s="901"/>
      <c r="AK386" s="901"/>
      <c r="AL386" s="901"/>
      <c r="AM386" s="901"/>
      <c r="AN386" s="902"/>
    </row>
    <row r="387" spans="1:40" ht="30.75" customHeight="1" x14ac:dyDescent="0.6">
      <c r="A387" s="891"/>
      <c r="B387" s="892"/>
      <c r="C387" s="892"/>
      <c r="D387" s="892"/>
      <c r="E387" s="892"/>
      <c r="F387" s="892"/>
      <c r="G387" s="892"/>
      <c r="H387" s="892"/>
      <c r="I387" s="892"/>
      <c r="J387" s="892"/>
      <c r="K387" s="892"/>
      <c r="L387" s="893"/>
      <c r="M387" s="900"/>
      <c r="N387" s="901"/>
      <c r="O387" s="901"/>
      <c r="P387" s="901"/>
      <c r="Q387" s="901"/>
      <c r="R387" s="901"/>
      <c r="S387" s="901"/>
      <c r="T387" s="901"/>
      <c r="U387" s="901"/>
      <c r="V387" s="901"/>
      <c r="W387" s="901"/>
      <c r="X387" s="901"/>
      <c r="Y387" s="901"/>
      <c r="Z387" s="901"/>
      <c r="AA387" s="901"/>
      <c r="AB387" s="901"/>
      <c r="AC387" s="901"/>
      <c r="AD387" s="901"/>
      <c r="AE387" s="901"/>
      <c r="AF387" s="901"/>
      <c r="AG387" s="901"/>
      <c r="AH387" s="901"/>
      <c r="AI387" s="901"/>
      <c r="AJ387" s="901"/>
      <c r="AK387" s="901"/>
      <c r="AL387" s="901"/>
      <c r="AM387" s="901"/>
      <c r="AN387" s="902"/>
    </row>
    <row r="388" spans="1:40" ht="30.75" customHeight="1" x14ac:dyDescent="0.6">
      <c r="A388" s="891"/>
      <c r="B388" s="892"/>
      <c r="C388" s="892"/>
      <c r="D388" s="892"/>
      <c r="E388" s="892"/>
      <c r="F388" s="892"/>
      <c r="G388" s="892"/>
      <c r="H388" s="892"/>
      <c r="I388" s="892"/>
      <c r="J388" s="892"/>
      <c r="K388" s="892"/>
      <c r="L388" s="893"/>
      <c r="M388" s="900"/>
      <c r="N388" s="901"/>
      <c r="O388" s="901"/>
      <c r="P388" s="901"/>
      <c r="Q388" s="901"/>
      <c r="R388" s="901"/>
      <c r="S388" s="901"/>
      <c r="T388" s="901"/>
      <c r="U388" s="901"/>
      <c r="V388" s="901"/>
      <c r="W388" s="901"/>
      <c r="X388" s="901"/>
      <c r="Y388" s="901"/>
      <c r="Z388" s="901"/>
      <c r="AA388" s="901"/>
      <c r="AB388" s="901"/>
      <c r="AC388" s="901"/>
      <c r="AD388" s="901"/>
      <c r="AE388" s="901"/>
      <c r="AF388" s="901"/>
      <c r="AG388" s="901"/>
      <c r="AH388" s="901"/>
      <c r="AI388" s="901"/>
      <c r="AJ388" s="901"/>
      <c r="AK388" s="901"/>
      <c r="AL388" s="901"/>
      <c r="AM388" s="901"/>
      <c r="AN388" s="902"/>
    </row>
    <row r="389" spans="1:40" ht="30.75" customHeight="1" x14ac:dyDescent="0.6">
      <c r="A389" s="891"/>
      <c r="B389" s="892"/>
      <c r="C389" s="892"/>
      <c r="D389" s="892"/>
      <c r="E389" s="892"/>
      <c r="F389" s="892"/>
      <c r="G389" s="892"/>
      <c r="H389" s="892"/>
      <c r="I389" s="892"/>
      <c r="J389" s="892"/>
      <c r="K389" s="892"/>
      <c r="L389" s="893"/>
      <c r="M389" s="900"/>
      <c r="N389" s="901"/>
      <c r="O389" s="901"/>
      <c r="P389" s="901"/>
      <c r="Q389" s="901"/>
      <c r="R389" s="901"/>
      <c r="S389" s="901"/>
      <c r="T389" s="901"/>
      <c r="U389" s="901"/>
      <c r="V389" s="901"/>
      <c r="W389" s="901"/>
      <c r="X389" s="901"/>
      <c r="Y389" s="901"/>
      <c r="Z389" s="901"/>
      <c r="AA389" s="901"/>
      <c r="AB389" s="901"/>
      <c r="AC389" s="901"/>
      <c r="AD389" s="901"/>
      <c r="AE389" s="901"/>
      <c r="AF389" s="901"/>
      <c r="AG389" s="901"/>
      <c r="AH389" s="901"/>
      <c r="AI389" s="901"/>
      <c r="AJ389" s="901"/>
      <c r="AK389" s="901"/>
      <c r="AL389" s="901"/>
      <c r="AM389" s="901"/>
      <c r="AN389" s="902"/>
    </row>
    <row r="390" spans="1:40" ht="30.75" customHeight="1" x14ac:dyDescent="0.6">
      <c r="A390" s="891"/>
      <c r="B390" s="892"/>
      <c r="C390" s="892"/>
      <c r="D390" s="892"/>
      <c r="E390" s="892"/>
      <c r="F390" s="892"/>
      <c r="G390" s="892"/>
      <c r="H390" s="892"/>
      <c r="I390" s="892"/>
      <c r="J390" s="892"/>
      <c r="K390" s="892"/>
      <c r="L390" s="893"/>
      <c r="M390" s="900"/>
      <c r="N390" s="901"/>
      <c r="O390" s="901"/>
      <c r="P390" s="901"/>
      <c r="Q390" s="901"/>
      <c r="R390" s="901"/>
      <c r="S390" s="901"/>
      <c r="T390" s="901"/>
      <c r="U390" s="901"/>
      <c r="V390" s="901"/>
      <c r="W390" s="901"/>
      <c r="X390" s="901"/>
      <c r="Y390" s="901"/>
      <c r="Z390" s="901"/>
      <c r="AA390" s="901"/>
      <c r="AB390" s="901"/>
      <c r="AC390" s="901"/>
      <c r="AD390" s="901"/>
      <c r="AE390" s="901"/>
      <c r="AF390" s="901"/>
      <c r="AG390" s="901"/>
      <c r="AH390" s="901"/>
      <c r="AI390" s="901"/>
      <c r="AJ390" s="901"/>
      <c r="AK390" s="901"/>
      <c r="AL390" s="901"/>
      <c r="AM390" s="901"/>
      <c r="AN390" s="902"/>
    </row>
    <row r="391" spans="1:40" ht="30.75" customHeight="1" x14ac:dyDescent="0.6">
      <c r="A391" s="891"/>
      <c r="B391" s="892"/>
      <c r="C391" s="892"/>
      <c r="D391" s="892"/>
      <c r="E391" s="892"/>
      <c r="F391" s="892"/>
      <c r="G391" s="892"/>
      <c r="H391" s="892"/>
      <c r="I391" s="892"/>
      <c r="J391" s="892"/>
      <c r="K391" s="892"/>
      <c r="L391" s="893"/>
      <c r="M391" s="900"/>
      <c r="N391" s="901"/>
      <c r="O391" s="901"/>
      <c r="P391" s="901"/>
      <c r="Q391" s="901"/>
      <c r="R391" s="901"/>
      <c r="S391" s="901"/>
      <c r="T391" s="901"/>
      <c r="U391" s="901"/>
      <c r="V391" s="901"/>
      <c r="W391" s="901"/>
      <c r="X391" s="901"/>
      <c r="Y391" s="901"/>
      <c r="Z391" s="901"/>
      <c r="AA391" s="901"/>
      <c r="AB391" s="901"/>
      <c r="AC391" s="901"/>
      <c r="AD391" s="901"/>
      <c r="AE391" s="901"/>
      <c r="AF391" s="901"/>
      <c r="AG391" s="901"/>
      <c r="AH391" s="901"/>
      <c r="AI391" s="901"/>
      <c r="AJ391" s="901"/>
      <c r="AK391" s="901"/>
      <c r="AL391" s="901"/>
      <c r="AM391" s="901"/>
      <c r="AN391" s="902"/>
    </row>
    <row r="392" spans="1:40" ht="30.75" customHeight="1" thickBot="1" x14ac:dyDescent="0.65">
      <c r="A392" s="894"/>
      <c r="B392" s="895"/>
      <c r="C392" s="895"/>
      <c r="D392" s="895"/>
      <c r="E392" s="895"/>
      <c r="F392" s="895"/>
      <c r="G392" s="895"/>
      <c r="H392" s="895"/>
      <c r="I392" s="895"/>
      <c r="J392" s="895"/>
      <c r="K392" s="895"/>
      <c r="L392" s="896"/>
      <c r="M392" s="903"/>
      <c r="N392" s="904"/>
      <c r="O392" s="904"/>
      <c r="P392" s="904"/>
      <c r="Q392" s="904"/>
      <c r="R392" s="904"/>
      <c r="S392" s="904"/>
      <c r="T392" s="904"/>
      <c r="U392" s="904"/>
      <c r="V392" s="904"/>
      <c r="W392" s="904"/>
      <c r="X392" s="904"/>
      <c r="Y392" s="904"/>
      <c r="Z392" s="904"/>
      <c r="AA392" s="904"/>
      <c r="AB392" s="904"/>
      <c r="AC392" s="904"/>
      <c r="AD392" s="904"/>
      <c r="AE392" s="904"/>
      <c r="AF392" s="904"/>
      <c r="AG392" s="904"/>
      <c r="AH392" s="904"/>
      <c r="AI392" s="904"/>
      <c r="AJ392" s="904"/>
      <c r="AK392" s="904"/>
      <c r="AL392" s="904"/>
      <c r="AM392" s="904"/>
      <c r="AN392" s="905"/>
    </row>
  </sheetData>
  <sheetProtection selectLockedCells="1"/>
  <mergeCells count="333">
    <mergeCell ref="AR278:AR279"/>
    <mergeCell ref="AS278:AS279"/>
    <mergeCell ref="AQ278:AQ279"/>
    <mergeCell ref="A296:A300"/>
    <mergeCell ref="A305:A309"/>
    <mergeCell ref="A310:A313"/>
    <mergeCell ref="A314:A318"/>
    <mergeCell ref="A324:A336"/>
    <mergeCell ref="A146:AN146"/>
    <mergeCell ref="A176:A180"/>
    <mergeCell ref="AK177:AK178"/>
    <mergeCell ref="AK23:AK24"/>
    <mergeCell ref="A21:A26"/>
    <mergeCell ref="A33:A38"/>
    <mergeCell ref="A27:A32"/>
    <mergeCell ref="A39:A44"/>
    <mergeCell ref="A45:A50"/>
    <mergeCell ref="A51:A56"/>
    <mergeCell ref="A57:A62"/>
    <mergeCell ref="A63:A64"/>
    <mergeCell ref="A147:AN147"/>
    <mergeCell ref="A282:A283"/>
    <mergeCell ref="A287:A288"/>
    <mergeCell ref="J320:K320"/>
    <mergeCell ref="A320:A321"/>
    <mergeCell ref="AL290:AL291"/>
    <mergeCell ref="Z320:AA320"/>
    <mergeCell ref="AN107:AN112"/>
    <mergeCell ref="D114:I115"/>
    <mergeCell ref="AF268:AG268"/>
    <mergeCell ref="R268:S268"/>
    <mergeCell ref="T268:U268"/>
    <mergeCell ref="AJ268:AJ269"/>
    <mergeCell ref="X268:Y268"/>
    <mergeCell ref="A267:AN267"/>
    <mergeCell ref="B114:B115"/>
    <mergeCell ref="A134:A135"/>
    <mergeCell ref="AM268:AM269"/>
    <mergeCell ref="N268:O268"/>
    <mergeCell ref="D148:E148"/>
    <mergeCell ref="B148:B149"/>
    <mergeCell ref="L148:M148"/>
    <mergeCell ref="N148:O148"/>
    <mergeCell ref="T148:U148"/>
    <mergeCell ref="AJ148:AJ149"/>
    <mergeCell ref="AB148:AC148"/>
    <mergeCell ref="AD148:AE148"/>
    <mergeCell ref="AL114:AL115"/>
    <mergeCell ref="L320:M320"/>
    <mergeCell ref="AB320:AC320"/>
    <mergeCell ref="A290:A291"/>
    <mergeCell ref="B290:B291"/>
    <mergeCell ref="D290:K291"/>
    <mergeCell ref="AN320:AN321"/>
    <mergeCell ref="AL292:AL317"/>
    <mergeCell ref="AJ320:AJ321"/>
    <mergeCell ref="AD320:AE320"/>
    <mergeCell ref="AK320:AK321"/>
    <mergeCell ref="AM320:AM321"/>
    <mergeCell ref="AL320:AL321"/>
    <mergeCell ref="X320:Y320"/>
    <mergeCell ref="F320:G320"/>
    <mergeCell ref="C320:C321"/>
    <mergeCell ref="B320:B321"/>
    <mergeCell ref="H320:I320"/>
    <mergeCell ref="D320:E320"/>
    <mergeCell ref="R320:S320"/>
    <mergeCell ref="P320:Q320"/>
    <mergeCell ref="N320:O320"/>
    <mergeCell ref="AF320:AG320"/>
    <mergeCell ref="V320:W320"/>
    <mergeCell ref="N290:O290"/>
    <mergeCell ref="AK290:AK291"/>
    <mergeCell ref="AM290:AM291"/>
    <mergeCell ref="AF148:AG148"/>
    <mergeCell ref="R148:S148"/>
    <mergeCell ref="J148:K148"/>
    <mergeCell ref="V148:W148"/>
    <mergeCell ref="P148:Q148"/>
    <mergeCell ref="F148:G148"/>
    <mergeCell ref="H148:I148"/>
    <mergeCell ref="AJ290:AJ291"/>
    <mergeCell ref="A270:AN270"/>
    <mergeCell ref="F1:G1"/>
    <mergeCell ref="B1:C1"/>
    <mergeCell ref="A5:AN5"/>
    <mergeCell ref="F6:G6"/>
    <mergeCell ref="H6:I6"/>
    <mergeCell ref="D6:E6"/>
    <mergeCell ref="AM6:AM7"/>
    <mergeCell ref="AK8:AK9"/>
    <mergeCell ref="C6:C7"/>
    <mergeCell ref="B6:B7"/>
    <mergeCell ref="AN6:AN7"/>
    <mergeCell ref="AL6:AL7"/>
    <mergeCell ref="N6:O6"/>
    <mergeCell ref="A6:A7"/>
    <mergeCell ref="A3:AN3"/>
    <mergeCell ref="AK6:AK7"/>
    <mergeCell ref="A8:A20"/>
    <mergeCell ref="A100:A101"/>
    <mergeCell ref="AK100:AK101"/>
    <mergeCell ref="AB114:AC114"/>
    <mergeCell ref="T320:U320"/>
    <mergeCell ref="R290:S290"/>
    <mergeCell ref="C290:C291"/>
    <mergeCell ref="AF290:AG290"/>
    <mergeCell ref="AB290:AC290"/>
    <mergeCell ref="T290:U290"/>
    <mergeCell ref="A301:A304"/>
    <mergeCell ref="A292:A295"/>
    <mergeCell ref="AF114:AG114"/>
    <mergeCell ref="F268:G268"/>
    <mergeCell ref="AK268:AK269"/>
    <mergeCell ref="A117:A124"/>
    <mergeCell ref="AD114:AE114"/>
    <mergeCell ref="A125:A126"/>
    <mergeCell ref="A127:A128"/>
    <mergeCell ref="A276:A277"/>
    <mergeCell ref="A278:AN278"/>
    <mergeCell ref="A280:A281"/>
    <mergeCell ref="A285:A286"/>
    <mergeCell ref="X290:Y290"/>
    <mergeCell ref="A113:AN113"/>
    <mergeCell ref="AL105:AL106"/>
    <mergeCell ref="AF105:AG105"/>
    <mergeCell ref="AN268:AN269"/>
    <mergeCell ref="H268:I268"/>
    <mergeCell ref="P268:Q268"/>
    <mergeCell ref="L268:M268"/>
    <mergeCell ref="D268:E268"/>
    <mergeCell ref="AB105:AC105"/>
    <mergeCell ref="AD105:AE105"/>
    <mergeCell ref="Z105:AA105"/>
    <mergeCell ref="AJ114:AJ115"/>
    <mergeCell ref="AK134:AK135"/>
    <mergeCell ref="AN105:AN106"/>
    <mergeCell ref="P222:Q222"/>
    <mergeCell ref="AB268:AC268"/>
    <mergeCell ref="AD268:AE268"/>
    <mergeCell ref="AN148:AN149"/>
    <mergeCell ref="AM148:AM149"/>
    <mergeCell ref="AM114:AM115"/>
    <mergeCell ref="V268:W268"/>
    <mergeCell ref="AL107:AL112"/>
    <mergeCell ref="AN114:AN115"/>
    <mergeCell ref="R105:S105"/>
    <mergeCell ref="T105:U105"/>
    <mergeCell ref="AO1:AO7"/>
    <mergeCell ref="Z114:AA114"/>
    <mergeCell ref="X114:Y114"/>
    <mergeCell ref="AJ105:AJ106"/>
    <mergeCell ref="X105:Y105"/>
    <mergeCell ref="AK105:AK106"/>
    <mergeCell ref="AK114:AK115"/>
    <mergeCell ref="A104:AN104"/>
    <mergeCell ref="AB6:AC6"/>
    <mergeCell ref="AD6:AE6"/>
    <mergeCell ref="AF6:AG6"/>
    <mergeCell ref="AK1:AN1"/>
    <mergeCell ref="V105:W105"/>
    <mergeCell ref="C114:C115"/>
    <mergeCell ref="P114:Q114"/>
    <mergeCell ref="W4:AN4"/>
    <mergeCell ref="AK51:AK52"/>
    <mergeCell ref="A99:AN99"/>
    <mergeCell ref="AM105:AM106"/>
    <mergeCell ref="J105:K105"/>
    <mergeCell ref="L105:M105"/>
    <mergeCell ref="N105:O105"/>
    <mergeCell ref="P105:Q105"/>
    <mergeCell ref="C105:C106"/>
    <mergeCell ref="L6:M6"/>
    <mergeCell ref="AJ6:AJ7"/>
    <mergeCell ref="V6:W6"/>
    <mergeCell ref="J114:K114"/>
    <mergeCell ref="J268:K268"/>
    <mergeCell ref="A268:A269"/>
    <mergeCell ref="B268:B269"/>
    <mergeCell ref="T6:U6"/>
    <mergeCell ref="J6:K6"/>
    <mergeCell ref="X6:Y6"/>
    <mergeCell ref="Z6:AA6"/>
    <mergeCell ref="A102:A103"/>
    <mergeCell ref="P6:Q6"/>
    <mergeCell ref="A65:A66"/>
    <mergeCell ref="A67:A71"/>
    <mergeCell ref="A72:A77"/>
    <mergeCell ref="A78:A86"/>
    <mergeCell ref="A93:A98"/>
    <mergeCell ref="A87:A92"/>
    <mergeCell ref="R6:S6"/>
    <mergeCell ref="A150:A159"/>
    <mergeCell ref="AH6:AI6"/>
    <mergeCell ref="A129:A131"/>
    <mergeCell ref="A140:A141"/>
    <mergeCell ref="B105:B106"/>
    <mergeCell ref="A107:A112"/>
    <mergeCell ref="R114:S114"/>
    <mergeCell ref="T114:U114"/>
    <mergeCell ref="AK160:AK161"/>
    <mergeCell ref="AB183:AC183"/>
    <mergeCell ref="AD183:AE183"/>
    <mergeCell ref="AF183:AG183"/>
    <mergeCell ref="AK183:AK184"/>
    <mergeCell ref="AJ183:AJ184"/>
    <mergeCell ref="C183:C184"/>
    <mergeCell ref="V183:W183"/>
    <mergeCell ref="X148:Y148"/>
    <mergeCell ref="Z148:AA148"/>
    <mergeCell ref="AH105:AI105"/>
    <mergeCell ref="AH114:AI114"/>
    <mergeCell ref="B183:B184"/>
    <mergeCell ref="AK168:AK169"/>
    <mergeCell ref="AK164:AK165"/>
    <mergeCell ref="A142:A144"/>
    <mergeCell ref="A105:A106"/>
    <mergeCell ref="A138:A139"/>
    <mergeCell ref="C148:C149"/>
    <mergeCell ref="D105:I106"/>
    <mergeCell ref="A114:A115"/>
    <mergeCell ref="C268:C269"/>
    <mergeCell ref="A271:A272"/>
    <mergeCell ref="AD290:AE290"/>
    <mergeCell ref="H1:J1"/>
    <mergeCell ref="AL268:AL269"/>
    <mergeCell ref="D4:V4"/>
    <mergeCell ref="V114:W114"/>
    <mergeCell ref="K1:Q1"/>
    <mergeCell ref="R1:S1"/>
    <mergeCell ref="T1:V1"/>
    <mergeCell ref="W1:X1"/>
    <mergeCell ref="AA1:AJ1"/>
    <mergeCell ref="L114:M114"/>
    <mergeCell ref="N114:O114"/>
    <mergeCell ref="D1:E1"/>
    <mergeCell ref="A4:C4"/>
    <mergeCell ref="A148:A149"/>
    <mergeCell ref="A183:A184"/>
    <mergeCell ref="J183:K183"/>
    <mergeCell ref="A181:AN181"/>
    <mergeCell ref="AN183:AN184"/>
    <mergeCell ref="Z290:AA290"/>
    <mergeCell ref="A136:A137"/>
    <mergeCell ref="A190:A191"/>
    <mergeCell ref="A236:A240"/>
    <mergeCell ref="A225:A229"/>
    <mergeCell ref="A261:A263"/>
    <mergeCell ref="A264:A266"/>
    <mergeCell ref="A250:A260"/>
    <mergeCell ref="A220:AN220"/>
    <mergeCell ref="AN222:AN223"/>
    <mergeCell ref="AM222:AM223"/>
    <mergeCell ref="AB222:AC222"/>
    <mergeCell ref="AD222:AE222"/>
    <mergeCell ref="X222:Y222"/>
    <mergeCell ref="N222:O222"/>
    <mergeCell ref="D222:E222"/>
    <mergeCell ref="F222:G222"/>
    <mergeCell ref="A231:A234"/>
    <mergeCell ref="C222:C223"/>
    <mergeCell ref="AL222:AL223"/>
    <mergeCell ref="A192:A195"/>
    <mergeCell ref="L222:M222"/>
    <mergeCell ref="R222:S222"/>
    <mergeCell ref="A363:L392"/>
    <mergeCell ref="M363:AN392"/>
    <mergeCell ref="A362:L362"/>
    <mergeCell ref="M362:AN362"/>
    <mergeCell ref="A341:L361"/>
    <mergeCell ref="A340:L340"/>
    <mergeCell ref="M340:AN340"/>
    <mergeCell ref="M341:AN361"/>
    <mergeCell ref="A319:AN319"/>
    <mergeCell ref="A289:AN289"/>
    <mergeCell ref="AH268:AI268"/>
    <mergeCell ref="AH290:AI290"/>
    <mergeCell ref="Z268:AA268"/>
    <mergeCell ref="A273:AN273"/>
    <mergeCell ref="A274:A275"/>
    <mergeCell ref="AN290:AN291"/>
    <mergeCell ref="V290:W290"/>
    <mergeCell ref="AN292:AN317"/>
    <mergeCell ref="L290:M290"/>
    <mergeCell ref="P290:Q290"/>
    <mergeCell ref="A164:A167"/>
    <mergeCell ref="V222:W222"/>
    <mergeCell ref="A185:A187"/>
    <mergeCell ref="F183:G183"/>
    <mergeCell ref="AN176:AN180"/>
    <mergeCell ref="A160:A163"/>
    <mergeCell ref="AL148:AL149"/>
    <mergeCell ref="AK148:AK149"/>
    <mergeCell ref="T183:U183"/>
    <mergeCell ref="H183:I183"/>
    <mergeCell ref="H222:I222"/>
    <mergeCell ref="J222:K222"/>
    <mergeCell ref="AL183:AL184"/>
    <mergeCell ref="AM183:AM184"/>
    <mergeCell ref="X183:Y183"/>
    <mergeCell ref="T222:U222"/>
    <mergeCell ref="A202:AN202"/>
    <mergeCell ref="D183:E183"/>
    <mergeCell ref="A188:A189"/>
    <mergeCell ref="A203:AN203"/>
    <mergeCell ref="A216:AN216"/>
    <mergeCell ref="A217:A219"/>
    <mergeCell ref="A204:A215"/>
    <mergeCell ref="AK222:AK223"/>
    <mergeCell ref="A279:B279"/>
    <mergeCell ref="A284:B284"/>
    <mergeCell ref="AL8:AL98"/>
    <mergeCell ref="AN8:AN98"/>
    <mergeCell ref="AH320:AI320"/>
    <mergeCell ref="AH148:AI148"/>
    <mergeCell ref="AH183:AI183"/>
    <mergeCell ref="AH222:AI222"/>
    <mergeCell ref="A222:A223"/>
    <mergeCell ref="AJ222:AJ223"/>
    <mergeCell ref="AF222:AG222"/>
    <mergeCell ref="Z222:AA222"/>
    <mergeCell ref="Z183:AA183"/>
    <mergeCell ref="L183:M183"/>
    <mergeCell ref="N183:O183"/>
    <mergeCell ref="P183:Q183"/>
    <mergeCell ref="R183:S183"/>
    <mergeCell ref="B222:B223"/>
    <mergeCell ref="A196:AH196"/>
    <mergeCell ref="A197:A201"/>
    <mergeCell ref="A221:AN221"/>
    <mergeCell ref="A241:A247"/>
    <mergeCell ref="A249:AN249"/>
    <mergeCell ref="A168:A175"/>
  </mergeCells>
  <phoneticPr fontId="3" type="noConversion"/>
  <conditionalFormatting sqref="AK8 AK133">
    <cfRule type="notContainsBlanks" dxfId="1310" priority="3870">
      <formula>LEN(TRIM(AK8))&gt;0</formula>
    </cfRule>
  </conditionalFormatting>
  <conditionalFormatting sqref="AK13 AK15:AK19">
    <cfRule type="notContainsBlanks" dxfId="1309" priority="3871">
      <formula>LEN(TRIM(AK13))&gt;0</formula>
    </cfRule>
  </conditionalFormatting>
  <conditionalFormatting sqref="AK21">
    <cfRule type="notContainsBlanks" dxfId="1308" priority="3874">
      <formula>LEN(TRIM(AK21))&gt;0</formula>
    </cfRule>
  </conditionalFormatting>
  <conditionalFormatting sqref="AK27 AK29:AK32">
    <cfRule type="notContainsBlanks" dxfId="1307" priority="3872">
      <formula>LEN(TRIM(AK27))&gt;0</formula>
    </cfRule>
  </conditionalFormatting>
  <conditionalFormatting sqref="AK33 AK35:AK38">
    <cfRule type="notContainsBlanks" dxfId="1306" priority="3865">
      <formula>LEN(TRIM(AK33))&gt;0</formula>
    </cfRule>
  </conditionalFormatting>
  <conditionalFormatting sqref="AK39 AK41:AK44 AK78:AK85">
    <cfRule type="notContainsBlanks" dxfId="1305" priority="3864">
      <formula>LEN(TRIM(AK39))&gt;0</formula>
    </cfRule>
  </conditionalFormatting>
  <conditionalFormatting sqref="AK45 AK47:AK50">
    <cfRule type="notContainsBlanks" dxfId="1304" priority="3863">
      <formula>LEN(TRIM(AK45))&gt;0</formula>
    </cfRule>
  </conditionalFormatting>
  <conditionalFormatting sqref="AK51:AK57 AK59:AK62">
    <cfRule type="notContainsBlanks" dxfId="1303" priority="3862">
      <formula>LEN(TRIM(AK51))&gt;0</formula>
    </cfRule>
  </conditionalFormatting>
  <conditionalFormatting sqref="AK87 AK89:AK92">
    <cfRule type="notContainsBlanks" dxfId="1302" priority="3861">
      <formula>LEN(TRIM(AK87))&gt;0</formula>
    </cfRule>
  </conditionalFormatting>
  <conditionalFormatting sqref="AK72:AK77">
    <cfRule type="notContainsBlanks" dxfId="1301" priority="3860">
      <formula>LEN(TRIM(AK72))&gt;0</formula>
    </cfRule>
  </conditionalFormatting>
  <conditionalFormatting sqref="AK116:AK121">
    <cfRule type="notContainsBlanks" dxfId="1300" priority="3876">
      <formula>LEN(TRIM(AK116))&gt;0</formula>
    </cfRule>
  </conditionalFormatting>
  <conditionalFormatting sqref="AK134:AK135">
    <cfRule type="notContainsBlanks" dxfId="1299" priority="3855">
      <formula>LEN(TRIM(AK134))&gt;0</formula>
    </cfRule>
  </conditionalFormatting>
  <conditionalFormatting sqref="AK282">
    <cfRule type="notContainsBlanks" dxfId="1298" priority="3854">
      <formula>LEN(TRIM(AK282))&gt;0</formula>
    </cfRule>
  </conditionalFormatting>
  <conditionalFormatting sqref="AK10">
    <cfRule type="notContainsBlanks" dxfId="1297" priority="3853">
      <formula>LEN(TRIM(AK10))&gt;0</formula>
    </cfRule>
  </conditionalFormatting>
  <conditionalFormatting sqref="AK283">
    <cfRule type="notContainsBlanks" dxfId="1296" priority="3852">
      <formula>LEN(TRIM(AK283))&gt;0</formula>
    </cfRule>
  </conditionalFormatting>
  <conditionalFormatting sqref="AK287">
    <cfRule type="notContainsBlanks" dxfId="1295" priority="3851">
      <formula>LEN(TRIM(AK287))&gt;0</formula>
    </cfRule>
  </conditionalFormatting>
  <conditionalFormatting sqref="AK288">
    <cfRule type="notContainsBlanks" dxfId="1294" priority="3850">
      <formula>LEN(TRIM(AK288))&gt;0</formula>
    </cfRule>
  </conditionalFormatting>
  <conditionalFormatting sqref="AK293">
    <cfRule type="notContainsBlanks" dxfId="1293" priority="3849">
      <formula>LEN(TRIM(AK293))&gt;0</formula>
    </cfRule>
  </conditionalFormatting>
  <conditionalFormatting sqref="AK329">
    <cfRule type="notContainsBlanks" dxfId="1292" priority="3846">
      <formula>LEN(TRIM(AK329))&gt;0</formula>
    </cfRule>
  </conditionalFormatting>
  <conditionalFormatting sqref="AK333">
    <cfRule type="notContainsBlanks" dxfId="1291" priority="3845">
      <formula>LEN(TRIM(AK333))&gt;0</formula>
    </cfRule>
  </conditionalFormatting>
  <conditionalFormatting sqref="AK334 AK336">
    <cfRule type="notContainsBlanks" dxfId="1290" priority="3844">
      <formula>LEN(TRIM(AK334))&gt;0</formula>
    </cfRule>
  </conditionalFormatting>
  <conditionalFormatting sqref="AK331:AK332 AK152 AK158 AK176 AK224:AK229 AK236:AK248 AK256:AK258 AK250:AK252">
    <cfRule type="notContainsBlanks" dxfId="1289" priority="3843">
      <formula>LEN(TRIM(AK152))&gt;0</formula>
    </cfRule>
  </conditionalFormatting>
  <conditionalFormatting sqref="AK150">
    <cfRule type="notContainsBlanks" dxfId="1288" priority="3838">
      <formula>LEN(TRIM(AK150))&gt;0</formula>
    </cfRule>
  </conditionalFormatting>
  <conditionalFormatting sqref="AK151">
    <cfRule type="notContainsBlanks" dxfId="1287" priority="3837">
      <formula>LEN(TRIM(AK151))&gt;0</formula>
    </cfRule>
  </conditionalFormatting>
  <conditionalFormatting sqref="AK158:AK159">
    <cfRule type="notContainsBlanks" dxfId="1286" priority="3835">
      <formula>LEN(TRIM(AK158))&gt;0</formula>
    </cfRule>
  </conditionalFormatting>
  <conditionalFormatting sqref="AK160:AK161 AK163">
    <cfRule type="notContainsBlanks" dxfId="1285" priority="3834">
      <formula>LEN(TRIM(AK160))&gt;0</formula>
    </cfRule>
  </conditionalFormatting>
  <conditionalFormatting sqref="AK164:AK165 AK167">
    <cfRule type="notContainsBlanks" dxfId="1284" priority="3833">
      <formula>LEN(TRIM(AK164))&gt;0</formula>
    </cfRule>
  </conditionalFormatting>
  <conditionalFormatting sqref="AK168:AK169 AK171 AK173">
    <cfRule type="notContainsBlanks" dxfId="1283" priority="3832">
      <formula>LEN(TRIM(AK168))&gt;0</formula>
    </cfRule>
  </conditionalFormatting>
  <conditionalFormatting sqref="AK186:AK189">
    <cfRule type="notContainsBlanks" dxfId="1282" priority="3830">
      <formula>LEN(TRIM(AK186))&gt;0</formula>
    </cfRule>
  </conditionalFormatting>
  <conditionalFormatting sqref="AK190:AK191">
    <cfRule type="notContainsBlanks" dxfId="1281" priority="3829">
      <formula>LEN(TRIM(AK190))&gt;0</formula>
    </cfRule>
  </conditionalFormatting>
  <conditionalFormatting sqref="AK192:AK194">
    <cfRule type="notContainsBlanks" dxfId="1280" priority="3828">
      <formula>LEN(TRIM(AK192))&gt;0</formula>
    </cfRule>
  </conditionalFormatting>
  <conditionalFormatting sqref="AK197:AK198">
    <cfRule type="notContainsBlanks" dxfId="1279" priority="3827">
      <formula>LEN(TRIM(AK197))&gt;0</formula>
    </cfRule>
  </conditionalFormatting>
  <conditionalFormatting sqref="AK199">
    <cfRule type="notContainsBlanks" dxfId="1278" priority="3826">
      <formula>LEN(TRIM(AK199))&gt;0</formula>
    </cfRule>
  </conditionalFormatting>
  <conditionalFormatting sqref="AK200:AK221 AK224:AK266">
    <cfRule type="notContainsBlanks" dxfId="1277" priority="3825">
      <formula>LEN(TRIM(AK200))&gt;0</formula>
    </cfRule>
  </conditionalFormatting>
  <conditionalFormatting sqref="AK230 AK232:AK234">
    <cfRule type="notContainsBlanks" priority="3823">
      <formula>LEN(TRIM(AK230))&gt;0</formula>
    </cfRule>
  </conditionalFormatting>
  <conditionalFormatting sqref="AM27">
    <cfRule type="notContainsBlanks" dxfId="1276" priority="3814">
      <formula>LEN(TRIM(AM27))&gt;0</formula>
    </cfRule>
  </conditionalFormatting>
  <conditionalFormatting sqref="AM150:AN150">
    <cfRule type="notContainsBlanks" dxfId="1275" priority="3813">
      <formula>LEN(TRIM(AM150))&gt;0</formula>
    </cfRule>
  </conditionalFormatting>
  <conditionalFormatting sqref="AM151">
    <cfRule type="notContainsBlanks" dxfId="1274" priority="3812">
      <formula>LEN(TRIM(AM151))&gt;0</formula>
    </cfRule>
  </conditionalFormatting>
  <conditionalFormatting sqref="AM107:AN107 AM292:AN292 AM322:AN322 AM185:AN185 AM224:AN224 AM8:AN8 AM108:AM112 AM293:AM318 AM152:AM173 AM186:AM194 AM323:AM324 AM328:AM329 AM331:AM334 AM336 AM9:AM62 AM72:AM92 AM116:AM126 AM280:AM283 AM285:AM288 AM176:AM178 AM197:AM221 AM224:AM266 AM133:AM139">
    <cfRule type="notContainsBlanks" dxfId="1273" priority="3811">
      <formula>LEN(TRIM(AM8))&gt;0</formula>
    </cfRule>
  </conditionalFormatting>
  <conditionalFormatting sqref="AM33">
    <cfRule type="notContainsBlanks" dxfId="1272" priority="3810">
      <formula>LEN(TRIM(AM33))&gt;0</formula>
    </cfRule>
  </conditionalFormatting>
  <conditionalFormatting sqref="AM39">
    <cfRule type="notContainsBlanks" dxfId="1271" priority="3809">
      <formula>LEN(TRIM(AM39))&gt;0</formula>
    </cfRule>
  </conditionalFormatting>
  <conditionalFormatting sqref="AM45">
    <cfRule type="notContainsBlanks" dxfId="1270" priority="3808">
      <formula>LEN(TRIM(AM45))&gt;0</formula>
    </cfRule>
  </conditionalFormatting>
  <conditionalFormatting sqref="AM51">
    <cfRule type="notContainsBlanks" dxfId="1269" priority="3807">
      <formula>LEN(TRIM(AM51))&gt;0</formula>
    </cfRule>
  </conditionalFormatting>
  <conditionalFormatting sqref="AM87">
    <cfRule type="notContainsBlanks" dxfId="1268" priority="3806">
      <formula>LEN(TRIM(AM87))&gt;0</formula>
    </cfRule>
  </conditionalFormatting>
  <conditionalFormatting sqref="AM72">
    <cfRule type="notContainsBlanks" dxfId="1267" priority="3805">
      <formula>LEN(TRIM(AM72))&gt;0</formula>
    </cfRule>
  </conditionalFormatting>
  <conditionalFormatting sqref="AL8 AL107 AL292:AL318 AL322 AL185:AL194 AL150 AL271:AL272 AL197:AL221 AL224:AL266">
    <cfRule type="notContainsBlanks" dxfId="1266" priority="4040">
      <formula>LEN(TRIM(AL8))&gt;0</formula>
    </cfRule>
  </conditionalFormatting>
  <conditionalFormatting sqref="D235:Y235 AB235:AJ235">
    <cfRule type="cellIs" dxfId="1265" priority="3801" operator="equal">
      <formula>0</formula>
    </cfRule>
  </conditionalFormatting>
  <conditionalFormatting sqref="AJ72 AJ8 AJ282:AJ283 AJ292:AJ299 AJ107:AJ112 AJ328:AJ329 AJ331:AJ334 Z20:AA20 AJ336 Z78:AA80 AJ287:AJ288 AJ301:AJ317 Z225:AA229 Z235:AA235 Z259:AA259 AJ259 AJ266 AJ117:AJ250">
    <cfRule type="cellIs" dxfId="1264" priority="3795" operator="equal">
      <formula>0</formula>
    </cfRule>
  </conditionalFormatting>
  <conditionalFormatting sqref="D235:Y235 AB235:AJ235">
    <cfRule type="cellIs" dxfId="1263" priority="3794" operator="equal">
      <formula>0</formula>
    </cfRule>
  </conditionalFormatting>
  <conditionalFormatting sqref="A1">
    <cfRule type="cellIs" dxfId="1262" priority="3793" operator="equal">
      <formula>0</formula>
    </cfRule>
  </conditionalFormatting>
  <conditionalFormatting sqref="AJ73">
    <cfRule type="cellIs" dxfId="1261" priority="3784" operator="equal">
      <formula>0</formula>
    </cfRule>
  </conditionalFormatting>
  <conditionalFormatting sqref="D282:AA282">
    <cfRule type="expression" dxfId="1260" priority="3754">
      <formula>D287&gt;D282</formula>
    </cfRule>
  </conditionalFormatting>
  <conditionalFormatting sqref="D283:AA283">
    <cfRule type="expression" dxfId="1259" priority="3753">
      <formula>D288&gt;D283</formula>
    </cfRule>
  </conditionalFormatting>
  <conditionalFormatting sqref="D333:AA333 L19:Y19 AB19:AI19">
    <cfRule type="expression" dxfId="1258" priority="3750">
      <formula>D20&gt;D19</formula>
    </cfRule>
  </conditionalFormatting>
  <conditionalFormatting sqref="D334:AA334">
    <cfRule type="expression" dxfId="1257" priority="3749">
      <formula>D336&gt;D334</formula>
    </cfRule>
  </conditionalFormatting>
  <conditionalFormatting sqref="K331 M331 O331 Q331 S331 U331 W331 Y331 AA331">
    <cfRule type="expression" dxfId="1256" priority="3748">
      <formula>K332&gt;K331</formula>
    </cfRule>
  </conditionalFormatting>
  <conditionalFormatting sqref="K150">
    <cfRule type="expression" dxfId="1255" priority="3743">
      <formula>(K151+K152)&gt;K150</formula>
    </cfRule>
  </conditionalFormatting>
  <conditionalFormatting sqref="K152">
    <cfRule type="expression" dxfId="1254" priority="3257">
      <formula>K152&gt;K150</formula>
    </cfRule>
    <cfRule type="expression" dxfId="1253" priority="3742">
      <formula>K153&gt;K152</formula>
    </cfRule>
  </conditionalFormatting>
  <conditionalFormatting sqref="K160">
    <cfRule type="expression" dxfId="1252" priority="3741">
      <formula>K161&gt;K160</formula>
    </cfRule>
  </conditionalFormatting>
  <conditionalFormatting sqref="K164">
    <cfRule type="expression" dxfId="1251" priority="3740">
      <formula>K165&gt;K164</formula>
    </cfRule>
  </conditionalFormatting>
  <conditionalFormatting sqref="K168">
    <cfRule type="expression" dxfId="1250" priority="3739">
      <formula>K169&gt;K168</formula>
    </cfRule>
  </conditionalFormatting>
  <conditionalFormatting sqref="M150">
    <cfRule type="expression" dxfId="1249" priority="3738">
      <formula>(M151+M152)&gt;M150</formula>
    </cfRule>
  </conditionalFormatting>
  <conditionalFormatting sqref="M152">
    <cfRule type="expression" dxfId="1248" priority="3737">
      <formula>M153&gt;M152</formula>
    </cfRule>
  </conditionalFormatting>
  <conditionalFormatting sqref="M160">
    <cfRule type="expression" dxfId="1247" priority="3736">
      <formula>M161&gt;M160</formula>
    </cfRule>
  </conditionalFormatting>
  <conditionalFormatting sqref="M164">
    <cfRule type="expression" dxfId="1246" priority="3735">
      <formula>M165&gt;M164</formula>
    </cfRule>
  </conditionalFormatting>
  <conditionalFormatting sqref="M168">
    <cfRule type="expression" dxfId="1245" priority="3734">
      <formula>M169&gt;M168</formula>
    </cfRule>
  </conditionalFormatting>
  <conditionalFormatting sqref="O150">
    <cfRule type="expression" dxfId="1244" priority="3733">
      <formula>(O151+O152)&gt;O150</formula>
    </cfRule>
  </conditionalFormatting>
  <conditionalFormatting sqref="O152">
    <cfRule type="expression" dxfId="1243" priority="3732">
      <formula>O153&gt;O152</formula>
    </cfRule>
  </conditionalFormatting>
  <conditionalFormatting sqref="O160">
    <cfRule type="expression" dxfId="1242" priority="3731">
      <formula>O161&gt;O160</formula>
    </cfRule>
  </conditionalFormatting>
  <conditionalFormatting sqref="O164">
    <cfRule type="expression" dxfId="1241" priority="3730">
      <formula>O165&gt;O164</formula>
    </cfRule>
  </conditionalFormatting>
  <conditionalFormatting sqref="O168">
    <cfRule type="expression" dxfId="1240" priority="3729">
      <formula>O169&gt;O168</formula>
    </cfRule>
  </conditionalFormatting>
  <conditionalFormatting sqref="Q150">
    <cfRule type="expression" dxfId="1239" priority="3728">
      <formula>(Q151+Q152)&gt;Q150</formula>
    </cfRule>
  </conditionalFormatting>
  <conditionalFormatting sqref="Q152">
    <cfRule type="expression" dxfId="1238" priority="3727">
      <formula>Q153&gt;Q152</formula>
    </cfRule>
  </conditionalFormatting>
  <conditionalFormatting sqref="Q160">
    <cfRule type="expression" dxfId="1237" priority="3726">
      <formula>Q161&gt;Q160</formula>
    </cfRule>
  </conditionalFormatting>
  <conditionalFormatting sqref="Q164">
    <cfRule type="expression" dxfId="1236" priority="3725">
      <formula>Q165&gt;Q164</formula>
    </cfRule>
  </conditionalFormatting>
  <conditionalFormatting sqref="Q168">
    <cfRule type="expression" dxfId="1235" priority="3724">
      <formula>Q169&gt;Q168</formula>
    </cfRule>
  </conditionalFormatting>
  <conditionalFormatting sqref="S150">
    <cfRule type="expression" dxfId="1234" priority="3723">
      <formula>(S151+S152)&gt;S150</formula>
    </cfRule>
  </conditionalFormatting>
  <conditionalFormatting sqref="S152">
    <cfRule type="expression" dxfId="1233" priority="3722">
      <formula>S153&gt;S152</formula>
    </cfRule>
  </conditionalFormatting>
  <conditionalFormatting sqref="S160">
    <cfRule type="expression" dxfId="1232" priority="3721">
      <formula>S161&gt;S160</formula>
    </cfRule>
  </conditionalFormatting>
  <conditionalFormatting sqref="S164">
    <cfRule type="expression" dxfId="1231" priority="3720">
      <formula>S165&gt;S164</formula>
    </cfRule>
  </conditionalFormatting>
  <conditionalFormatting sqref="S168">
    <cfRule type="expression" dxfId="1230" priority="3719">
      <formula>S169&gt;S168</formula>
    </cfRule>
  </conditionalFormatting>
  <conditionalFormatting sqref="U150">
    <cfRule type="expression" dxfId="1229" priority="3718">
      <formula>(U151+U152)&gt;U150</formula>
    </cfRule>
  </conditionalFormatting>
  <conditionalFormatting sqref="U152">
    <cfRule type="expression" dxfId="1228" priority="3717">
      <formula>U153&gt;U152</formula>
    </cfRule>
  </conditionalFormatting>
  <conditionalFormatting sqref="U160">
    <cfRule type="expression" dxfId="1227" priority="3716">
      <formula>U161&gt;U160</formula>
    </cfRule>
  </conditionalFormatting>
  <conditionalFormatting sqref="U164">
    <cfRule type="expression" dxfId="1226" priority="3715">
      <formula>U165&gt;U164</formula>
    </cfRule>
  </conditionalFormatting>
  <conditionalFormatting sqref="U168">
    <cfRule type="expression" dxfId="1225" priority="3714">
      <formula>U169&gt;U168</formula>
    </cfRule>
  </conditionalFormatting>
  <conditionalFormatting sqref="W150">
    <cfRule type="expression" dxfId="1224" priority="3713">
      <formula>(W151+W152)&gt;W150</formula>
    </cfRule>
  </conditionalFormatting>
  <conditionalFormatting sqref="W152">
    <cfRule type="expression" dxfId="1223" priority="3712">
      <formula>W153&gt;W152</formula>
    </cfRule>
  </conditionalFormatting>
  <conditionalFormatting sqref="W160">
    <cfRule type="expression" dxfId="1222" priority="3711">
      <formula>W161&gt;W160</formula>
    </cfRule>
  </conditionalFormatting>
  <conditionalFormatting sqref="W164">
    <cfRule type="expression" dxfId="1221" priority="3710">
      <formula>W165&gt;W164</formula>
    </cfRule>
  </conditionalFormatting>
  <conditionalFormatting sqref="W168">
    <cfRule type="expression" dxfId="1220" priority="3709">
      <formula>W169&gt;W168</formula>
    </cfRule>
  </conditionalFormatting>
  <conditionalFormatting sqref="Y150">
    <cfRule type="expression" dxfId="1219" priority="3708">
      <formula>(Y151+Y152)&gt;Y150</formula>
    </cfRule>
  </conditionalFormatting>
  <conditionalFormatting sqref="Y152">
    <cfRule type="expression" dxfId="1218" priority="3707">
      <formula>Y153&gt;Y152</formula>
    </cfRule>
  </conditionalFormatting>
  <conditionalFormatting sqref="Y160">
    <cfRule type="expression" dxfId="1217" priority="3706">
      <formula>Y161&gt;Y160</formula>
    </cfRule>
  </conditionalFormatting>
  <conditionalFormatting sqref="Y164">
    <cfRule type="expression" dxfId="1216" priority="3705">
      <formula>Y165&gt;Y164</formula>
    </cfRule>
  </conditionalFormatting>
  <conditionalFormatting sqref="Y168">
    <cfRule type="expression" dxfId="1215" priority="3704">
      <formula>Y169&gt;Y168</formula>
    </cfRule>
  </conditionalFormatting>
  <conditionalFormatting sqref="M151">
    <cfRule type="expression" dxfId="1214" priority="3693">
      <formula>M185&gt;M151</formula>
    </cfRule>
  </conditionalFormatting>
  <conditionalFormatting sqref="O151">
    <cfRule type="expression" dxfId="1213" priority="3692">
      <formula>O185&gt;O151</formula>
    </cfRule>
  </conditionalFormatting>
  <conditionalFormatting sqref="Q151">
    <cfRule type="expression" dxfId="1212" priority="3691">
      <formula>Q185&gt;Q151</formula>
    </cfRule>
  </conditionalFormatting>
  <conditionalFormatting sqref="S151">
    <cfRule type="expression" dxfId="1211" priority="3690">
      <formula>S185&gt;S151</formula>
    </cfRule>
  </conditionalFormatting>
  <conditionalFormatting sqref="U151">
    <cfRule type="expression" dxfId="1210" priority="3689">
      <formula>U185&gt;U151</formula>
    </cfRule>
  </conditionalFormatting>
  <conditionalFormatting sqref="W151">
    <cfRule type="expression" dxfId="1209" priority="3688">
      <formula>W185&gt;W151</formula>
    </cfRule>
  </conditionalFormatting>
  <conditionalFormatting sqref="Y151">
    <cfRule type="expression" dxfId="1208" priority="3687">
      <formula>Y185&gt;Y151</formula>
    </cfRule>
  </conditionalFormatting>
  <conditionalFormatting sqref="M150">
    <cfRule type="expression" dxfId="1207" priority="3682">
      <formula>(M151+M152)&gt;M150</formula>
    </cfRule>
  </conditionalFormatting>
  <conditionalFormatting sqref="M152">
    <cfRule type="expression" dxfId="1206" priority="3681">
      <formula>M153&gt;M152</formula>
    </cfRule>
  </conditionalFormatting>
  <conditionalFormatting sqref="M160">
    <cfRule type="expression" dxfId="1205" priority="3680">
      <formula>M161&gt;M160</formula>
    </cfRule>
  </conditionalFormatting>
  <conditionalFormatting sqref="M164">
    <cfRule type="expression" dxfId="1204" priority="3679">
      <formula>M165&gt;M164</formula>
    </cfRule>
  </conditionalFormatting>
  <conditionalFormatting sqref="M168">
    <cfRule type="expression" dxfId="1203" priority="3678">
      <formula>M169&gt;M168</formula>
    </cfRule>
  </conditionalFormatting>
  <conditionalFormatting sqref="M151">
    <cfRule type="expression" dxfId="1202" priority="3677">
      <formula>M185&gt;M151</formula>
    </cfRule>
  </conditionalFormatting>
  <conditionalFormatting sqref="K167 M167 O167 Q167 S167 U167 W167 Y167">
    <cfRule type="expression" dxfId="1201" priority="3675">
      <formula>K191&gt;K167</formula>
    </cfRule>
  </conditionalFormatting>
  <conditionalFormatting sqref="O150">
    <cfRule type="expression" dxfId="1200" priority="3673">
      <formula>(O151+O152)&gt;O150</formula>
    </cfRule>
  </conditionalFormatting>
  <conditionalFormatting sqref="O152">
    <cfRule type="expression" dxfId="1199" priority="3672">
      <formula>O153&gt;O152</formula>
    </cfRule>
  </conditionalFormatting>
  <conditionalFormatting sqref="O160">
    <cfRule type="expression" dxfId="1198" priority="3671">
      <formula>O161&gt;O160</formula>
    </cfRule>
  </conditionalFormatting>
  <conditionalFormatting sqref="O164">
    <cfRule type="expression" dxfId="1197" priority="3670">
      <formula>O165&gt;O164</formula>
    </cfRule>
  </conditionalFormatting>
  <conditionalFormatting sqref="O168">
    <cfRule type="expression" dxfId="1196" priority="3669">
      <formula>O169&gt;O168</formula>
    </cfRule>
  </conditionalFormatting>
  <conditionalFormatting sqref="O151">
    <cfRule type="expression" dxfId="1195" priority="3668">
      <formula>O185&gt;O151</formula>
    </cfRule>
  </conditionalFormatting>
  <conditionalFormatting sqref="Q150">
    <cfRule type="expression" dxfId="1194" priority="3664">
      <formula>(Q151+Q152)&gt;Q150</formula>
    </cfRule>
  </conditionalFormatting>
  <conditionalFormatting sqref="Q152">
    <cfRule type="expression" dxfId="1193" priority="3663">
      <formula>Q153&gt;Q152</formula>
    </cfRule>
  </conditionalFormatting>
  <conditionalFormatting sqref="Q160">
    <cfRule type="expression" dxfId="1192" priority="3662">
      <formula>Q161&gt;Q160</formula>
    </cfRule>
  </conditionalFormatting>
  <conditionalFormatting sqref="Q164">
    <cfRule type="expression" dxfId="1191" priority="3661">
      <formula>Q165&gt;Q164</formula>
    </cfRule>
  </conditionalFormatting>
  <conditionalFormatting sqref="Q168">
    <cfRule type="expression" dxfId="1190" priority="3660">
      <formula>Q169&gt;Q168</formula>
    </cfRule>
  </conditionalFormatting>
  <conditionalFormatting sqref="Q151">
    <cfRule type="expression" dxfId="1189" priority="3659">
      <formula>Q185&gt;Q151</formula>
    </cfRule>
  </conditionalFormatting>
  <conditionalFormatting sqref="S150">
    <cfRule type="expression" dxfId="1188" priority="3655">
      <formula>(S151+S152)&gt;S150</formula>
    </cfRule>
  </conditionalFormatting>
  <conditionalFormatting sqref="S152">
    <cfRule type="expression" dxfId="1187" priority="3654">
      <formula>S153&gt;S152</formula>
    </cfRule>
  </conditionalFormatting>
  <conditionalFormatting sqref="S160">
    <cfRule type="expression" dxfId="1186" priority="3653">
      <formula>S161&gt;S160</formula>
    </cfRule>
  </conditionalFormatting>
  <conditionalFormatting sqref="S164">
    <cfRule type="expression" dxfId="1185" priority="3652">
      <formula>S165&gt;S164</formula>
    </cfRule>
  </conditionalFormatting>
  <conditionalFormatting sqref="S168">
    <cfRule type="expression" dxfId="1184" priority="3651">
      <formula>S169&gt;S168</formula>
    </cfRule>
  </conditionalFormatting>
  <conditionalFormatting sqref="S151">
    <cfRule type="expression" dxfId="1183" priority="3650">
      <formula>S185&gt;S151</formula>
    </cfRule>
  </conditionalFormatting>
  <conditionalFormatting sqref="U150">
    <cfRule type="expression" dxfId="1182" priority="3646">
      <formula>(U151+U152)&gt;U150</formula>
    </cfRule>
  </conditionalFormatting>
  <conditionalFormatting sqref="U152">
    <cfRule type="expression" dxfId="1181" priority="3645">
      <formula>U153&gt;U152</formula>
    </cfRule>
  </conditionalFormatting>
  <conditionalFormatting sqref="U160">
    <cfRule type="expression" dxfId="1180" priority="3644">
      <formula>U161&gt;U160</formula>
    </cfRule>
  </conditionalFormatting>
  <conditionalFormatting sqref="U164">
    <cfRule type="expression" dxfId="1179" priority="3643">
      <formula>U165&gt;U164</formula>
    </cfRule>
  </conditionalFormatting>
  <conditionalFormatting sqref="U168">
    <cfRule type="expression" dxfId="1178" priority="3642">
      <formula>U169&gt;U168</formula>
    </cfRule>
  </conditionalFormatting>
  <conditionalFormatting sqref="U151">
    <cfRule type="expression" dxfId="1177" priority="3641">
      <formula>U185&gt;U151</formula>
    </cfRule>
  </conditionalFormatting>
  <conditionalFormatting sqref="W150">
    <cfRule type="expression" dxfId="1176" priority="3637">
      <formula>(W151+W152)&gt;W150</formula>
    </cfRule>
  </conditionalFormatting>
  <conditionalFormatting sqref="W152">
    <cfRule type="expression" dxfId="1175" priority="3636">
      <formula>W153&gt;W152</formula>
    </cfRule>
  </conditionalFormatting>
  <conditionalFormatting sqref="W160">
    <cfRule type="expression" dxfId="1174" priority="3635">
      <formula>W161&gt;W160</formula>
    </cfRule>
  </conditionalFormatting>
  <conditionalFormatting sqref="W164">
    <cfRule type="expression" dxfId="1173" priority="3634">
      <formula>W165&gt;W164</formula>
    </cfRule>
  </conditionalFormatting>
  <conditionalFormatting sqref="W168">
    <cfRule type="expression" dxfId="1172" priority="3633">
      <formula>W169&gt;W168</formula>
    </cfRule>
  </conditionalFormatting>
  <conditionalFormatting sqref="W151">
    <cfRule type="expression" dxfId="1171" priority="3632">
      <formula>W185&gt;W151</formula>
    </cfRule>
  </conditionalFormatting>
  <conditionalFormatting sqref="Y150">
    <cfRule type="expression" dxfId="1170" priority="3628">
      <formula>(Y151+Y152)&gt;Y150</formula>
    </cfRule>
  </conditionalFormatting>
  <conditionalFormatting sqref="Y152">
    <cfRule type="expression" dxfId="1169" priority="3627">
      <formula>Y153&gt;Y152</formula>
    </cfRule>
  </conditionalFormatting>
  <conditionalFormatting sqref="Y160">
    <cfRule type="expression" dxfId="1168" priority="3626">
      <formula>Y161&gt;Y160</formula>
    </cfRule>
  </conditionalFormatting>
  <conditionalFormatting sqref="Y164">
    <cfRule type="expression" dxfId="1167" priority="3625">
      <formula>Y165&gt;Y164</formula>
    </cfRule>
  </conditionalFormatting>
  <conditionalFormatting sqref="Y168">
    <cfRule type="expression" dxfId="1166" priority="3624">
      <formula>Y169&gt;Y168</formula>
    </cfRule>
  </conditionalFormatting>
  <conditionalFormatting sqref="Y151">
    <cfRule type="expression" dxfId="1165" priority="3623">
      <formula>Y185&gt;Y151</formula>
    </cfRule>
  </conditionalFormatting>
  <conditionalFormatting sqref="F13:Y13 AB13:AI13">
    <cfRule type="expression" dxfId="1164" priority="3592">
      <formula>F14&gt;F13</formula>
    </cfRule>
  </conditionalFormatting>
  <conditionalFormatting sqref="F21:Y21 AB21:AI21">
    <cfRule type="expression" dxfId="1163" priority="3591">
      <formula>F22&gt;F21</formula>
    </cfRule>
  </conditionalFormatting>
  <conditionalFormatting sqref="F27:Y27 AB27:AI27">
    <cfRule type="expression" dxfId="1162" priority="3590">
      <formula>F28&gt;F27</formula>
    </cfRule>
  </conditionalFormatting>
  <conditionalFormatting sqref="F33">
    <cfRule type="expression" dxfId="1161" priority="3589">
      <formula>F34&gt;F33</formula>
    </cfRule>
  </conditionalFormatting>
  <conditionalFormatting sqref="G33">
    <cfRule type="expression" dxfId="1160" priority="3588">
      <formula>G34&gt;G33</formula>
    </cfRule>
  </conditionalFormatting>
  <conditionalFormatting sqref="F39:G39">
    <cfRule type="expression" dxfId="1159" priority="3587">
      <formula>F40&gt;F39</formula>
    </cfRule>
  </conditionalFormatting>
  <conditionalFormatting sqref="F45:Y45 AB45:AI45">
    <cfRule type="expression" dxfId="1158" priority="3586">
      <formula>F46&gt;F45</formula>
    </cfRule>
  </conditionalFormatting>
  <conditionalFormatting sqref="F51:Y51 AB51:AI51">
    <cfRule type="cellIs" dxfId="1157" priority="2099" operator="equal">
      <formula>0</formula>
    </cfRule>
    <cfRule type="expression" dxfId="1156" priority="3585">
      <formula>F52&gt;F51</formula>
    </cfRule>
  </conditionalFormatting>
  <conditionalFormatting sqref="F87:Y87">
    <cfRule type="expression" dxfId="1155" priority="3584">
      <formula>F88&gt;F87</formula>
    </cfRule>
  </conditionalFormatting>
  <conditionalFormatting sqref="L72:Y72 AB72:AI72">
    <cfRule type="expression" dxfId="1154" priority="3583">
      <formula>L73&gt;L72</formula>
    </cfRule>
  </conditionalFormatting>
  <conditionalFormatting sqref="Y158">
    <cfRule type="cellIs" dxfId="1153" priority="3560" operator="equal">
      <formula>0</formula>
    </cfRule>
  </conditionalFormatting>
  <conditionalFormatting sqref="W158">
    <cfRule type="cellIs" dxfId="1152" priority="3559" operator="equal">
      <formula>0</formula>
    </cfRule>
  </conditionalFormatting>
  <conditionalFormatting sqref="U158">
    <cfRule type="cellIs" dxfId="1151" priority="3558" operator="equal">
      <formula>0</formula>
    </cfRule>
  </conditionalFormatting>
  <conditionalFormatting sqref="S158">
    <cfRule type="cellIs" dxfId="1150" priority="3557" operator="equal">
      <formula>0</formula>
    </cfRule>
  </conditionalFormatting>
  <conditionalFormatting sqref="Q158">
    <cfRule type="cellIs" dxfId="1149" priority="3556" operator="equal">
      <formula>0</formula>
    </cfRule>
  </conditionalFormatting>
  <conditionalFormatting sqref="O158">
    <cfRule type="cellIs" dxfId="1148" priority="3555" operator="equal">
      <formula>0</formula>
    </cfRule>
  </conditionalFormatting>
  <conditionalFormatting sqref="M158">
    <cfRule type="cellIs" dxfId="1147" priority="3554" operator="equal">
      <formula>0</formula>
    </cfRule>
  </conditionalFormatting>
  <conditionalFormatting sqref="K158">
    <cfRule type="cellIs" dxfId="1146" priority="3553" operator="equal">
      <formula>0</formula>
    </cfRule>
  </conditionalFormatting>
  <conditionalFormatting sqref="B158">
    <cfRule type="cellIs" dxfId="1145" priority="3552" operator="equal">
      <formula>0</formula>
    </cfRule>
  </conditionalFormatting>
  <conditionalFormatting sqref="B159">
    <cfRule type="cellIs" dxfId="1144" priority="3551" operator="equal">
      <formula>0</formula>
    </cfRule>
  </conditionalFormatting>
  <conditionalFormatting sqref="K159">
    <cfRule type="cellIs" dxfId="1143" priority="3543" operator="equal">
      <formula>0</formula>
    </cfRule>
  </conditionalFormatting>
  <conditionalFormatting sqref="M159">
    <cfRule type="cellIs" dxfId="1142" priority="3542" operator="equal">
      <formula>0</formula>
    </cfRule>
  </conditionalFormatting>
  <conditionalFormatting sqref="O159">
    <cfRule type="cellIs" dxfId="1141" priority="3541" operator="equal">
      <formula>0</formula>
    </cfRule>
  </conditionalFormatting>
  <conditionalFormatting sqref="Q159">
    <cfRule type="cellIs" dxfId="1140" priority="3540" operator="equal">
      <formula>0</formula>
    </cfRule>
  </conditionalFormatting>
  <conditionalFormatting sqref="S159">
    <cfRule type="cellIs" dxfId="1139" priority="3539" operator="equal">
      <formula>0</formula>
    </cfRule>
  </conditionalFormatting>
  <conditionalFormatting sqref="U159">
    <cfRule type="cellIs" dxfId="1138" priority="3538" operator="equal">
      <formula>0</formula>
    </cfRule>
  </conditionalFormatting>
  <conditionalFormatting sqref="W159">
    <cfRule type="cellIs" dxfId="1137" priority="3537" operator="equal">
      <formula>0</formula>
    </cfRule>
  </conditionalFormatting>
  <conditionalFormatting sqref="Y159">
    <cfRule type="cellIs" dxfId="1136" priority="3536" operator="equal">
      <formula>0</formula>
    </cfRule>
  </conditionalFormatting>
  <conditionalFormatting sqref="M158 O158 Q158 S158 U158 W158 Y158 K158">
    <cfRule type="expression" dxfId="1135" priority="3879">
      <formula>K190&gt;K158</formula>
    </cfRule>
  </conditionalFormatting>
  <conditionalFormatting sqref="K187">
    <cfRule type="cellIs" dxfId="1134" priority="3535" operator="equal">
      <formula>0</formula>
    </cfRule>
  </conditionalFormatting>
  <conditionalFormatting sqref="O187">
    <cfRule type="cellIs" dxfId="1133" priority="3526" operator="equal">
      <formula>0</formula>
    </cfRule>
  </conditionalFormatting>
  <conditionalFormatting sqref="M187">
    <cfRule type="cellIs" dxfId="1132" priority="3527" operator="equal">
      <formula>0</formula>
    </cfRule>
  </conditionalFormatting>
  <conditionalFormatting sqref="Q187">
    <cfRule type="cellIs" dxfId="1131" priority="3525" operator="equal">
      <formula>0</formula>
    </cfRule>
  </conditionalFormatting>
  <conditionalFormatting sqref="S187">
    <cfRule type="cellIs" dxfId="1130" priority="3524" operator="equal">
      <formula>0</formula>
    </cfRule>
  </conditionalFormatting>
  <conditionalFormatting sqref="U187">
    <cfRule type="cellIs" dxfId="1129" priority="3523" operator="equal">
      <formula>0</formula>
    </cfRule>
  </conditionalFormatting>
  <conditionalFormatting sqref="W187">
    <cfRule type="cellIs" dxfId="1128" priority="3522" operator="equal">
      <formula>0</formula>
    </cfRule>
  </conditionalFormatting>
  <conditionalFormatting sqref="Y187">
    <cfRule type="cellIs" dxfId="1127" priority="3521" operator="equal">
      <formula>0</formula>
    </cfRule>
  </conditionalFormatting>
  <conditionalFormatting sqref="B187">
    <cfRule type="cellIs" dxfId="1126" priority="3520" operator="equal">
      <formula>0</formula>
    </cfRule>
  </conditionalFormatting>
  <conditionalFormatting sqref="AK325">
    <cfRule type="notContainsBlanks" dxfId="1125" priority="3482">
      <formula>LEN(TRIM(AK325))&gt;0</formula>
    </cfRule>
  </conditionalFormatting>
  <conditionalFormatting sqref="AM325">
    <cfRule type="notContainsBlanks" dxfId="1124" priority="3481">
      <formula>LEN(TRIM(AM325))&gt;0</formula>
    </cfRule>
  </conditionalFormatting>
  <conditionalFormatting sqref="AJ325">
    <cfRule type="cellIs" dxfId="1123" priority="3478" operator="equal">
      <formula>0</formula>
    </cfRule>
  </conditionalFormatting>
  <conditionalFormatting sqref="D322:AI322">
    <cfRule type="cellIs" dxfId="1122" priority="3470" operator="equal">
      <formula>0</formula>
    </cfRule>
  </conditionalFormatting>
  <conditionalFormatting sqref="AM204 AM210:AM215">
    <cfRule type="notContainsBlanks" dxfId="1121" priority="3466">
      <formula>LEN(TRIM(AM204))&gt;0</formula>
    </cfRule>
  </conditionalFormatting>
  <conditionalFormatting sqref="AJ204">
    <cfRule type="cellIs" dxfId="1120" priority="3465" operator="equal">
      <formula>0</formula>
    </cfRule>
  </conditionalFormatting>
  <conditionalFormatting sqref="AK215">
    <cfRule type="notContainsBlanks" dxfId="1119" priority="3467">
      <formula>LEN(TRIM(AK215))&gt;0</formula>
    </cfRule>
  </conditionalFormatting>
  <conditionalFormatting sqref="AK205:AK207">
    <cfRule type="notContainsBlanks" dxfId="1118" priority="3464">
      <formula>LEN(TRIM(AK205))&gt;0</formula>
    </cfRule>
  </conditionalFormatting>
  <conditionalFormatting sqref="AM205:AM209">
    <cfRule type="notContainsBlanks" dxfId="1117" priority="3461">
      <formula>LEN(TRIM(AM205))&gt;0</formula>
    </cfRule>
  </conditionalFormatting>
  <conditionalFormatting sqref="F208:Y208 D205:Y205 AB205:AI205 AB208:AI208">
    <cfRule type="cellIs" dxfId="1116" priority="3459" operator="equal">
      <formula>0</formula>
    </cfRule>
  </conditionalFormatting>
  <conditionalFormatting sqref="AJ205:AJ210 AJ217:AJ250 AJ215 AJ259 AJ266">
    <cfRule type="cellIs" dxfId="1115" priority="3458" operator="equal">
      <formula>0</formula>
    </cfRule>
  </conditionalFormatting>
  <conditionalFormatting sqref="B207">
    <cfRule type="cellIs" dxfId="1114" priority="3454" operator="equal">
      <formula>0</formula>
    </cfRule>
  </conditionalFormatting>
  <conditionalFormatting sqref="B209">
    <cfRule type="cellIs" dxfId="1113" priority="3453" operator="equal">
      <formula>0</formula>
    </cfRule>
  </conditionalFormatting>
  <conditionalFormatting sqref="F207:Y207 AB207:AI207">
    <cfRule type="cellIs" dxfId="1112" priority="3452" operator="equal">
      <formula>0</formula>
    </cfRule>
  </conditionalFormatting>
  <conditionalFormatting sqref="D209:AI209">
    <cfRule type="cellIs" dxfId="1111" priority="3450" operator="equal">
      <formula>0</formula>
    </cfRule>
  </conditionalFormatting>
  <conditionalFormatting sqref="AM218">
    <cfRule type="notContainsBlanks" dxfId="1110" priority="3448">
      <formula>LEN(TRIM(AM218))&gt;0</formula>
    </cfRule>
  </conditionalFormatting>
  <conditionalFormatting sqref="AM219:AM221 AM224:AM266">
    <cfRule type="notContainsBlanks" dxfId="1109" priority="3444">
      <formula>LEN(TRIM(AM219))&gt;0</formula>
    </cfRule>
  </conditionalFormatting>
  <conditionalFormatting sqref="F215:Y215 AB215:AI215">
    <cfRule type="cellIs" dxfId="1108" priority="3441" operator="equal">
      <formula>0</formula>
    </cfRule>
  </conditionalFormatting>
  <conditionalFormatting sqref="B215">
    <cfRule type="cellIs" dxfId="1107" priority="3440" operator="equal">
      <formula>0</formula>
    </cfRule>
  </conditionalFormatting>
  <conditionalFormatting sqref="B219:B266">
    <cfRule type="cellIs" dxfId="1106" priority="3439" operator="equal">
      <formula>0</formula>
    </cfRule>
  </conditionalFormatting>
  <conditionalFormatting sqref="D219:Y224 AB219:AI224 D231:Y231 AB231:AI231 AB235:AI235 D235:Y235 D248:Y250 AB248:AI250 AB259:AI259 D259:Y259 D266:Y266 AB266:AI266">
    <cfRule type="cellIs" dxfId="1105" priority="3438" operator="equal">
      <formula>0</formula>
    </cfRule>
  </conditionalFormatting>
  <conditionalFormatting sqref="D250:AI250">
    <cfRule type="expression" dxfId="1104" priority="3900">
      <formula>D250&gt;D235</formula>
    </cfRule>
  </conditionalFormatting>
  <conditionalFormatting sqref="D250:AI250">
    <cfRule type="expression" dxfId="1103" priority="3902">
      <formula>(D235*0.7)&gt;D250</formula>
    </cfRule>
  </conditionalFormatting>
  <conditionalFormatting sqref="D224:AI224">
    <cfRule type="cellIs" dxfId="1102" priority="3431" operator="equal">
      <formula>0</formula>
    </cfRule>
  </conditionalFormatting>
  <conditionalFormatting sqref="D224:AI224">
    <cfRule type="cellIs" dxfId="1101" priority="3430" operator="equal">
      <formula>0</formula>
    </cfRule>
  </conditionalFormatting>
  <conditionalFormatting sqref="B116">
    <cfRule type="cellIs" dxfId="1100" priority="3425" operator="equal">
      <formula>0</formula>
    </cfRule>
  </conditionalFormatting>
  <conditionalFormatting sqref="AK255">
    <cfRule type="notContainsBlanks" dxfId="1099" priority="3390">
      <formula>LEN(TRIM(AK255))&gt;0</formula>
    </cfRule>
  </conditionalFormatting>
  <conditionalFormatting sqref="AM255">
    <cfRule type="notContainsBlanks" dxfId="1098" priority="3389">
      <formula>LEN(TRIM(AM255))&gt;0</formula>
    </cfRule>
  </conditionalFormatting>
  <conditionalFormatting sqref="AK254:AK255">
    <cfRule type="notContainsBlanks" dxfId="1097" priority="3386">
      <formula>LEN(TRIM(AK254))&gt;0</formula>
    </cfRule>
  </conditionalFormatting>
  <conditionalFormatting sqref="AM253:AM255">
    <cfRule type="notContainsBlanks" dxfId="1096" priority="3385">
      <formula>LEN(TRIM(AM253))&gt;0</formula>
    </cfRule>
  </conditionalFormatting>
  <conditionalFormatting sqref="AM266">
    <cfRule type="notContainsBlanks" dxfId="1095" priority="3373">
      <formula>LEN(TRIM(AM266))&gt;0</formula>
    </cfRule>
  </conditionalFormatting>
  <conditionalFormatting sqref="AJ266">
    <cfRule type="cellIs" dxfId="1094" priority="3372" operator="equal">
      <formula>0</formula>
    </cfRule>
  </conditionalFormatting>
  <conditionalFormatting sqref="AM260:AM263">
    <cfRule type="notContainsBlanks" dxfId="1093" priority="3377">
      <formula>LEN(TRIM(AM260))&gt;0</formula>
    </cfRule>
  </conditionalFormatting>
  <conditionalFormatting sqref="AK265">
    <cfRule type="notContainsBlanks" dxfId="1092" priority="3370">
      <formula>LEN(TRIM(AK265))&gt;0</formula>
    </cfRule>
  </conditionalFormatting>
  <conditionalFormatting sqref="AM265:AM266">
    <cfRule type="notContainsBlanks" dxfId="1091" priority="3369">
      <formula>LEN(TRIM(AM265))&gt;0</formula>
    </cfRule>
  </conditionalFormatting>
  <conditionalFormatting sqref="AJ266">
    <cfRule type="cellIs" dxfId="1090" priority="3368" operator="equal">
      <formula>0</formula>
    </cfRule>
  </conditionalFormatting>
  <conditionalFormatting sqref="AK264">
    <cfRule type="notContainsBlanks" dxfId="1089" priority="3349">
      <formula>LEN(TRIM(AK264))&gt;0</formula>
    </cfRule>
  </conditionalFormatting>
  <conditionalFormatting sqref="AM264">
    <cfRule type="notContainsBlanks" dxfId="1088" priority="3348">
      <formula>LEN(TRIM(AM264))&gt;0</formula>
    </cfRule>
  </conditionalFormatting>
  <conditionalFormatting sqref="D266:AI266">
    <cfRule type="cellIs" dxfId="1087" priority="3345" operator="equal">
      <formula>0</formula>
    </cfRule>
  </conditionalFormatting>
  <conditionalFormatting sqref="D266:AI266">
    <cfRule type="cellIs" dxfId="1086" priority="3344" operator="equal">
      <formula>0</formula>
    </cfRule>
  </conditionalFormatting>
  <conditionalFormatting sqref="D266:AI266">
    <cfRule type="cellIs" dxfId="1085" priority="3343" operator="equal">
      <formula>0</formula>
    </cfRule>
  </conditionalFormatting>
  <conditionalFormatting sqref="F86:Y86 AB86:AI86 K153 M153 O153 Q153 S153 U153 W153 Y153">
    <cfRule type="expression" dxfId="1084" priority="3282">
      <formula>F86&gt;F85</formula>
    </cfRule>
  </conditionalFormatting>
  <conditionalFormatting sqref="D235:Y235 AB235:AJ235">
    <cfRule type="expression" dxfId="1083" priority="3275">
      <formula>#REF!&gt;D235</formula>
    </cfRule>
  </conditionalFormatting>
  <conditionalFormatting sqref="AK122">
    <cfRule type="notContainsBlanks" dxfId="1082" priority="3268">
      <formula>LEN(TRIM(AK122))&gt;0</formula>
    </cfRule>
  </conditionalFormatting>
  <conditionalFormatting sqref="L135:AA135">
    <cfRule type="expression" dxfId="1081" priority="3267">
      <formula>L135&gt;L134</formula>
    </cfRule>
  </conditionalFormatting>
  <conditionalFormatting sqref="L134:AA134">
    <cfRule type="expression" dxfId="1080" priority="3266">
      <formula>L135&gt;L134</formula>
    </cfRule>
  </conditionalFormatting>
  <conditionalFormatting sqref="F210:Y210 AB210:AI210">
    <cfRule type="expression" dxfId="1079" priority="3262">
      <formula>F210&gt;F208</formula>
    </cfRule>
  </conditionalFormatting>
  <conditionalFormatting sqref="D287:AA288">
    <cfRule type="expression" dxfId="1078" priority="3261">
      <formula>D287&gt;D282</formula>
    </cfRule>
  </conditionalFormatting>
  <conditionalFormatting sqref="M150">
    <cfRule type="expression" dxfId="1077" priority="3256">
      <formula>(M151+M152)&gt;M150</formula>
    </cfRule>
  </conditionalFormatting>
  <conditionalFormatting sqref="O150">
    <cfRule type="expression" dxfId="1076" priority="3255">
      <formula>(O151+O152)&gt;O150</formula>
    </cfRule>
  </conditionalFormatting>
  <conditionalFormatting sqref="Q150">
    <cfRule type="expression" dxfId="1075" priority="3254">
      <formula>(Q151+Q152)&gt;Q150</formula>
    </cfRule>
  </conditionalFormatting>
  <conditionalFormatting sqref="U150">
    <cfRule type="expression" dxfId="1074" priority="3253">
      <formula>(U151+U152)&gt;U150</formula>
    </cfRule>
  </conditionalFormatting>
  <conditionalFormatting sqref="W150">
    <cfRule type="expression" dxfId="1073" priority="3252">
      <formula>(W151+W152)&gt;W150</formula>
    </cfRule>
  </conditionalFormatting>
  <conditionalFormatting sqref="Y150">
    <cfRule type="expression" dxfId="1072" priority="3251">
      <formula>(Y151+Y152)&gt;Y150</formula>
    </cfRule>
  </conditionalFormatting>
  <conditionalFormatting sqref="M161">
    <cfRule type="expression" dxfId="1071" priority="3226">
      <formula>M161&gt;M160</formula>
    </cfRule>
  </conditionalFormatting>
  <conditionalFormatting sqref="O161">
    <cfRule type="expression" dxfId="1070" priority="3225">
      <formula>O161&gt;O160</formula>
    </cfRule>
  </conditionalFormatting>
  <conditionalFormatting sqref="Q161">
    <cfRule type="expression" dxfId="1069" priority="3224">
      <formula>Q161&gt;Q160</formula>
    </cfRule>
  </conditionalFormatting>
  <conditionalFormatting sqref="S161">
    <cfRule type="expression" dxfId="1068" priority="3223">
      <formula>S161&gt;S160</formula>
    </cfRule>
  </conditionalFormatting>
  <conditionalFormatting sqref="U161">
    <cfRule type="expression" dxfId="1067" priority="3222">
      <formula>U161&gt;U160</formula>
    </cfRule>
  </conditionalFormatting>
  <conditionalFormatting sqref="W161">
    <cfRule type="expression" dxfId="1066" priority="3221">
      <formula>W161&gt;W160</formula>
    </cfRule>
  </conditionalFormatting>
  <conditionalFormatting sqref="Y161">
    <cfRule type="expression" dxfId="1065" priority="3220">
      <formula>Y161&gt;Y160</formula>
    </cfRule>
  </conditionalFormatting>
  <conditionalFormatting sqref="AK162">
    <cfRule type="notContainsBlanks" dxfId="1064" priority="3219">
      <formula>LEN(TRIM(AK162))&gt;0</formula>
    </cfRule>
  </conditionalFormatting>
  <conditionalFormatting sqref="K162">
    <cfRule type="expression" dxfId="1063" priority="3218">
      <formula>K163&gt;K162</formula>
    </cfRule>
  </conditionalFormatting>
  <conditionalFormatting sqref="M162">
    <cfRule type="expression" dxfId="1062" priority="3216">
      <formula>M163&gt;M162</formula>
    </cfRule>
  </conditionalFormatting>
  <conditionalFormatting sqref="M163">
    <cfRule type="expression" dxfId="1061" priority="3215">
      <formula>M163&gt;M162</formula>
    </cfRule>
  </conditionalFormatting>
  <conditionalFormatting sqref="O162">
    <cfRule type="expression" dxfId="1060" priority="3214">
      <formula>O163&gt;O162</formula>
    </cfRule>
  </conditionalFormatting>
  <conditionalFormatting sqref="O163">
    <cfRule type="expression" dxfId="1059" priority="3213">
      <formula>O163&gt;O162</formula>
    </cfRule>
  </conditionalFormatting>
  <conditionalFormatting sqref="Q162">
    <cfRule type="expression" dxfId="1058" priority="3212">
      <formula>Q163&gt;Q162</formula>
    </cfRule>
  </conditionalFormatting>
  <conditionalFormatting sqref="Q163">
    <cfRule type="expression" dxfId="1057" priority="3211">
      <formula>Q163&gt;Q162</formula>
    </cfRule>
  </conditionalFormatting>
  <conditionalFormatting sqref="S162">
    <cfRule type="expression" dxfId="1056" priority="3210">
      <formula>S163&gt;S162</formula>
    </cfRule>
  </conditionalFormatting>
  <conditionalFormatting sqref="S163">
    <cfRule type="expression" dxfId="1055" priority="3209">
      <formula>S163&gt;S162</formula>
    </cfRule>
  </conditionalFormatting>
  <conditionalFormatting sqref="U162">
    <cfRule type="expression" dxfId="1054" priority="3208">
      <formula>U163&gt;U162</formula>
    </cfRule>
  </conditionalFormatting>
  <conditionalFormatting sqref="U163">
    <cfRule type="expression" dxfId="1053" priority="3207">
      <formula>U163&gt;U162</formula>
    </cfRule>
  </conditionalFormatting>
  <conditionalFormatting sqref="W162">
    <cfRule type="expression" dxfId="1052" priority="3206">
      <formula>W163&gt;W162</formula>
    </cfRule>
  </conditionalFormatting>
  <conditionalFormatting sqref="W163">
    <cfRule type="expression" dxfId="1051" priority="3205">
      <formula>W163&gt;W162</formula>
    </cfRule>
  </conditionalFormatting>
  <conditionalFormatting sqref="Y162">
    <cfRule type="expression" dxfId="1050" priority="3204">
      <formula>Y163&gt;Y162</formula>
    </cfRule>
  </conditionalFormatting>
  <conditionalFormatting sqref="Y163">
    <cfRule type="expression" dxfId="1049" priority="3203">
      <formula>Y163&gt;Y162</formula>
    </cfRule>
  </conditionalFormatting>
  <conditionalFormatting sqref="AK166">
    <cfRule type="notContainsBlanks" dxfId="1048" priority="3202">
      <formula>LEN(TRIM(AK166))&gt;0</formula>
    </cfRule>
  </conditionalFormatting>
  <conditionalFormatting sqref="K167">
    <cfRule type="expression" dxfId="1047" priority="3201">
      <formula>K167&gt;K166</formula>
    </cfRule>
  </conditionalFormatting>
  <conditionalFormatting sqref="M167">
    <cfRule type="expression" dxfId="1046" priority="3199">
      <formula>M167&gt;M166</formula>
    </cfRule>
  </conditionalFormatting>
  <conditionalFormatting sqref="M166">
    <cfRule type="expression" dxfId="1045" priority="3198">
      <formula>M167&gt;M166</formula>
    </cfRule>
  </conditionalFormatting>
  <conditionalFormatting sqref="O167">
    <cfRule type="expression" dxfId="1044" priority="3197">
      <formula>O167&gt;O166</formula>
    </cfRule>
  </conditionalFormatting>
  <conditionalFormatting sqref="O166">
    <cfRule type="expression" dxfId="1043" priority="3196">
      <formula>O167&gt;O166</formula>
    </cfRule>
  </conditionalFormatting>
  <conditionalFormatting sqref="Q167">
    <cfRule type="expression" dxfId="1042" priority="3195">
      <formula>Q167&gt;Q166</formula>
    </cfRule>
  </conditionalFormatting>
  <conditionalFormatting sqref="Q166">
    <cfRule type="expression" dxfId="1041" priority="3194">
      <formula>Q167&gt;Q166</formula>
    </cfRule>
  </conditionalFormatting>
  <conditionalFormatting sqref="S167">
    <cfRule type="expression" dxfId="1040" priority="3193">
      <formula>S167&gt;S166</formula>
    </cfRule>
  </conditionalFormatting>
  <conditionalFormatting sqref="S166">
    <cfRule type="expression" dxfId="1039" priority="3192">
      <formula>S167&gt;S166</formula>
    </cfRule>
  </conditionalFormatting>
  <conditionalFormatting sqref="U167">
    <cfRule type="expression" dxfId="1038" priority="3191">
      <formula>U167&gt;U166</formula>
    </cfRule>
  </conditionalFormatting>
  <conditionalFormatting sqref="U166">
    <cfRule type="expression" dxfId="1037" priority="3190">
      <formula>U167&gt;U166</formula>
    </cfRule>
  </conditionalFormatting>
  <conditionalFormatting sqref="W167">
    <cfRule type="expression" dxfId="1036" priority="3189">
      <formula>W167&gt;W166</formula>
    </cfRule>
  </conditionalFormatting>
  <conditionalFormatting sqref="W166">
    <cfRule type="expression" dxfId="1035" priority="3188">
      <formula>W167&gt;W166</formula>
    </cfRule>
  </conditionalFormatting>
  <conditionalFormatting sqref="Y167">
    <cfRule type="expression" dxfId="1034" priority="3187">
      <formula>Y167&gt;Y166</formula>
    </cfRule>
  </conditionalFormatting>
  <conditionalFormatting sqref="Y166">
    <cfRule type="expression" dxfId="1033" priority="3186">
      <formula>Y167&gt;Y166</formula>
    </cfRule>
  </conditionalFormatting>
  <conditionalFormatting sqref="Q168">
    <cfRule type="expression" dxfId="1032" priority="3184">
      <formula>Q169&gt;Q168</formula>
    </cfRule>
  </conditionalFormatting>
  <conditionalFormatting sqref="Q168">
    <cfRule type="expression" dxfId="1031" priority="3183">
      <formula>Q169&gt;Q168</formula>
    </cfRule>
  </conditionalFormatting>
  <conditionalFormatting sqref="S168">
    <cfRule type="expression" dxfId="1030" priority="3182">
      <formula>S169&gt;S168</formula>
    </cfRule>
  </conditionalFormatting>
  <conditionalFormatting sqref="S168">
    <cfRule type="expression" dxfId="1029" priority="3181">
      <formula>S169&gt;S168</formula>
    </cfRule>
  </conditionalFormatting>
  <conditionalFormatting sqref="U168">
    <cfRule type="expression" dxfId="1028" priority="3180">
      <formula>U169&gt;U168</formula>
    </cfRule>
  </conditionalFormatting>
  <conditionalFormatting sqref="U168">
    <cfRule type="expression" dxfId="1027" priority="3179">
      <formula>U169&gt;U168</formula>
    </cfRule>
  </conditionalFormatting>
  <conditionalFormatting sqref="W168">
    <cfRule type="expression" dxfId="1026" priority="3178">
      <formula>W169&gt;W168</formula>
    </cfRule>
  </conditionalFormatting>
  <conditionalFormatting sqref="W168">
    <cfRule type="expression" dxfId="1025" priority="3177">
      <formula>W169&gt;W168</formula>
    </cfRule>
  </conditionalFormatting>
  <conditionalFormatting sqref="Y168">
    <cfRule type="expression" dxfId="1024" priority="3176">
      <formula>Y169&gt;Y168</formula>
    </cfRule>
  </conditionalFormatting>
  <conditionalFormatting sqref="Y168">
    <cfRule type="expression" dxfId="1023" priority="3175">
      <formula>Y169&gt;Y168</formula>
    </cfRule>
  </conditionalFormatting>
  <conditionalFormatting sqref="K169">
    <cfRule type="expression" dxfId="1022" priority="3174">
      <formula>K192&gt;K169</formula>
    </cfRule>
  </conditionalFormatting>
  <conditionalFormatting sqref="K169">
    <cfRule type="expression" dxfId="1021" priority="3173">
      <formula>K169&gt;K168</formula>
    </cfRule>
  </conditionalFormatting>
  <conditionalFormatting sqref="K170">
    <cfRule type="expression" dxfId="1020" priority="3165">
      <formula>K171&gt;K170</formula>
    </cfRule>
  </conditionalFormatting>
  <conditionalFormatting sqref="M170">
    <cfRule type="expression" dxfId="1019" priority="3161">
      <formula>M171&gt;M170</formula>
    </cfRule>
  </conditionalFormatting>
  <conditionalFormatting sqref="O170">
    <cfRule type="expression" dxfId="1018" priority="3157">
      <formula>O171&gt;O170</formula>
    </cfRule>
  </conditionalFormatting>
  <conditionalFormatting sqref="Q170">
    <cfRule type="expression" dxfId="1017" priority="3153">
      <formula>Q171&gt;Q170</formula>
    </cfRule>
  </conditionalFormatting>
  <conditionalFormatting sqref="S170">
    <cfRule type="expression" dxfId="1016" priority="3149">
      <formula>S171&gt;S170</formula>
    </cfRule>
  </conditionalFormatting>
  <conditionalFormatting sqref="U170">
    <cfRule type="expression" dxfId="1015" priority="3145">
      <formula>U171&gt;U170</formula>
    </cfRule>
  </conditionalFormatting>
  <conditionalFormatting sqref="W170">
    <cfRule type="expression" dxfId="1014" priority="3141">
      <formula>W171&gt;W170</formula>
    </cfRule>
  </conditionalFormatting>
  <conditionalFormatting sqref="Y170">
    <cfRule type="expression" dxfId="1013" priority="3137">
      <formula>Y171&gt;Y170</formula>
    </cfRule>
  </conditionalFormatting>
  <conditionalFormatting sqref="K172">
    <cfRule type="expression" dxfId="1012" priority="3133">
      <formula>K173&gt;K172</formula>
    </cfRule>
  </conditionalFormatting>
  <conditionalFormatting sqref="M172">
    <cfRule type="expression" dxfId="1011" priority="3129">
      <formula>M173&gt;M172</formula>
    </cfRule>
  </conditionalFormatting>
  <conditionalFormatting sqref="O172">
    <cfRule type="expression" dxfId="1010" priority="3125">
      <formula>O173&gt;O172</formula>
    </cfRule>
  </conditionalFormatting>
  <conditionalFormatting sqref="Q172">
    <cfRule type="expression" dxfId="1009" priority="3121">
      <formula>Q173&gt;Q172</formula>
    </cfRule>
  </conditionalFormatting>
  <conditionalFormatting sqref="Q173">
    <cfRule type="expression" dxfId="1008" priority="3119">
      <formula>Q173&gt;Q172</formula>
    </cfRule>
  </conditionalFormatting>
  <conditionalFormatting sqref="AK170">
    <cfRule type="notContainsBlanks" dxfId="1007" priority="3102">
      <formula>LEN(TRIM(AK170))&gt;0</formula>
    </cfRule>
  </conditionalFormatting>
  <conditionalFormatting sqref="AK172">
    <cfRule type="notContainsBlanks" dxfId="1006" priority="3101">
      <formula>LEN(TRIM(AK172))&gt;0</formula>
    </cfRule>
  </conditionalFormatting>
  <conditionalFormatting sqref="AM179:AM180">
    <cfRule type="notContainsBlanks" dxfId="1005" priority="3935">
      <formula>LEN(TRIM(AM179))&gt;0</formula>
    </cfRule>
  </conditionalFormatting>
  <conditionalFormatting sqref="K185">
    <cfRule type="expression" dxfId="1004" priority="3079">
      <formula>K185&gt;K151</formula>
    </cfRule>
  </conditionalFormatting>
  <conditionalFormatting sqref="M185">
    <cfRule type="expression" dxfId="1003" priority="3078">
      <formula>M185&gt;M151</formula>
    </cfRule>
  </conditionalFormatting>
  <conditionalFormatting sqref="O185">
    <cfRule type="expression" dxfId="1002" priority="3077">
      <formula>O185&gt;O151</formula>
    </cfRule>
  </conditionalFormatting>
  <conditionalFormatting sqref="Q185">
    <cfRule type="expression" dxfId="1001" priority="3076">
      <formula>Q185&gt;Q151</formula>
    </cfRule>
  </conditionalFormatting>
  <conditionalFormatting sqref="S185">
    <cfRule type="expression" dxfId="1000" priority="3075">
      <formula>S185&gt;S151</formula>
    </cfRule>
  </conditionalFormatting>
  <conditionalFormatting sqref="U185">
    <cfRule type="expression" dxfId="999" priority="3074">
      <formula>U185&gt;U151</formula>
    </cfRule>
  </conditionalFormatting>
  <conditionalFormatting sqref="W185">
    <cfRule type="expression" dxfId="998" priority="3073">
      <formula>W185&gt;W151</formula>
    </cfRule>
  </conditionalFormatting>
  <conditionalFormatting sqref="Y185">
    <cfRule type="expression" dxfId="997" priority="3072">
      <formula>Y185&gt;Y151</formula>
    </cfRule>
  </conditionalFormatting>
  <conditionalFormatting sqref="K188">
    <cfRule type="expression" dxfId="996" priority="3057">
      <formula>K188&lt;&gt;K161</formula>
    </cfRule>
  </conditionalFormatting>
  <conditionalFormatting sqref="M188">
    <cfRule type="cellIs" dxfId="995" priority="3041" operator="equal">
      <formula>0</formula>
    </cfRule>
  </conditionalFormatting>
  <conditionalFormatting sqref="M188">
    <cfRule type="expression" dxfId="994" priority="3040">
      <formula>M188&lt;&gt;M161</formula>
    </cfRule>
  </conditionalFormatting>
  <conditionalFormatting sqref="O188">
    <cfRule type="cellIs" dxfId="993" priority="3039" operator="equal">
      <formula>0</formula>
    </cfRule>
  </conditionalFormatting>
  <conditionalFormatting sqref="O188">
    <cfRule type="expression" dxfId="992" priority="3038">
      <formula>O188&lt;&gt;O161</formula>
    </cfRule>
  </conditionalFormatting>
  <conditionalFormatting sqref="Q188">
    <cfRule type="cellIs" dxfId="991" priority="3037" operator="equal">
      <formula>0</formula>
    </cfRule>
  </conditionalFormatting>
  <conditionalFormatting sqref="Q188">
    <cfRule type="expression" dxfId="990" priority="3036">
      <formula>Q188&lt;&gt;Q161</formula>
    </cfRule>
  </conditionalFormatting>
  <conditionalFormatting sqref="S188">
    <cfRule type="cellIs" dxfId="989" priority="3035" operator="equal">
      <formula>0</formula>
    </cfRule>
  </conditionalFormatting>
  <conditionalFormatting sqref="S188">
    <cfRule type="expression" dxfId="988" priority="3034">
      <formula>S188&lt;&gt;S161</formula>
    </cfRule>
  </conditionalFormatting>
  <conditionalFormatting sqref="U188">
    <cfRule type="cellIs" dxfId="987" priority="3033" operator="equal">
      <formula>0</formula>
    </cfRule>
  </conditionalFormatting>
  <conditionalFormatting sqref="U188">
    <cfRule type="expression" dxfId="986" priority="3032">
      <formula>U188&lt;&gt;U161</formula>
    </cfRule>
  </conditionalFormatting>
  <conditionalFormatting sqref="W188">
    <cfRule type="cellIs" dxfId="985" priority="3031" operator="equal">
      <formula>0</formula>
    </cfRule>
  </conditionalFormatting>
  <conditionalFormatting sqref="W188">
    <cfRule type="expression" dxfId="984" priority="3030">
      <formula>W188&lt;&gt;W161</formula>
    </cfRule>
  </conditionalFormatting>
  <conditionalFormatting sqref="Y188">
    <cfRule type="cellIs" dxfId="983" priority="3029" operator="equal">
      <formula>0</formula>
    </cfRule>
  </conditionalFormatting>
  <conditionalFormatting sqref="Y188">
    <cfRule type="expression" dxfId="982" priority="3028">
      <formula>Y188&lt;&gt;Y161</formula>
    </cfRule>
  </conditionalFormatting>
  <conditionalFormatting sqref="K189">
    <cfRule type="expression" dxfId="981" priority="3027">
      <formula>K189&lt;&gt;K163</formula>
    </cfRule>
  </conditionalFormatting>
  <conditionalFormatting sqref="M162">
    <cfRule type="expression" dxfId="980" priority="3025">
      <formula>M163&gt;M162</formula>
    </cfRule>
  </conditionalFormatting>
  <conditionalFormatting sqref="O162">
    <cfRule type="expression" dxfId="979" priority="3023">
      <formula>O163&gt;O162</formula>
    </cfRule>
  </conditionalFormatting>
  <conditionalFormatting sqref="Q162">
    <cfRule type="expression" dxfId="978" priority="3021">
      <formula>Q163&gt;Q162</formula>
    </cfRule>
  </conditionalFormatting>
  <conditionalFormatting sqref="S162">
    <cfRule type="expression" dxfId="977" priority="3019">
      <formula>S163&gt;S162</formula>
    </cfRule>
  </conditionalFormatting>
  <conditionalFormatting sqref="U162">
    <cfRule type="expression" dxfId="976" priority="3017">
      <formula>U163&gt;U162</formula>
    </cfRule>
  </conditionalFormatting>
  <conditionalFormatting sqref="W162">
    <cfRule type="expression" dxfId="975" priority="3015">
      <formula>W163&gt;W162</formula>
    </cfRule>
  </conditionalFormatting>
  <conditionalFormatting sqref="Y162">
    <cfRule type="expression" dxfId="974" priority="3013">
      <formula>Y163&gt;Y162</formula>
    </cfRule>
  </conditionalFormatting>
  <conditionalFormatting sqref="M189">
    <cfRule type="cellIs" dxfId="973" priority="3011" operator="equal">
      <formula>0</formula>
    </cfRule>
  </conditionalFormatting>
  <conditionalFormatting sqref="M189">
    <cfRule type="expression" dxfId="972" priority="3010">
      <formula>M189&lt;&gt;M163</formula>
    </cfRule>
  </conditionalFormatting>
  <conditionalFormatting sqref="O189">
    <cfRule type="cellIs" dxfId="971" priority="3009" operator="equal">
      <formula>0</formula>
    </cfRule>
  </conditionalFormatting>
  <conditionalFormatting sqref="O189">
    <cfRule type="expression" dxfId="970" priority="3008">
      <formula>O189&lt;&gt;O163</formula>
    </cfRule>
  </conditionalFormatting>
  <conditionalFormatting sqref="Q189">
    <cfRule type="cellIs" dxfId="969" priority="3007" operator="equal">
      <formula>0</formula>
    </cfRule>
  </conditionalFormatting>
  <conditionalFormatting sqref="Q189">
    <cfRule type="expression" dxfId="968" priority="3006">
      <formula>Q189&lt;&gt;Q163</formula>
    </cfRule>
  </conditionalFormatting>
  <conditionalFormatting sqref="S189">
    <cfRule type="cellIs" dxfId="967" priority="3005" operator="equal">
      <formula>0</formula>
    </cfRule>
  </conditionalFormatting>
  <conditionalFormatting sqref="S189">
    <cfRule type="expression" dxfId="966" priority="3004">
      <formula>S189&lt;&gt;S163</formula>
    </cfRule>
  </conditionalFormatting>
  <conditionalFormatting sqref="U189">
    <cfRule type="cellIs" dxfId="965" priority="3003" operator="equal">
      <formula>0</formula>
    </cfRule>
  </conditionalFormatting>
  <conditionalFormatting sqref="U189">
    <cfRule type="expression" dxfId="964" priority="3002">
      <formula>U189&lt;&gt;U163</formula>
    </cfRule>
  </conditionalFormatting>
  <conditionalFormatting sqref="W189">
    <cfRule type="cellIs" dxfId="963" priority="3001" operator="equal">
      <formula>0</formula>
    </cfRule>
  </conditionalFormatting>
  <conditionalFormatting sqref="W189">
    <cfRule type="expression" dxfId="962" priority="3000">
      <formula>W189&lt;&gt;W163</formula>
    </cfRule>
  </conditionalFormatting>
  <conditionalFormatting sqref="Y189">
    <cfRule type="cellIs" dxfId="961" priority="2999" operator="equal">
      <formula>0</formula>
    </cfRule>
  </conditionalFormatting>
  <conditionalFormatting sqref="Y189">
    <cfRule type="expression" dxfId="960" priority="2998">
      <formula>Y189&lt;&gt;Y163</formula>
    </cfRule>
  </conditionalFormatting>
  <conditionalFormatting sqref="O193">
    <cfRule type="expression" dxfId="959" priority="2982">
      <formula>O193&gt;O171</formula>
    </cfRule>
  </conditionalFormatting>
  <conditionalFormatting sqref="Q193">
    <cfRule type="expression" dxfId="958" priority="2981">
      <formula>Q193&gt;Q171</formula>
    </cfRule>
  </conditionalFormatting>
  <conditionalFormatting sqref="S193">
    <cfRule type="expression" dxfId="957" priority="2980">
      <formula>S193&gt;S171</formula>
    </cfRule>
  </conditionalFormatting>
  <conditionalFormatting sqref="U193">
    <cfRule type="expression" dxfId="956" priority="2979">
      <formula>U193&gt;U171</formula>
    </cfRule>
  </conditionalFormatting>
  <conditionalFormatting sqref="W193">
    <cfRule type="expression" dxfId="955" priority="2978">
      <formula>W193&gt;W171</formula>
    </cfRule>
  </conditionalFormatting>
  <conditionalFormatting sqref="Y193">
    <cfRule type="expression" dxfId="954" priority="2977">
      <formula>Y193&gt;Y171</formula>
    </cfRule>
  </conditionalFormatting>
  <conditionalFormatting sqref="M193">
    <cfRule type="expression" dxfId="953" priority="2976">
      <formula>M193&gt;M171</formula>
    </cfRule>
  </conditionalFormatting>
  <conditionalFormatting sqref="K193">
    <cfRule type="expression" dxfId="952" priority="2975">
      <formula>K193&gt;K171</formula>
    </cfRule>
  </conditionalFormatting>
  <conditionalFormatting sqref="K171 M171 O171 Q171 S171 U171 W171 Y171">
    <cfRule type="expression" dxfId="951" priority="2970">
      <formula>K193&gt;K171</formula>
    </cfRule>
  </conditionalFormatting>
  <conditionalFormatting sqref="K171 M171 O171 Q171 S171 U171 W171 Y171">
    <cfRule type="expression" dxfId="950" priority="2971">
      <formula>K171&gt;K170</formula>
    </cfRule>
  </conditionalFormatting>
  <conditionalFormatting sqref="K194">
    <cfRule type="expression" dxfId="949" priority="2937">
      <formula>K194&gt;K173</formula>
    </cfRule>
  </conditionalFormatting>
  <conditionalFormatting sqref="Q173">
    <cfRule type="expression" dxfId="948" priority="2924">
      <formula>Q194&gt;Q173</formula>
    </cfRule>
  </conditionalFormatting>
  <conditionalFormatting sqref="Q173">
    <cfRule type="expression" dxfId="947" priority="2925">
      <formula>Q173&gt;Q172</formula>
    </cfRule>
  </conditionalFormatting>
  <conditionalFormatting sqref="M194">
    <cfRule type="expression" dxfId="946" priority="2907">
      <formula>M194&gt;M173</formula>
    </cfRule>
  </conditionalFormatting>
  <conditionalFormatting sqref="O194">
    <cfRule type="expression" dxfId="945" priority="2906">
      <formula>O194&gt;O173</formula>
    </cfRule>
  </conditionalFormatting>
  <conditionalFormatting sqref="Q194">
    <cfRule type="expression" dxfId="944" priority="2905">
      <formula>Q194&gt;Q173</formula>
    </cfRule>
  </conditionalFormatting>
  <conditionalFormatting sqref="S194">
    <cfRule type="expression" dxfId="943" priority="2904">
      <formula>S194&gt;S173</formula>
    </cfRule>
  </conditionalFormatting>
  <conditionalFormatting sqref="U194">
    <cfRule type="expression" dxfId="942" priority="2903">
      <formula>U194&gt;U173</formula>
    </cfRule>
  </conditionalFormatting>
  <conditionalFormatting sqref="W194">
    <cfRule type="expression" dxfId="941" priority="2902">
      <formula>W194&gt;W173</formula>
    </cfRule>
  </conditionalFormatting>
  <conditionalFormatting sqref="Y194">
    <cfRule type="expression" dxfId="940" priority="2901">
      <formula>Y194&gt;Y173</formula>
    </cfRule>
  </conditionalFormatting>
  <conditionalFormatting sqref="D224:AI224">
    <cfRule type="expression" dxfId="939" priority="2898">
      <formula>D224&gt;D235</formula>
    </cfRule>
  </conditionalFormatting>
  <conditionalFormatting sqref="D235:Y235 AB235:AJ235">
    <cfRule type="expression" dxfId="938" priority="2897">
      <formula>D224&gt;D235</formula>
    </cfRule>
  </conditionalFormatting>
  <conditionalFormatting sqref="D235:Y235 AB235:AJ235">
    <cfRule type="expression" dxfId="937" priority="2892">
      <formula>D247&lt;&gt;D235</formula>
    </cfRule>
  </conditionalFormatting>
  <conditionalFormatting sqref="K235:Y235 AB235:AI235">
    <cfRule type="expression" dxfId="936" priority="2891">
      <formula>#REF!&gt;K235</formula>
    </cfRule>
  </conditionalFormatting>
  <conditionalFormatting sqref="D250:AI250">
    <cfRule type="expression" dxfId="935" priority="2889">
      <formula>D253&gt;D250</formula>
    </cfRule>
  </conditionalFormatting>
  <conditionalFormatting sqref="D250:AI250">
    <cfRule type="expression" dxfId="934" priority="2887">
      <formula>D254&gt;D250</formula>
    </cfRule>
  </conditionalFormatting>
  <conditionalFormatting sqref="D250:AI250">
    <cfRule type="cellIs" dxfId="933" priority="2886" operator="equal">
      <formula>0</formula>
    </cfRule>
  </conditionalFormatting>
  <conditionalFormatting sqref="D259:Y259 AB259:AI259">
    <cfRule type="cellIs" dxfId="932" priority="2884" operator="equal">
      <formula>0</formula>
    </cfRule>
  </conditionalFormatting>
  <conditionalFormatting sqref="D259:Y259 AB259:AI259">
    <cfRule type="expression" dxfId="931" priority="2883">
      <formula>E260&gt;(E256+E257+E258)</formula>
    </cfRule>
  </conditionalFormatting>
  <conditionalFormatting sqref="AK259">
    <cfRule type="notContainsBlanks" dxfId="930" priority="2882">
      <formula>LEN(TRIM(AK259))&gt;0</formula>
    </cfRule>
  </conditionalFormatting>
  <conditionalFormatting sqref="AK260:AK263">
    <cfRule type="notContainsBlanks" dxfId="929" priority="2879">
      <formula>LEN(TRIM(AK260))&gt;0</formula>
    </cfRule>
  </conditionalFormatting>
  <conditionalFormatting sqref="D224:H224 J224:AI224">
    <cfRule type="expression" dxfId="928" priority="2877">
      <formula>D231&gt;D224</formula>
    </cfRule>
  </conditionalFormatting>
  <conditionalFormatting sqref="AK266">
    <cfRule type="notContainsBlanks" dxfId="927" priority="2876">
      <formula>LEN(TRIM(AK266))&gt;0</formula>
    </cfRule>
  </conditionalFormatting>
  <conditionalFormatting sqref="AK266">
    <cfRule type="notContainsBlanks" dxfId="926" priority="2875">
      <formula>LEN(TRIM(AK266))&gt;0</formula>
    </cfRule>
  </conditionalFormatting>
  <conditionalFormatting sqref="AK253">
    <cfRule type="notContainsBlanks" dxfId="925" priority="2871">
      <formula>LEN(TRIM(AK253))&gt;0</formula>
    </cfRule>
  </conditionalFormatting>
  <conditionalFormatting sqref="D235:Y235 AB235:AI235">
    <cfRule type="expression" dxfId="924" priority="2870">
      <formula>SUM(D282:D283)&gt;D235</formula>
    </cfRule>
  </conditionalFormatting>
  <conditionalFormatting sqref="F208:Y208 AB208:AI208 AB259:AI259">
    <cfRule type="expression" dxfId="923" priority="2862">
      <formula>F208&gt;F204</formula>
    </cfRule>
  </conditionalFormatting>
  <conditionalFormatting sqref="D204:Y204 AB204:AI204">
    <cfRule type="expression" dxfId="922" priority="2861">
      <formula>D208&gt;D204</formula>
    </cfRule>
  </conditionalFormatting>
  <conditionalFormatting sqref="AL204">
    <cfRule type="notContainsBlanks" dxfId="921" priority="2860">
      <formula>LEN(TRIM(AL204))&gt;0</formula>
    </cfRule>
  </conditionalFormatting>
  <conditionalFormatting sqref="F208:Y208 AB208:AI208">
    <cfRule type="expression" dxfId="920" priority="2858">
      <formula>F210&gt;F208</formula>
    </cfRule>
  </conditionalFormatting>
  <conditionalFormatting sqref="D218:Y218 AB218:AI218">
    <cfRule type="expression" dxfId="919" priority="2857">
      <formula>D218&lt;&gt;D205</formula>
    </cfRule>
  </conditionalFormatting>
  <conditionalFormatting sqref="D205:Y205 AB205:AI205">
    <cfRule type="expression" dxfId="918" priority="2856">
      <formula>D218&lt;&gt;D205</formula>
    </cfRule>
  </conditionalFormatting>
  <conditionalFormatting sqref="F217:Y217 AB217:AI217">
    <cfRule type="expression" dxfId="917" priority="2855">
      <formula>F217&gt;F210</formula>
    </cfRule>
  </conditionalFormatting>
  <conditionalFormatting sqref="AK204">
    <cfRule type="notContainsBlanks" dxfId="916" priority="2852">
      <formula>LEN(TRIM(AK204))&gt;0</formula>
    </cfRule>
  </conditionalFormatting>
  <conditionalFormatting sqref="AK208">
    <cfRule type="notContainsBlanks" dxfId="915" priority="2851">
      <formula>LEN(TRIM(AK208))&gt;0</formula>
    </cfRule>
  </conditionalFormatting>
  <conditionalFormatting sqref="AK209">
    <cfRule type="notContainsBlanks" dxfId="914" priority="2850">
      <formula>LEN(TRIM(AK209))&gt;0</formula>
    </cfRule>
  </conditionalFormatting>
  <conditionalFormatting sqref="D209:AI209">
    <cfRule type="expression" dxfId="913" priority="2849">
      <formula>D209&gt;D204</formula>
    </cfRule>
  </conditionalFormatting>
  <conditionalFormatting sqref="F207:Y207 AB207:AJ207">
    <cfRule type="cellIs" dxfId="912" priority="2848" operator="lessThan">
      <formula>0</formula>
    </cfRule>
  </conditionalFormatting>
  <conditionalFormatting sqref="AM217">
    <cfRule type="notContainsBlanks" dxfId="911" priority="3956">
      <formula>LEN(TRIM(AM217))&gt;0</formula>
    </cfRule>
  </conditionalFormatting>
  <conditionalFormatting sqref="AN204">
    <cfRule type="notContainsBlanks" dxfId="910" priority="2844">
      <formula>LEN(TRIM(AN204))&gt;0</formula>
    </cfRule>
  </conditionalFormatting>
  <conditionalFormatting sqref="AK217">
    <cfRule type="notContainsBlanks" dxfId="909" priority="2843">
      <formula>LEN(TRIM(AK217))&gt;0</formula>
    </cfRule>
  </conditionalFormatting>
  <conditionalFormatting sqref="AK219:AK221 AK224:AK266">
    <cfRule type="notContainsBlanks" dxfId="908" priority="2842">
      <formula>LEN(TRIM(AK219))&gt;0</formula>
    </cfRule>
  </conditionalFormatting>
  <conditionalFormatting sqref="AK218">
    <cfRule type="notContainsBlanks" dxfId="907" priority="2841">
      <formula>LEN(TRIM(AK218))&gt;0</formula>
    </cfRule>
  </conditionalFormatting>
  <conditionalFormatting sqref="F208:Y208 AB208:AI208">
    <cfRule type="expression" dxfId="906" priority="2818">
      <formula>F208&lt;F207</formula>
    </cfRule>
  </conditionalFormatting>
  <conditionalFormatting sqref="F207:Y207 AB207:AI207">
    <cfRule type="expression" dxfId="905" priority="2817">
      <formula>F208&lt;F207</formula>
    </cfRule>
  </conditionalFormatting>
  <conditionalFormatting sqref="K166">
    <cfRule type="expression" dxfId="904" priority="2805">
      <formula>K167&gt;K166</formula>
    </cfRule>
  </conditionalFormatting>
  <conditionalFormatting sqref="K191">
    <cfRule type="expression" dxfId="903" priority="2804">
      <formula>K191&gt;K167</formula>
    </cfRule>
  </conditionalFormatting>
  <conditionalFormatting sqref="M191">
    <cfRule type="expression" dxfId="902" priority="2803">
      <formula>M191&gt;M167</formula>
    </cfRule>
  </conditionalFormatting>
  <conditionalFormatting sqref="O191">
    <cfRule type="expression" dxfId="901" priority="2802">
      <formula>O191&gt;O167</formula>
    </cfRule>
  </conditionalFormatting>
  <conditionalFormatting sqref="Q191">
    <cfRule type="expression" dxfId="900" priority="2801">
      <formula>Q191&gt;Q167</formula>
    </cfRule>
  </conditionalFormatting>
  <conditionalFormatting sqref="S191">
    <cfRule type="expression" dxfId="899" priority="2800">
      <formula>S191&gt;S167</formula>
    </cfRule>
  </conditionalFormatting>
  <conditionalFormatting sqref="U191">
    <cfRule type="expression" dxfId="898" priority="2799">
      <formula>U191&gt;U167</formula>
    </cfRule>
  </conditionalFormatting>
  <conditionalFormatting sqref="W191">
    <cfRule type="expression" dxfId="897" priority="2798">
      <formula>W191&gt;W167</formula>
    </cfRule>
  </conditionalFormatting>
  <conditionalFormatting sqref="Y191">
    <cfRule type="expression" dxfId="896" priority="2797">
      <formula>Y191&gt;Y167</formula>
    </cfRule>
  </conditionalFormatting>
  <conditionalFormatting sqref="M304">
    <cfRule type="cellIs" dxfId="895" priority="2754" operator="equal">
      <formula>0</formula>
    </cfRule>
  </conditionalFormatting>
  <conditionalFormatting sqref="M297">
    <cfRule type="expression" dxfId="894" priority="2309">
      <formula>M296&lt;(M297+M298+M299)</formula>
    </cfRule>
    <cfRule type="expression" dxfId="893" priority="2695">
      <formula>(M299+M298+M297)&gt;M295</formula>
    </cfRule>
  </conditionalFormatting>
  <conditionalFormatting sqref="M298">
    <cfRule type="expression" dxfId="892" priority="2308">
      <formula>M296&lt;(M297+M298+M299)</formula>
    </cfRule>
    <cfRule type="expression" dxfId="891" priority="2694">
      <formula>(M299+M298+M297)&gt;M295</formula>
    </cfRule>
  </conditionalFormatting>
  <conditionalFormatting sqref="M299">
    <cfRule type="expression" dxfId="890" priority="2307">
      <formula>M296&lt;(M297+M298+M299)</formula>
    </cfRule>
    <cfRule type="expression" dxfId="889" priority="2693">
      <formula>(M299+M298+M297)&gt;M295</formula>
    </cfRule>
  </conditionalFormatting>
  <conditionalFormatting sqref="K331 O331 Q331 S331 U331 W331 Y331 AA331 M331">
    <cfRule type="expression" dxfId="888" priority="2575">
      <formula>K331&gt;K325</formula>
    </cfRule>
  </conditionalFormatting>
  <conditionalFormatting sqref="D329:AA329">
    <cfRule type="expression" dxfId="887" priority="2563">
      <formula>D329&gt;D325</formula>
    </cfRule>
  </conditionalFormatting>
  <conditionalFormatting sqref="AK322">
    <cfRule type="notContainsBlanks" dxfId="886" priority="2555">
      <formula>LEN(TRIM(AK322))&gt;0</formula>
    </cfRule>
  </conditionalFormatting>
  <conditionalFormatting sqref="K332 M332 O332 Q332 S332 U332 W332 Y332 AA332">
    <cfRule type="expression" dxfId="885" priority="2509">
      <formula>K332&gt;K331</formula>
    </cfRule>
  </conditionalFormatting>
  <conditionalFormatting sqref="AL250:AL266">
    <cfRule type="notContainsBlanks" dxfId="884" priority="2504">
      <formula>LEN(TRIM(AL250))&gt;0</formula>
    </cfRule>
  </conditionalFormatting>
  <conditionalFormatting sqref="D266:AI266">
    <cfRule type="expression" dxfId="883" priority="2503">
      <formula>D266&gt;D260</formula>
    </cfRule>
  </conditionalFormatting>
  <conditionalFormatting sqref="AL176:AL180">
    <cfRule type="notContainsBlanks" dxfId="882" priority="2501">
      <formula>LEN(TRIM(AL176))&gt;0</formula>
    </cfRule>
  </conditionalFormatting>
  <conditionalFormatting sqref="AN176:AN180 AN250:AN266">
    <cfRule type="notContainsBlanks" dxfId="881" priority="2497">
      <formula>LEN(TRIM(AN176))&gt;0</formula>
    </cfRule>
  </conditionalFormatting>
  <conditionalFormatting sqref="D323:AA323 D328:AA328">
    <cfRule type="cellIs" dxfId="880" priority="2488" operator="equal">
      <formula>0</formula>
    </cfRule>
  </conditionalFormatting>
  <conditionalFormatting sqref="S172">
    <cfRule type="expression" dxfId="879" priority="2483">
      <formula>S173&gt;S172</formula>
    </cfRule>
  </conditionalFormatting>
  <conditionalFormatting sqref="U172">
    <cfRule type="expression" dxfId="878" priority="2482">
      <formula>U173&gt;U172</formula>
    </cfRule>
  </conditionalFormatting>
  <conditionalFormatting sqref="W172">
    <cfRule type="expression" dxfId="877" priority="2481">
      <formula>W173&gt;W172</formula>
    </cfRule>
  </conditionalFormatting>
  <conditionalFormatting sqref="Y172">
    <cfRule type="expression" dxfId="876" priority="2480">
      <formula>Y173&gt;Y172</formula>
    </cfRule>
  </conditionalFormatting>
  <conditionalFormatting sqref="O173">
    <cfRule type="expression" dxfId="875" priority="2479">
      <formula>O173&gt;O172</formula>
    </cfRule>
  </conditionalFormatting>
  <conditionalFormatting sqref="O173">
    <cfRule type="expression" dxfId="874" priority="2477">
      <formula>O194&gt;O173</formula>
    </cfRule>
  </conditionalFormatting>
  <conditionalFormatting sqref="O173">
    <cfRule type="expression" dxfId="873" priority="2478">
      <formula>O173&gt;O172</formula>
    </cfRule>
  </conditionalFormatting>
  <conditionalFormatting sqref="M173">
    <cfRule type="expression" dxfId="872" priority="2476">
      <formula>M173&gt;M172</formula>
    </cfRule>
  </conditionalFormatting>
  <conditionalFormatting sqref="M173">
    <cfRule type="expression" dxfId="871" priority="2474">
      <formula>M194&gt;M173</formula>
    </cfRule>
  </conditionalFormatting>
  <conditionalFormatting sqref="M173">
    <cfRule type="expression" dxfId="870" priority="2475">
      <formula>M173&gt;M172</formula>
    </cfRule>
  </conditionalFormatting>
  <conditionalFormatting sqref="K173">
    <cfRule type="expression" dxfId="869" priority="2473">
      <formula>K173&gt;K172</formula>
    </cfRule>
  </conditionalFormatting>
  <conditionalFormatting sqref="K173">
    <cfRule type="expression" dxfId="868" priority="2471">
      <formula>K194&gt;K173</formula>
    </cfRule>
  </conditionalFormatting>
  <conditionalFormatting sqref="K173">
    <cfRule type="expression" dxfId="867" priority="2472">
      <formula>K173&gt;K172</formula>
    </cfRule>
  </conditionalFormatting>
  <conditionalFormatting sqref="S173">
    <cfRule type="expression" dxfId="866" priority="2470">
      <formula>S173&gt;S172</formula>
    </cfRule>
  </conditionalFormatting>
  <conditionalFormatting sqref="S173">
    <cfRule type="expression" dxfId="865" priority="2468">
      <formula>S194&gt;S173</formula>
    </cfRule>
  </conditionalFormatting>
  <conditionalFormatting sqref="S173">
    <cfRule type="expression" dxfId="864" priority="2469">
      <formula>S173&gt;S172</formula>
    </cfRule>
  </conditionalFormatting>
  <conditionalFormatting sqref="U173">
    <cfRule type="expression" dxfId="863" priority="2467">
      <formula>U173&gt;U172</formula>
    </cfRule>
  </conditionalFormatting>
  <conditionalFormatting sqref="U173">
    <cfRule type="expression" dxfId="862" priority="2465">
      <formula>U194&gt;U173</formula>
    </cfRule>
  </conditionalFormatting>
  <conditionalFormatting sqref="U173">
    <cfRule type="expression" dxfId="861" priority="2466">
      <formula>U173&gt;U172</formula>
    </cfRule>
  </conditionalFormatting>
  <conditionalFormatting sqref="W173">
    <cfRule type="expression" dxfId="860" priority="2464">
      <formula>W173&gt;W172</formula>
    </cfRule>
  </conditionalFormatting>
  <conditionalFormatting sqref="W173">
    <cfRule type="expression" dxfId="859" priority="2462">
      <formula>W194&gt;W173</formula>
    </cfRule>
  </conditionalFormatting>
  <conditionalFormatting sqref="W173">
    <cfRule type="expression" dxfId="858" priority="2463">
      <formula>W173&gt;W172</formula>
    </cfRule>
  </conditionalFormatting>
  <conditionalFormatting sqref="Y173">
    <cfRule type="expression" dxfId="857" priority="2461">
      <formula>Y173&gt;Y172</formula>
    </cfRule>
  </conditionalFormatting>
  <conditionalFormatting sqref="Y173">
    <cfRule type="expression" dxfId="856" priority="2459">
      <formula>Y194&gt;Y173</formula>
    </cfRule>
  </conditionalFormatting>
  <conditionalFormatting sqref="Y173">
    <cfRule type="expression" dxfId="855" priority="2460">
      <formula>Y173&gt;Y172</formula>
    </cfRule>
  </conditionalFormatting>
  <conditionalFormatting sqref="D259:Y259">
    <cfRule type="expression" dxfId="854" priority="2458">
      <formula>D259&gt;D255</formula>
    </cfRule>
  </conditionalFormatting>
  <conditionalFormatting sqref="M200:M219 O200:O219 Q200:Q219 S200:S219 U200:U219 W200:W219 Y200:Y219">
    <cfRule type="expression" dxfId="853" priority="2450">
      <formula>M200&gt;M171+M169</formula>
    </cfRule>
  </conditionalFormatting>
  <conditionalFormatting sqref="M169">
    <cfRule type="expression" dxfId="852" priority="2433">
      <formula>M192&gt;M169</formula>
    </cfRule>
  </conditionalFormatting>
  <conditionalFormatting sqref="M169">
    <cfRule type="expression" dxfId="851" priority="2432">
      <formula>M169&gt;M168</formula>
    </cfRule>
  </conditionalFormatting>
  <conditionalFormatting sqref="O169">
    <cfRule type="expression" dxfId="850" priority="2429">
      <formula>O192&gt;O169</formula>
    </cfRule>
  </conditionalFormatting>
  <conditionalFormatting sqref="O169">
    <cfRule type="expression" dxfId="849" priority="2428">
      <formula>O169&gt;O168</formula>
    </cfRule>
  </conditionalFormatting>
  <conditionalFormatting sqref="Q169">
    <cfRule type="expression" dxfId="848" priority="2425">
      <formula>Q192&gt;Q169</formula>
    </cfRule>
  </conditionalFormatting>
  <conditionalFormatting sqref="Q169">
    <cfRule type="expression" dxfId="847" priority="2424">
      <formula>Q169&gt;Q168</formula>
    </cfRule>
  </conditionalFormatting>
  <conditionalFormatting sqref="S169">
    <cfRule type="expression" dxfId="846" priority="2421">
      <formula>S192&gt;S169</formula>
    </cfRule>
  </conditionalFormatting>
  <conditionalFormatting sqref="S169">
    <cfRule type="expression" dxfId="845" priority="2420">
      <formula>S169&gt;S168</formula>
    </cfRule>
  </conditionalFormatting>
  <conditionalFormatting sqref="U169">
    <cfRule type="expression" dxfId="844" priority="2417">
      <formula>U192&gt;U169</formula>
    </cfRule>
  </conditionalFormatting>
  <conditionalFormatting sqref="U169">
    <cfRule type="expression" dxfId="843" priority="2416">
      <formula>U169&gt;U168</formula>
    </cfRule>
  </conditionalFormatting>
  <conditionalFormatting sqref="W169">
    <cfRule type="expression" dxfId="842" priority="2413">
      <formula>W192&gt;W169</formula>
    </cfRule>
  </conditionalFormatting>
  <conditionalFormatting sqref="W169">
    <cfRule type="expression" dxfId="841" priority="2412">
      <formula>W169&gt;W168</formula>
    </cfRule>
  </conditionalFormatting>
  <conditionalFormatting sqref="Y169">
    <cfRule type="expression" dxfId="840" priority="2409">
      <formula>Y192&gt;Y169</formula>
    </cfRule>
  </conditionalFormatting>
  <conditionalFormatting sqref="Y169">
    <cfRule type="expression" dxfId="839" priority="2408">
      <formula>Y169&gt;Y168</formula>
    </cfRule>
  </conditionalFormatting>
  <conditionalFormatting sqref="J108:AA108">
    <cfRule type="cellIs" dxfId="838" priority="2406" operator="equal">
      <formula>0</formula>
    </cfRule>
  </conditionalFormatting>
  <conditionalFormatting sqref="D224:E224">
    <cfRule type="expression" dxfId="837" priority="2393">
      <formula>#REF!&lt;&gt;D224</formula>
    </cfRule>
  </conditionalFormatting>
  <conditionalFormatting sqref="M304">
    <cfRule type="expression" dxfId="836" priority="2380">
      <formula>M305&gt;M304</formula>
    </cfRule>
  </conditionalFormatting>
  <conditionalFormatting sqref="O304">
    <cfRule type="cellIs" dxfId="835" priority="2379" operator="equal">
      <formula>0</formula>
    </cfRule>
  </conditionalFormatting>
  <conditionalFormatting sqref="O304">
    <cfRule type="expression" dxfId="834" priority="2377">
      <formula>O305&gt;O304</formula>
    </cfRule>
  </conditionalFormatting>
  <conditionalFormatting sqref="Q304">
    <cfRule type="cellIs" dxfId="833" priority="2376" operator="equal">
      <formula>0</formula>
    </cfRule>
  </conditionalFormatting>
  <conditionalFormatting sqref="Q304">
    <cfRule type="expression" dxfId="832" priority="2374">
      <formula>Q305&gt;Q304</formula>
    </cfRule>
  </conditionalFormatting>
  <conditionalFormatting sqref="S304">
    <cfRule type="cellIs" dxfId="831" priority="2373" operator="equal">
      <formula>0</formula>
    </cfRule>
  </conditionalFormatting>
  <conditionalFormatting sqref="S304">
    <cfRule type="expression" dxfId="830" priority="2371">
      <formula>S305&gt;S304</formula>
    </cfRule>
  </conditionalFormatting>
  <conditionalFormatting sqref="U304">
    <cfRule type="cellIs" dxfId="829" priority="2370" operator="equal">
      <formula>0</formula>
    </cfRule>
  </conditionalFormatting>
  <conditionalFormatting sqref="U304">
    <cfRule type="expression" dxfId="828" priority="2368">
      <formula>U305&gt;U304</formula>
    </cfRule>
  </conditionalFormatting>
  <conditionalFormatting sqref="W304">
    <cfRule type="cellIs" dxfId="827" priority="2367" operator="equal">
      <formula>0</formula>
    </cfRule>
  </conditionalFormatting>
  <conditionalFormatting sqref="W304">
    <cfRule type="expression" dxfId="826" priority="2365">
      <formula>W305&gt;W304</formula>
    </cfRule>
  </conditionalFormatting>
  <conditionalFormatting sqref="Y304">
    <cfRule type="cellIs" dxfId="825" priority="2364" operator="equal">
      <formula>0</formula>
    </cfRule>
  </conditionalFormatting>
  <conditionalFormatting sqref="Y304">
    <cfRule type="expression" dxfId="824" priority="2362">
      <formula>Y305&gt;Y304</formula>
    </cfRule>
  </conditionalFormatting>
  <conditionalFormatting sqref="AC304 AE304 AG304 AI304">
    <cfRule type="cellIs" dxfId="823" priority="2361" operator="equal">
      <formula>0</formula>
    </cfRule>
  </conditionalFormatting>
  <conditionalFormatting sqref="AC304 AE304 AG304 AI304">
    <cfRule type="expression" dxfId="822" priority="2359">
      <formula>AC305&gt;AC304</formula>
    </cfRule>
  </conditionalFormatting>
  <conditionalFormatting sqref="M313">
    <cfRule type="cellIs" dxfId="821" priority="2358" operator="equal">
      <formula>0</formula>
    </cfRule>
  </conditionalFormatting>
  <conditionalFormatting sqref="M313">
    <cfRule type="expression" dxfId="820" priority="2356">
      <formula>M314&gt;M313</formula>
    </cfRule>
  </conditionalFormatting>
  <conditionalFormatting sqref="O313">
    <cfRule type="cellIs" dxfId="819" priority="2355" operator="equal">
      <formula>0</formula>
    </cfRule>
  </conditionalFormatting>
  <conditionalFormatting sqref="O313">
    <cfRule type="expression" dxfId="818" priority="2353">
      <formula>O314&gt;O313</formula>
    </cfRule>
  </conditionalFormatting>
  <conditionalFormatting sqref="Q313">
    <cfRule type="cellIs" dxfId="817" priority="2352" operator="equal">
      <formula>0</formula>
    </cfRule>
  </conditionalFormatting>
  <conditionalFormatting sqref="Q313">
    <cfRule type="expression" dxfId="816" priority="2350">
      <formula>Q314&gt;Q313</formula>
    </cfRule>
  </conditionalFormatting>
  <conditionalFormatting sqref="S313">
    <cfRule type="cellIs" dxfId="815" priority="2349" operator="equal">
      <formula>0</formula>
    </cfRule>
  </conditionalFormatting>
  <conditionalFormatting sqref="S313">
    <cfRule type="expression" dxfId="814" priority="2347">
      <formula>S314&gt;S313</formula>
    </cfRule>
  </conditionalFormatting>
  <conditionalFormatting sqref="U313">
    <cfRule type="cellIs" dxfId="813" priority="2346" operator="equal">
      <formula>0</formula>
    </cfRule>
  </conditionalFormatting>
  <conditionalFormatting sqref="U313">
    <cfRule type="expression" dxfId="812" priority="2344">
      <formula>U314&gt;U313</formula>
    </cfRule>
  </conditionalFormatting>
  <conditionalFormatting sqref="W313">
    <cfRule type="cellIs" dxfId="811" priority="2343" operator="equal">
      <formula>0</formula>
    </cfRule>
  </conditionalFormatting>
  <conditionalFormatting sqref="W313">
    <cfRule type="expression" dxfId="810" priority="2341">
      <formula>W314&gt;W313</formula>
    </cfRule>
  </conditionalFormatting>
  <conditionalFormatting sqref="Y313">
    <cfRule type="cellIs" dxfId="809" priority="2340" operator="equal">
      <formula>0</formula>
    </cfRule>
  </conditionalFormatting>
  <conditionalFormatting sqref="Y313">
    <cfRule type="expression" dxfId="808" priority="2338">
      <formula>Y314&gt;Y313</formula>
    </cfRule>
  </conditionalFormatting>
  <conditionalFormatting sqref="AC313 AE313 AG313 AI313">
    <cfRule type="cellIs" dxfId="807" priority="2337" operator="equal">
      <formula>0</formula>
    </cfRule>
  </conditionalFormatting>
  <conditionalFormatting sqref="AC313 AE313 AG313 AI313">
    <cfRule type="expression" dxfId="806" priority="2335">
      <formula>AC314&gt;AC313</formula>
    </cfRule>
  </conditionalFormatting>
  <conditionalFormatting sqref="M295:M296">
    <cfRule type="cellIs" dxfId="805" priority="2334" operator="equal">
      <formula>0</formula>
    </cfRule>
  </conditionalFormatting>
  <conditionalFormatting sqref="M296">
    <cfRule type="expression" dxfId="804" priority="2310">
      <formula>M296&lt;(M297+M298+M299)</formula>
    </cfRule>
    <cfRule type="expression" dxfId="803" priority="2333">
      <formula>M296&gt;M295</formula>
    </cfRule>
  </conditionalFormatting>
  <conditionalFormatting sqref="M295">
    <cfRule type="expression" dxfId="802" priority="2332">
      <formula>M296&gt;M295</formula>
    </cfRule>
  </conditionalFormatting>
  <conditionalFormatting sqref="O295">
    <cfRule type="cellIs" dxfId="801" priority="2331" operator="equal">
      <formula>0</formula>
    </cfRule>
  </conditionalFormatting>
  <conditionalFormatting sqref="O295">
    <cfRule type="expression" dxfId="800" priority="2329">
      <formula>O296&gt;O295</formula>
    </cfRule>
  </conditionalFormatting>
  <conditionalFormatting sqref="Q295">
    <cfRule type="cellIs" dxfId="799" priority="2328" operator="equal">
      <formula>0</formula>
    </cfRule>
  </conditionalFormatting>
  <conditionalFormatting sqref="Q295">
    <cfRule type="expression" dxfId="798" priority="2326">
      <formula>Q296&gt;Q295</formula>
    </cfRule>
  </conditionalFormatting>
  <conditionalFormatting sqref="S295">
    <cfRule type="cellIs" dxfId="797" priority="2325" operator="equal">
      <formula>0</formula>
    </cfRule>
  </conditionalFormatting>
  <conditionalFormatting sqref="S295">
    <cfRule type="expression" dxfId="796" priority="2323">
      <formula>S296&gt;S295</formula>
    </cfRule>
  </conditionalFormatting>
  <conditionalFormatting sqref="U295">
    <cfRule type="cellIs" dxfId="795" priority="2322" operator="equal">
      <formula>0</formula>
    </cfRule>
  </conditionalFormatting>
  <conditionalFormatting sqref="U295">
    <cfRule type="expression" dxfId="794" priority="2320">
      <formula>U296&gt;U295</formula>
    </cfRule>
  </conditionalFormatting>
  <conditionalFormatting sqref="W295">
    <cfRule type="cellIs" dxfId="793" priority="2319" operator="equal">
      <formula>0</formula>
    </cfRule>
  </conditionalFormatting>
  <conditionalFormatting sqref="W295">
    <cfRule type="expression" dxfId="792" priority="2317">
      <formula>W296&gt;W295</formula>
    </cfRule>
  </conditionalFormatting>
  <conditionalFormatting sqref="Y295">
    <cfRule type="cellIs" dxfId="791" priority="2316" operator="equal">
      <formula>0</formula>
    </cfRule>
  </conditionalFormatting>
  <conditionalFormatting sqref="Y295">
    <cfRule type="expression" dxfId="790" priority="2314">
      <formula>Y296&gt;Y295</formula>
    </cfRule>
  </conditionalFormatting>
  <conditionalFormatting sqref="AC295 AE295 AG295 AI295">
    <cfRule type="cellIs" dxfId="789" priority="2313" operator="equal">
      <formula>0</formula>
    </cfRule>
  </conditionalFormatting>
  <conditionalFormatting sqref="AC295 AE295 AG295 AI295">
    <cfRule type="expression" dxfId="788" priority="2311">
      <formula>AC296&gt;AC295</formula>
    </cfRule>
  </conditionalFormatting>
  <conditionalFormatting sqref="O297">
    <cfRule type="expression" dxfId="787" priority="2300">
      <formula>O296&lt;(O297+O298+O299)</formula>
    </cfRule>
    <cfRule type="expression" dxfId="786" priority="2306">
      <formula>(O299+O298+O297)&gt;O295</formula>
    </cfRule>
  </conditionalFormatting>
  <conditionalFormatting sqref="O298">
    <cfRule type="expression" dxfId="785" priority="2299">
      <formula>O296&lt;(O297+O298+O299)</formula>
    </cfRule>
    <cfRule type="expression" dxfId="784" priority="2305">
      <formula>(O299+O298+O297)&gt;O295</formula>
    </cfRule>
  </conditionalFormatting>
  <conditionalFormatting sqref="O299">
    <cfRule type="expression" dxfId="783" priority="2298">
      <formula>O296&lt;(O297+O298+O299)</formula>
    </cfRule>
    <cfRule type="expression" dxfId="782" priority="2304">
      <formula>(O299+O298+O297)&gt;O295</formula>
    </cfRule>
  </conditionalFormatting>
  <conditionalFormatting sqref="O296">
    <cfRule type="cellIs" dxfId="781" priority="2303" operator="equal">
      <formula>0</formula>
    </cfRule>
  </conditionalFormatting>
  <conditionalFormatting sqref="O296">
    <cfRule type="expression" dxfId="780" priority="2301">
      <formula>O296&lt;(O297+O298+O299)</formula>
    </cfRule>
    <cfRule type="expression" dxfId="779" priority="2302">
      <formula>O296&gt;O295</formula>
    </cfRule>
  </conditionalFormatting>
  <conditionalFormatting sqref="Q297">
    <cfRule type="expression" dxfId="778" priority="2291">
      <formula>Q296&lt;(Q297+Q298+Q299)</formula>
    </cfRule>
    <cfRule type="expression" dxfId="777" priority="2297">
      <formula>(Q299+Q298+Q297)&gt;Q295</formula>
    </cfRule>
  </conditionalFormatting>
  <conditionalFormatting sqref="Q298">
    <cfRule type="expression" dxfId="776" priority="2290">
      <formula>Q296&lt;(Q297+Q298+Q299)</formula>
    </cfRule>
    <cfRule type="expression" dxfId="775" priority="2296">
      <formula>(Q299+Q298+Q297)&gt;Q295</formula>
    </cfRule>
  </conditionalFormatting>
  <conditionalFormatting sqref="Q299">
    <cfRule type="expression" dxfId="774" priority="2289">
      <formula>Q296&lt;(Q297+Q298+Q299)</formula>
    </cfRule>
    <cfRule type="expression" dxfId="773" priority="2295">
      <formula>(Q299+Q298+Q297)&gt;Q295</formula>
    </cfRule>
  </conditionalFormatting>
  <conditionalFormatting sqref="Q296">
    <cfRule type="cellIs" dxfId="772" priority="2294" operator="equal">
      <formula>0</formula>
    </cfRule>
  </conditionalFormatting>
  <conditionalFormatting sqref="Q296">
    <cfRule type="expression" dxfId="771" priority="2292">
      <formula>Q296&lt;(Q297+Q298+Q299)</formula>
    </cfRule>
    <cfRule type="expression" dxfId="770" priority="2293">
      <formula>Q296&gt;Q295</formula>
    </cfRule>
  </conditionalFormatting>
  <conditionalFormatting sqref="S297">
    <cfRule type="expression" dxfId="769" priority="2282">
      <formula>S296&lt;(S297+S298+S299)</formula>
    </cfRule>
    <cfRule type="expression" dxfId="768" priority="2288">
      <formula>(S299+S298+S297)&gt;S295</formula>
    </cfRule>
  </conditionalFormatting>
  <conditionalFormatting sqref="S298">
    <cfRule type="expression" dxfId="767" priority="2281">
      <formula>S296&lt;(S297+S298+S299)</formula>
    </cfRule>
    <cfRule type="expression" dxfId="766" priority="2287">
      <formula>(S299+S298+S297)&gt;S295</formula>
    </cfRule>
  </conditionalFormatting>
  <conditionalFormatting sqref="S299">
    <cfRule type="expression" dxfId="765" priority="2280">
      <formula>S296&lt;(S297+S298+S299)</formula>
    </cfRule>
    <cfRule type="expression" dxfId="764" priority="2286">
      <formula>(S299+S298+S297)&gt;S295</formula>
    </cfRule>
  </conditionalFormatting>
  <conditionalFormatting sqref="S296">
    <cfRule type="cellIs" dxfId="763" priority="2285" operator="equal">
      <formula>0</formula>
    </cfRule>
  </conditionalFormatting>
  <conditionalFormatting sqref="S296">
    <cfRule type="expression" dxfId="762" priority="2283">
      <formula>S296&lt;(S297+S298+S299)</formula>
    </cfRule>
    <cfRule type="expression" dxfId="761" priority="2284">
      <formula>S296&gt;S295</formula>
    </cfRule>
  </conditionalFormatting>
  <conditionalFormatting sqref="U297">
    <cfRule type="expression" dxfId="760" priority="2273">
      <formula>U296&lt;(U297+U298+U299)</formula>
    </cfRule>
    <cfRule type="expression" dxfId="759" priority="2279">
      <formula>(U299+U298+U297)&gt;U295</formula>
    </cfRule>
  </conditionalFormatting>
  <conditionalFormatting sqref="U298">
    <cfRule type="expression" dxfId="758" priority="2272">
      <formula>U296&lt;(U297+U298+U299)</formula>
    </cfRule>
    <cfRule type="expression" dxfId="757" priority="2278">
      <formula>(U299+U298+U297)&gt;U295</formula>
    </cfRule>
  </conditionalFormatting>
  <conditionalFormatting sqref="U299">
    <cfRule type="expression" dxfId="756" priority="2271">
      <formula>U296&lt;(U297+U298+U299)</formula>
    </cfRule>
    <cfRule type="expression" dxfId="755" priority="2277">
      <formula>(U299+U298+U297)&gt;U295</formula>
    </cfRule>
  </conditionalFormatting>
  <conditionalFormatting sqref="U296">
    <cfRule type="cellIs" dxfId="754" priority="2276" operator="equal">
      <formula>0</formula>
    </cfRule>
  </conditionalFormatting>
  <conditionalFormatting sqref="U296">
    <cfRule type="expression" dxfId="753" priority="2274">
      <formula>U296&lt;(U297+U298+U299)</formula>
    </cfRule>
    <cfRule type="expression" dxfId="752" priority="2275">
      <formula>U296&gt;U295</formula>
    </cfRule>
  </conditionalFormatting>
  <conditionalFormatting sqref="W297">
    <cfRule type="expression" dxfId="751" priority="2264">
      <formula>W296&lt;(W297+W298+W299)</formula>
    </cfRule>
    <cfRule type="expression" dxfId="750" priority="2270">
      <formula>(W299+W298+W297)&gt;W295</formula>
    </cfRule>
  </conditionalFormatting>
  <conditionalFormatting sqref="W298">
    <cfRule type="expression" dxfId="749" priority="2263">
      <formula>W296&lt;(W297+W298+W299)</formula>
    </cfRule>
    <cfRule type="expression" dxfId="748" priority="2269">
      <formula>(W299+W298+W297)&gt;W295</formula>
    </cfRule>
  </conditionalFormatting>
  <conditionalFormatting sqref="W299">
    <cfRule type="expression" dxfId="747" priority="2262">
      <formula>W296&lt;(W297+W298+W299)</formula>
    </cfRule>
    <cfRule type="expression" dxfId="746" priority="2268">
      <formula>(W299+W298+W297)&gt;W295</formula>
    </cfRule>
  </conditionalFormatting>
  <conditionalFormatting sqref="W296">
    <cfRule type="cellIs" dxfId="745" priority="2267" operator="equal">
      <formula>0</formula>
    </cfRule>
  </conditionalFormatting>
  <conditionalFormatting sqref="W296">
    <cfRule type="expression" dxfId="744" priority="2265">
      <formula>W296&lt;(W297+W298+W299)</formula>
    </cfRule>
    <cfRule type="expression" dxfId="743" priority="2266">
      <formula>W296&gt;W295</formula>
    </cfRule>
  </conditionalFormatting>
  <conditionalFormatting sqref="Y297">
    <cfRule type="expression" dxfId="742" priority="2255">
      <formula>Y296&lt;(Y297+Y298+Y299)</formula>
    </cfRule>
    <cfRule type="expression" dxfId="741" priority="2261">
      <formula>(Y299+Y298+Y297)&gt;Y295</formula>
    </cfRule>
  </conditionalFormatting>
  <conditionalFormatting sqref="Y298">
    <cfRule type="expression" dxfId="740" priority="2254">
      <formula>Y296&lt;(Y297+Y298+Y299)</formula>
    </cfRule>
    <cfRule type="expression" dxfId="739" priority="2260">
      <formula>(Y299+Y298+Y297)&gt;Y295</formula>
    </cfRule>
  </conditionalFormatting>
  <conditionalFormatting sqref="Y299">
    <cfRule type="expression" dxfId="738" priority="2253">
      <formula>Y296&lt;(Y297+Y298+Y299)</formula>
    </cfRule>
    <cfRule type="expression" dxfId="737" priority="2259">
      <formula>(Y299+Y298+Y297)&gt;Y295</formula>
    </cfRule>
  </conditionalFormatting>
  <conditionalFormatting sqref="Y296">
    <cfRule type="cellIs" dxfId="736" priority="2258" operator="equal">
      <formula>0</formula>
    </cfRule>
  </conditionalFormatting>
  <conditionalFormatting sqref="Y296">
    <cfRule type="expression" dxfId="735" priority="2256">
      <formula>Y296&lt;(Y297+Y298+Y299)</formula>
    </cfRule>
    <cfRule type="expression" dxfId="734" priority="2257">
      <formula>Y296&gt;Y295</formula>
    </cfRule>
  </conditionalFormatting>
  <conditionalFormatting sqref="AC297 AE297 AG297 AI297">
    <cfRule type="expression" dxfId="733" priority="2246">
      <formula>AC296&lt;(AC297+AC298+AC299)</formula>
    </cfRule>
    <cfRule type="expression" dxfId="732" priority="2252">
      <formula>(AC299+AC298+AC297)&gt;AC295</formula>
    </cfRule>
  </conditionalFormatting>
  <conditionalFormatting sqref="AC298 AE298 AG298 AI298">
    <cfRule type="expression" dxfId="731" priority="2245">
      <formula>AC296&lt;(AC297+AC298+AC299)</formula>
    </cfRule>
    <cfRule type="expression" dxfId="730" priority="2251">
      <formula>(AC299+AC298+AC297)&gt;AC295</formula>
    </cfRule>
  </conditionalFormatting>
  <conditionalFormatting sqref="AC299 AE299 AG299 AI299">
    <cfRule type="expression" dxfId="729" priority="2244">
      <formula>AC296&lt;(AC297+AC298+AC299)</formula>
    </cfRule>
    <cfRule type="expression" dxfId="728" priority="2250">
      <formula>(AC299+AC298+AC297)&gt;AC295</formula>
    </cfRule>
  </conditionalFormatting>
  <conditionalFormatting sqref="AC296 AE296 AG296 AI296">
    <cfRule type="cellIs" dxfId="727" priority="2249" operator="equal">
      <formula>0</formula>
    </cfRule>
  </conditionalFormatting>
  <conditionalFormatting sqref="AC296 AE296 AG296 AI296">
    <cfRule type="expression" dxfId="726" priority="2247">
      <formula>AC296&lt;(AC297+AC298+AC299)</formula>
    </cfRule>
    <cfRule type="expression" dxfId="725" priority="2248">
      <formula>AC296&gt;AC295</formula>
    </cfRule>
  </conditionalFormatting>
  <conditionalFormatting sqref="M306">
    <cfRule type="expression" dxfId="724" priority="2237">
      <formula>M305&lt;(M306+M307+M308)</formula>
    </cfRule>
    <cfRule type="expression" dxfId="723" priority="2243">
      <formula>(M308+M307+M306)&gt;M304</formula>
    </cfRule>
  </conditionalFormatting>
  <conditionalFormatting sqref="M307">
    <cfRule type="expression" dxfId="722" priority="2236">
      <formula>M305&lt;(M306+M307+M308)</formula>
    </cfRule>
    <cfRule type="expression" dxfId="721" priority="2242">
      <formula>(M308+M307+M306)&gt;M304</formula>
    </cfRule>
  </conditionalFormatting>
  <conditionalFormatting sqref="M308:M309">
    <cfRule type="expression" dxfId="720" priority="2235">
      <formula>M305&lt;(M306+M307+M308)</formula>
    </cfRule>
    <cfRule type="expression" dxfId="719" priority="2241">
      <formula>(M308+M307+M306)&gt;M304</formula>
    </cfRule>
  </conditionalFormatting>
  <conditionalFormatting sqref="M305">
    <cfRule type="cellIs" dxfId="718" priority="2240" operator="equal">
      <formula>0</formula>
    </cfRule>
  </conditionalFormatting>
  <conditionalFormatting sqref="M305">
    <cfRule type="expression" dxfId="717" priority="2238">
      <formula>M305&lt;(M306+M307+M308)</formula>
    </cfRule>
    <cfRule type="expression" dxfId="716" priority="2239">
      <formula>M305&gt;M304</formula>
    </cfRule>
  </conditionalFormatting>
  <conditionalFormatting sqref="O306">
    <cfRule type="expression" dxfId="715" priority="2228">
      <formula>O305&lt;(O306+O307+O308)</formula>
    </cfRule>
    <cfRule type="expression" dxfId="714" priority="2234">
      <formula>(O308+O307+O306)&gt;O304</formula>
    </cfRule>
  </conditionalFormatting>
  <conditionalFormatting sqref="O307">
    <cfRule type="expression" dxfId="713" priority="2227">
      <formula>O305&lt;(O306+O307+O308)</formula>
    </cfRule>
    <cfRule type="expression" dxfId="712" priority="2233">
      <formula>(O308+O307+O306)&gt;O304</formula>
    </cfRule>
  </conditionalFormatting>
  <conditionalFormatting sqref="O308:O309">
    <cfRule type="expression" dxfId="711" priority="2226">
      <formula>O305&lt;(O306+O307+O308)</formula>
    </cfRule>
    <cfRule type="expression" dxfId="710" priority="2232">
      <formula>(O308+O307+O306)&gt;O304</formula>
    </cfRule>
  </conditionalFormatting>
  <conditionalFormatting sqref="O305">
    <cfRule type="cellIs" dxfId="709" priority="2231" operator="equal">
      <formula>0</formula>
    </cfRule>
  </conditionalFormatting>
  <conditionalFormatting sqref="O305">
    <cfRule type="expression" dxfId="708" priority="2229">
      <formula>O305&lt;(O306+O307+O308)</formula>
    </cfRule>
    <cfRule type="expression" dxfId="707" priority="2230">
      <formula>O305&gt;O304</formula>
    </cfRule>
  </conditionalFormatting>
  <conditionalFormatting sqref="Q306">
    <cfRule type="expression" dxfId="706" priority="2219">
      <formula>Q305&lt;(Q306+Q307+Q308)</formula>
    </cfRule>
    <cfRule type="expression" dxfId="705" priority="2225">
      <formula>(Q308+Q307+Q306)&gt;Q304</formula>
    </cfRule>
  </conditionalFormatting>
  <conditionalFormatting sqref="Q307">
    <cfRule type="expression" dxfId="704" priority="2218">
      <formula>Q305&lt;(Q306+Q307+Q308)</formula>
    </cfRule>
    <cfRule type="expression" dxfId="703" priority="2224">
      <formula>(Q308+Q307+Q306)&gt;Q304</formula>
    </cfRule>
  </conditionalFormatting>
  <conditionalFormatting sqref="Q308:Q309">
    <cfRule type="expression" dxfId="702" priority="2217">
      <formula>Q305&lt;(Q306+Q307+Q308)</formula>
    </cfRule>
    <cfRule type="expression" dxfId="701" priority="2223">
      <formula>(Q308+Q307+Q306)&gt;Q304</formula>
    </cfRule>
  </conditionalFormatting>
  <conditionalFormatting sqref="Q305">
    <cfRule type="cellIs" dxfId="700" priority="2222" operator="equal">
      <formula>0</formula>
    </cfRule>
  </conditionalFormatting>
  <conditionalFormatting sqref="Q305">
    <cfRule type="expression" dxfId="699" priority="2220">
      <formula>Q305&lt;(Q306+Q307+Q308)</formula>
    </cfRule>
    <cfRule type="expression" dxfId="698" priority="2221">
      <formula>Q305&gt;Q304</formula>
    </cfRule>
  </conditionalFormatting>
  <conditionalFormatting sqref="S306">
    <cfRule type="expression" dxfId="697" priority="2210">
      <formula>S305&lt;(S306+S307+S308)</formula>
    </cfRule>
    <cfRule type="expression" dxfId="696" priority="2216">
      <formula>(S308+S307+S306)&gt;S304</formula>
    </cfRule>
  </conditionalFormatting>
  <conditionalFormatting sqref="S307">
    <cfRule type="expression" dxfId="695" priority="2209">
      <formula>S305&lt;(S306+S307+S308)</formula>
    </cfRule>
    <cfRule type="expression" dxfId="694" priority="2215">
      <formula>(S308+S307+S306)&gt;S304</formula>
    </cfRule>
  </conditionalFormatting>
  <conditionalFormatting sqref="S308:S309">
    <cfRule type="expression" dxfId="693" priority="2208">
      <formula>S305&lt;(S306+S307+S308)</formula>
    </cfRule>
    <cfRule type="expression" dxfId="692" priority="2214">
      <formula>(S308+S307+S306)&gt;S304</formula>
    </cfRule>
  </conditionalFormatting>
  <conditionalFormatting sqref="S305">
    <cfRule type="cellIs" dxfId="691" priority="2213" operator="equal">
      <formula>0</formula>
    </cfRule>
  </conditionalFormatting>
  <conditionalFormatting sqref="S305">
    <cfRule type="expression" dxfId="690" priority="2211">
      <formula>S305&lt;(S306+S307+S308)</formula>
    </cfRule>
    <cfRule type="expression" dxfId="689" priority="2212">
      <formula>S305&gt;S304</formula>
    </cfRule>
  </conditionalFormatting>
  <conditionalFormatting sqref="U306">
    <cfRule type="expression" dxfId="688" priority="2201">
      <formula>U305&lt;(U306+U307+U308)</formula>
    </cfRule>
    <cfRule type="expression" dxfId="687" priority="2207">
      <formula>(U308+U307+U306)&gt;U304</formula>
    </cfRule>
  </conditionalFormatting>
  <conditionalFormatting sqref="U307">
    <cfRule type="expression" dxfId="686" priority="2200">
      <formula>U305&lt;(U306+U307+U308)</formula>
    </cfRule>
    <cfRule type="expression" dxfId="685" priority="2206">
      <formula>(U308+U307+U306)&gt;U304</formula>
    </cfRule>
  </conditionalFormatting>
  <conditionalFormatting sqref="U308:U309">
    <cfRule type="expression" dxfId="684" priority="2199">
      <formula>U305&lt;(U306+U307+U308)</formula>
    </cfRule>
    <cfRule type="expression" dxfId="683" priority="2205">
      <formula>(U308+U307+U306)&gt;U304</formula>
    </cfRule>
  </conditionalFormatting>
  <conditionalFormatting sqref="U305">
    <cfRule type="cellIs" dxfId="682" priority="2204" operator="equal">
      <formula>0</formula>
    </cfRule>
  </conditionalFormatting>
  <conditionalFormatting sqref="U305">
    <cfRule type="expression" dxfId="681" priority="2202">
      <formula>U305&lt;(U306+U307+U308)</formula>
    </cfRule>
    <cfRule type="expression" dxfId="680" priority="2203">
      <formula>U305&gt;U304</formula>
    </cfRule>
  </conditionalFormatting>
  <conditionalFormatting sqref="W306">
    <cfRule type="expression" dxfId="679" priority="2192">
      <formula>W305&lt;(W306+W307+W308)</formula>
    </cfRule>
    <cfRule type="expression" dxfId="678" priority="2198">
      <formula>(W308+W307+W306)&gt;W304</formula>
    </cfRule>
  </conditionalFormatting>
  <conditionalFormatting sqref="W307">
    <cfRule type="expression" dxfId="677" priority="2191">
      <formula>W305&lt;(W306+W307+W308)</formula>
    </cfRule>
    <cfRule type="expression" dxfId="676" priority="2197">
      <formula>(W308+W307+W306)&gt;W304</formula>
    </cfRule>
  </conditionalFormatting>
  <conditionalFormatting sqref="W308:W309">
    <cfRule type="expression" dxfId="675" priority="2190">
      <formula>W305&lt;(W306+W307+W308)</formula>
    </cfRule>
    <cfRule type="expression" dxfId="674" priority="2196">
      <formula>(W308+W307+W306)&gt;W304</formula>
    </cfRule>
  </conditionalFormatting>
  <conditionalFormatting sqref="W305">
    <cfRule type="cellIs" dxfId="673" priority="2195" operator="equal">
      <formula>0</formula>
    </cfRule>
  </conditionalFormatting>
  <conditionalFormatting sqref="W305">
    <cfRule type="expression" dxfId="672" priority="2193">
      <formula>W305&lt;(W306+W307+W308)</formula>
    </cfRule>
    <cfRule type="expression" dxfId="671" priority="2194">
      <formula>W305&gt;W304</formula>
    </cfRule>
  </conditionalFormatting>
  <conditionalFormatting sqref="Y306">
    <cfRule type="expression" dxfId="670" priority="2183">
      <formula>Y305&lt;(Y306+Y307+Y308)</formula>
    </cfRule>
    <cfRule type="expression" dxfId="669" priority="2189">
      <formula>(Y308+Y307+Y306)&gt;Y304</formula>
    </cfRule>
  </conditionalFormatting>
  <conditionalFormatting sqref="Y307">
    <cfRule type="expression" dxfId="668" priority="2182">
      <formula>Y305&lt;(Y306+Y307+Y308)</formula>
    </cfRule>
    <cfRule type="expression" dxfId="667" priority="2188">
      <formula>(Y308+Y307+Y306)&gt;Y304</formula>
    </cfRule>
  </conditionalFormatting>
  <conditionalFormatting sqref="Y308:Y309">
    <cfRule type="expression" dxfId="666" priority="2181">
      <formula>Y305&lt;(Y306+Y307+Y308)</formula>
    </cfRule>
    <cfRule type="expression" dxfId="665" priority="2187">
      <formula>(Y308+Y307+Y306)&gt;Y304</formula>
    </cfRule>
  </conditionalFormatting>
  <conditionalFormatting sqref="Y305">
    <cfRule type="cellIs" dxfId="664" priority="2186" operator="equal">
      <formula>0</formula>
    </cfRule>
  </conditionalFormatting>
  <conditionalFormatting sqref="Y305">
    <cfRule type="expression" dxfId="663" priority="2184">
      <formula>Y305&lt;(Y306+Y307+Y308)</formula>
    </cfRule>
    <cfRule type="expression" dxfId="662" priority="2185">
      <formula>Y305&gt;Y304</formula>
    </cfRule>
  </conditionalFormatting>
  <conditionalFormatting sqref="AC306 AE306 AG306 AI306">
    <cfRule type="expression" dxfId="661" priority="2174">
      <formula>AC305&lt;(AC306+AC307+AC308)</formula>
    </cfRule>
    <cfRule type="expression" dxfId="660" priority="2180">
      <formula>(AC308+AC307+AC306)&gt;AC304</formula>
    </cfRule>
  </conditionalFormatting>
  <conditionalFormatting sqref="AC307 AE307 AG307 AI307">
    <cfRule type="expression" dxfId="659" priority="2173">
      <formula>AC305&lt;(AC306+AC307+AC308)</formula>
    </cfRule>
    <cfRule type="expression" dxfId="658" priority="2179">
      <formula>(AC308+AC307+AC306)&gt;AC304</formula>
    </cfRule>
  </conditionalFormatting>
  <conditionalFormatting sqref="AC308:AC309 AE308:AE309 AG308:AG309 AI308:AI309">
    <cfRule type="expression" dxfId="657" priority="2172">
      <formula>AC305&lt;(AC306+AC307+AC308)</formula>
    </cfRule>
    <cfRule type="expression" dxfId="656" priority="2178">
      <formula>(AC308+AC307+AC306)&gt;AC304</formula>
    </cfRule>
  </conditionalFormatting>
  <conditionalFormatting sqref="AC305 AE305 AG305 AI305">
    <cfRule type="cellIs" dxfId="655" priority="2177" operator="equal">
      <formula>0</formula>
    </cfRule>
  </conditionalFormatting>
  <conditionalFormatting sqref="AC305 AE305 AG305 AI305">
    <cfRule type="expression" dxfId="654" priority="2175">
      <formula>AC305&lt;(AC306+AC307+AC308)</formula>
    </cfRule>
    <cfRule type="expression" dxfId="653" priority="2176">
      <formula>AC305&gt;AC304</formula>
    </cfRule>
  </conditionalFormatting>
  <conditionalFormatting sqref="M315">
    <cfRule type="expression" dxfId="652" priority="2165">
      <formula>M314&lt;(M315+M316+M317)</formula>
    </cfRule>
    <cfRule type="expression" dxfId="651" priority="2171">
      <formula>(M317+M316+M315)&gt;M313</formula>
    </cfRule>
  </conditionalFormatting>
  <conditionalFormatting sqref="M316">
    <cfRule type="expression" dxfId="650" priority="2164">
      <formula>M314&lt;(M315+M316+M317)</formula>
    </cfRule>
    <cfRule type="expression" dxfId="649" priority="2170">
      <formula>(M317+M316+M315)&gt;M313</formula>
    </cfRule>
  </conditionalFormatting>
  <conditionalFormatting sqref="M317">
    <cfRule type="expression" dxfId="648" priority="2163">
      <formula>M314&lt;(M315+M316+M317)</formula>
    </cfRule>
    <cfRule type="expression" dxfId="647" priority="2169">
      <formula>(M317+M316+M315)&gt;M313</formula>
    </cfRule>
  </conditionalFormatting>
  <conditionalFormatting sqref="M314">
    <cfRule type="cellIs" dxfId="646" priority="2168" operator="equal">
      <formula>0</formula>
    </cfRule>
  </conditionalFormatting>
  <conditionalFormatting sqref="M314">
    <cfRule type="expression" dxfId="645" priority="2166">
      <formula>M314&lt;(M315+M316+M317)</formula>
    </cfRule>
    <cfRule type="expression" dxfId="644" priority="2167">
      <formula>M314&gt;M313</formula>
    </cfRule>
  </conditionalFormatting>
  <conditionalFormatting sqref="O315">
    <cfRule type="expression" dxfId="643" priority="2156">
      <formula>O314&lt;(O315+O316+O317)</formula>
    </cfRule>
    <cfRule type="expression" dxfId="642" priority="2162">
      <formula>(O317+O316+O315)&gt;O313</formula>
    </cfRule>
  </conditionalFormatting>
  <conditionalFormatting sqref="O316">
    <cfRule type="expression" dxfId="641" priority="2155">
      <formula>O314&lt;(O315+O316+O317)</formula>
    </cfRule>
    <cfRule type="expression" dxfId="640" priority="2161">
      <formula>(O317+O316+O315)&gt;O313</formula>
    </cfRule>
  </conditionalFormatting>
  <conditionalFormatting sqref="O317">
    <cfRule type="expression" dxfId="639" priority="2154">
      <formula>O314&lt;(O315+O316+O317)</formula>
    </cfRule>
    <cfRule type="expression" dxfId="638" priority="2160">
      <formula>(O317+O316+O315)&gt;O313</formula>
    </cfRule>
  </conditionalFormatting>
  <conditionalFormatting sqref="O314">
    <cfRule type="cellIs" dxfId="637" priority="2159" operator="equal">
      <formula>0</formula>
    </cfRule>
  </conditionalFormatting>
  <conditionalFormatting sqref="O314">
    <cfRule type="expression" dxfId="636" priority="2157">
      <formula>O314&lt;(O315+O316+O317)</formula>
    </cfRule>
    <cfRule type="expression" dxfId="635" priority="2158">
      <formula>O314&gt;O313</formula>
    </cfRule>
  </conditionalFormatting>
  <conditionalFormatting sqref="Q315">
    <cfRule type="expression" dxfId="634" priority="2147">
      <formula>Q314&lt;(Q315+Q316+Q317)</formula>
    </cfRule>
    <cfRule type="expression" dxfId="633" priority="2153">
      <formula>(Q317+Q316+Q315)&gt;Q313</formula>
    </cfRule>
  </conditionalFormatting>
  <conditionalFormatting sqref="Q316">
    <cfRule type="expression" dxfId="632" priority="2146">
      <formula>Q314&lt;(Q315+Q316+Q317)</formula>
    </cfRule>
    <cfRule type="expression" dxfId="631" priority="2152">
      <formula>(Q317+Q316+Q315)&gt;Q313</formula>
    </cfRule>
  </conditionalFormatting>
  <conditionalFormatting sqref="Q317">
    <cfRule type="expression" dxfId="630" priority="2145">
      <formula>Q314&lt;(Q315+Q316+Q317)</formula>
    </cfRule>
    <cfRule type="expression" dxfId="629" priority="2151">
      <formula>(Q317+Q316+Q315)&gt;Q313</formula>
    </cfRule>
  </conditionalFormatting>
  <conditionalFormatting sqref="Q314">
    <cfRule type="cellIs" dxfId="628" priority="2150" operator="equal">
      <formula>0</formula>
    </cfRule>
  </conditionalFormatting>
  <conditionalFormatting sqref="Q314">
    <cfRule type="expression" dxfId="627" priority="2148">
      <formula>Q314&lt;(Q315+Q316+Q317)</formula>
    </cfRule>
    <cfRule type="expression" dxfId="626" priority="2149">
      <formula>Q314&gt;Q313</formula>
    </cfRule>
  </conditionalFormatting>
  <conditionalFormatting sqref="S315">
    <cfRule type="expression" dxfId="625" priority="2138">
      <formula>S314&lt;(S315+S316+S317)</formula>
    </cfRule>
    <cfRule type="expression" dxfId="624" priority="2144">
      <formula>(S317+S316+S315)&gt;S313</formula>
    </cfRule>
  </conditionalFormatting>
  <conditionalFormatting sqref="S316">
    <cfRule type="expression" dxfId="623" priority="2137">
      <formula>S314&lt;(S315+S316+S317)</formula>
    </cfRule>
    <cfRule type="expression" dxfId="622" priority="2143">
      <formula>(S317+S316+S315)&gt;S313</formula>
    </cfRule>
  </conditionalFormatting>
  <conditionalFormatting sqref="S317">
    <cfRule type="expression" dxfId="621" priority="2136">
      <formula>S314&lt;(S315+S316+S317)</formula>
    </cfRule>
    <cfRule type="expression" dxfId="620" priority="2142">
      <formula>(S317+S316+S315)&gt;S313</formula>
    </cfRule>
  </conditionalFormatting>
  <conditionalFormatting sqref="S314">
    <cfRule type="cellIs" dxfId="619" priority="2141" operator="equal">
      <formula>0</formula>
    </cfRule>
  </conditionalFormatting>
  <conditionalFormatting sqref="S314">
    <cfRule type="expression" dxfId="618" priority="2139">
      <formula>S314&lt;(S315+S316+S317)</formula>
    </cfRule>
    <cfRule type="expression" dxfId="617" priority="2140">
      <formula>S314&gt;S313</formula>
    </cfRule>
  </conditionalFormatting>
  <conditionalFormatting sqref="U315">
    <cfRule type="expression" dxfId="616" priority="2129">
      <formula>U314&lt;(U315+U316+U317)</formula>
    </cfRule>
    <cfRule type="expression" dxfId="615" priority="2135">
      <formula>(U317+U316+U315)&gt;U313</formula>
    </cfRule>
  </conditionalFormatting>
  <conditionalFormatting sqref="U316">
    <cfRule type="expression" dxfId="614" priority="2128">
      <formula>U314&lt;(U315+U316+U317)</formula>
    </cfRule>
    <cfRule type="expression" dxfId="613" priority="2134">
      <formula>(U317+U316+U315)&gt;U313</formula>
    </cfRule>
  </conditionalFormatting>
  <conditionalFormatting sqref="U317">
    <cfRule type="expression" dxfId="612" priority="2127">
      <formula>U314&lt;(U315+U316+U317)</formula>
    </cfRule>
    <cfRule type="expression" dxfId="611" priority="2133">
      <formula>(U317+U316+U315)&gt;U313</formula>
    </cfRule>
  </conditionalFormatting>
  <conditionalFormatting sqref="U314">
    <cfRule type="cellIs" dxfId="610" priority="2132" operator="equal">
      <formula>0</formula>
    </cfRule>
  </conditionalFormatting>
  <conditionalFormatting sqref="U314">
    <cfRule type="expression" dxfId="609" priority="2130">
      <formula>U314&lt;(U315+U316+U317)</formula>
    </cfRule>
    <cfRule type="expression" dxfId="608" priority="2131">
      <formula>U314&gt;U313</formula>
    </cfRule>
  </conditionalFormatting>
  <conditionalFormatting sqref="W315">
    <cfRule type="expression" dxfId="607" priority="2120">
      <formula>W314&lt;(W315+W316+W317)</formula>
    </cfRule>
    <cfRule type="expression" dxfId="606" priority="2126">
      <formula>(W317+W316+W315)&gt;W313</formula>
    </cfRule>
  </conditionalFormatting>
  <conditionalFormatting sqref="W316">
    <cfRule type="expression" dxfId="605" priority="2119">
      <formula>W314&lt;(W315+W316+W317)</formula>
    </cfRule>
    <cfRule type="expression" dxfId="604" priority="2125">
      <formula>(W317+W316+W315)&gt;W313</formula>
    </cfRule>
  </conditionalFormatting>
  <conditionalFormatting sqref="W317">
    <cfRule type="expression" dxfId="603" priority="2118">
      <formula>W314&lt;(W315+W316+W317)</formula>
    </cfRule>
    <cfRule type="expression" dxfId="602" priority="2124">
      <formula>(W317+W316+W315)&gt;W313</formula>
    </cfRule>
  </conditionalFormatting>
  <conditionalFormatting sqref="W314">
    <cfRule type="cellIs" dxfId="601" priority="2123" operator="equal">
      <formula>0</formula>
    </cfRule>
  </conditionalFormatting>
  <conditionalFormatting sqref="W314">
    <cfRule type="expression" dxfId="600" priority="2121">
      <formula>W314&lt;(W315+W316+W317)</formula>
    </cfRule>
    <cfRule type="expression" dxfId="599" priority="2122">
      <formula>W314&gt;W313</formula>
    </cfRule>
  </conditionalFormatting>
  <conditionalFormatting sqref="Y315">
    <cfRule type="expression" dxfId="598" priority="2111">
      <formula>Y314&lt;(Y315+Y316+Y317)</formula>
    </cfRule>
    <cfRule type="expression" dxfId="597" priority="2117">
      <formula>(Y317+Y316+Y315)&gt;Y313</formula>
    </cfRule>
  </conditionalFormatting>
  <conditionalFormatting sqref="Y316">
    <cfRule type="expression" dxfId="596" priority="2110">
      <formula>Y314&lt;(Y315+Y316+Y317)</formula>
    </cfRule>
    <cfRule type="expression" dxfId="595" priority="2116">
      <formula>(Y317+Y316+Y315)&gt;Y313</formula>
    </cfRule>
  </conditionalFormatting>
  <conditionalFormatting sqref="Y317">
    <cfRule type="expression" dxfId="594" priority="2109">
      <formula>Y314&lt;(Y315+Y316+Y317)</formula>
    </cfRule>
    <cfRule type="expression" dxfId="593" priority="2115">
      <formula>(Y317+Y316+Y315)&gt;Y313</formula>
    </cfRule>
  </conditionalFormatting>
  <conditionalFormatting sqref="Y314">
    <cfRule type="cellIs" dxfId="592" priority="2114" operator="equal">
      <formula>0</formula>
    </cfRule>
  </conditionalFormatting>
  <conditionalFormatting sqref="Y314">
    <cfRule type="expression" dxfId="591" priority="2112">
      <formula>Y314&lt;(Y315+Y316+Y317)</formula>
    </cfRule>
    <cfRule type="expression" dxfId="590" priority="2113">
      <formula>Y314&gt;Y313</formula>
    </cfRule>
  </conditionalFormatting>
  <conditionalFormatting sqref="AC315 AE315 AG315 AI315">
    <cfRule type="expression" dxfId="589" priority="2102">
      <formula>AC314&lt;(AC315+AC316+AC317)</formula>
    </cfRule>
    <cfRule type="expression" dxfId="588" priority="2108">
      <formula>(AC317+AC316+AC315)&gt;AC313</formula>
    </cfRule>
  </conditionalFormatting>
  <conditionalFormatting sqref="AC316 AE316 AG316 AI316">
    <cfRule type="expression" dxfId="587" priority="2101">
      <formula>AC314&lt;(AC315+AC316+AC317)</formula>
    </cfRule>
    <cfRule type="expression" dxfId="586" priority="2107">
      <formula>(AC317+AC316+AC315)&gt;AC313</formula>
    </cfRule>
  </conditionalFormatting>
  <conditionalFormatting sqref="AC317 AE317 AG317 AI317">
    <cfRule type="expression" dxfId="585" priority="2100">
      <formula>AC314&lt;(AC315+AC316+AC317)</formula>
    </cfRule>
    <cfRule type="expression" dxfId="584" priority="2106">
      <formula>(AC317+AC316+AC315)&gt;AC313</formula>
    </cfRule>
  </conditionalFormatting>
  <conditionalFormatting sqref="AC314 AE314 AG314 AI314">
    <cfRule type="cellIs" dxfId="583" priority="2105" operator="equal">
      <formula>0</formula>
    </cfRule>
  </conditionalFormatting>
  <conditionalFormatting sqref="AC314 AE314 AG314 AI314">
    <cfRule type="expression" dxfId="582" priority="2103">
      <formula>AC314&lt;(AC315+AC316+AC317)</formula>
    </cfRule>
    <cfRule type="expression" dxfId="581" priority="2104">
      <formula>AC314&gt;AC313</formula>
    </cfRule>
  </conditionalFormatting>
  <conditionalFormatting sqref="F52:Y52 AB52:AI52">
    <cfRule type="cellIs" dxfId="580" priority="2098" operator="equal">
      <formula>0</formula>
    </cfRule>
  </conditionalFormatting>
  <conditionalFormatting sqref="F79:Y79 AB79:AI79">
    <cfRule type="expression" dxfId="579" priority="1995">
      <formula>F80&gt;F79</formula>
    </cfRule>
  </conditionalFormatting>
  <conditionalFormatting sqref="AJ78:AJ79">
    <cfRule type="cellIs" dxfId="578" priority="1974" operator="equal">
      <formula>0</formula>
    </cfRule>
  </conditionalFormatting>
  <conditionalFormatting sqref="AJ80">
    <cfRule type="cellIs" dxfId="577" priority="1973" operator="equal">
      <formula>0</formula>
    </cfRule>
  </conditionalFormatting>
  <conditionalFormatting sqref="AH322:AI322">
    <cfRule type="cellIs" dxfId="576" priority="1414" operator="equal">
      <formula>0</formula>
    </cfRule>
  </conditionalFormatting>
  <conditionalFormatting sqref="AJ116">
    <cfRule type="cellIs" dxfId="575" priority="1235" operator="equal">
      <formula>0</formula>
    </cfRule>
  </conditionalFormatting>
  <conditionalFormatting sqref="J116:AA116">
    <cfRule type="cellIs" dxfId="574" priority="1234" operator="equal">
      <formula>0</formula>
    </cfRule>
  </conditionalFormatting>
  <conditionalFormatting sqref="F90">
    <cfRule type="expression" dxfId="573" priority="1158">
      <formula>F87&lt;&gt;F88+F89+F90+F91</formula>
    </cfRule>
  </conditionalFormatting>
  <conditionalFormatting sqref="AK302">
    <cfRule type="notContainsBlanks" dxfId="572" priority="1018">
      <formula>LEN(TRIM(AK302))&gt;0</formula>
    </cfRule>
  </conditionalFormatting>
  <conditionalFormatting sqref="AK311">
    <cfRule type="notContainsBlanks" dxfId="571" priority="1017">
      <formula>LEN(TRIM(AK311))&gt;0</formula>
    </cfRule>
  </conditionalFormatting>
  <conditionalFormatting sqref="AA292:AA299 AA301:AA317">
    <cfRule type="cellIs" dxfId="570" priority="1005" operator="equal">
      <formula>0</formula>
    </cfRule>
  </conditionalFormatting>
  <conditionalFormatting sqref="F78:Y78 AB78:AI78">
    <cfRule type="expression" dxfId="569" priority="996">
      <formula>F79&gt;F78</formula>
    </cfRule>
  </conditionalFormatting>
  <conditionalFormatting sqref="F78">
    <cfRule type="expression" dxfId="568" priority="995">
      <formula>F78&lt;F80</formula>
    </cfRule>
  </conditionalFormatting>
  <conditionalFormatting sqref="F79:Y79 AB79:AI79">
    <cfRule type="expression" dxfId="567" priority="994">
      <formula>F78&lt;F79</formula>
    </cfRule>
  </conditionalFormatting>
  <conditionalFormatting sqref="AM93:AM98">
    <cfRule type="notContainsBlanks" dxfId="566" priority="985">
      <formula>LEN(TRIM(AM93))&gt;0</formula>
    </cfRule>
  </conditionalFormatting>
  <conditionalFormatting sqref="AB93:AI94 D93:Y94 D95:AI98">
    <cfRule type="cellIs" dxfId="565" priority="984" operator="equal">
      <formula>0</formula>
    </cfRule>
  </conditionalFormatting>
  <conditionalFormatting sqref="AB93:AI94 D93:Y94 D95:AI98">
    <cfRule type="cellIs" dxfId="564" priority="982" operator="equal">
      <formula>0</formula>
    </cfRule>
  </conditionalFormatting>
  <conditionalFormatting sqref="D93:Y93 AB93:AI93">
    <cfRule type="expression" dxfId="563" priority="979">
      <formula>D93&gt;#REF!</formula>
    </cfRule>
  </conditionalFormatting>
  <conditionalFormatting sqref="AK175">
    <cfRule type="notContainsBlanks" dxfId="562" priority="974">
      <formula>LEN(TRIM(AK175))&gt;0</formula>
    </cfRule>
  </conditionalFormatting>
  <conditionalFormatting sqref="AM174:AM175">
    <cfRule type="notContainsBlanks" dxfId="561" priority="973">
      <formula>LEN(TRIM(AM174))&gt;0</formula>
    </cfRule>
  </conditionalFormatting>
  <conditionalFormatting sqref="AJ174:AJ175">
    <cfRule type="cellIs" dxfId="560" priority="972" operator="equal">
      <formula>0</formula>
    </cfRule>
  </conditionalFormatting>
  <conditionalFormatting sqref="K174">
    <cfRule type="expression" dxfId="559" priority="975">
      <formula>K199&gt;K174</formula>
    </cfRule>
  </conditionalFormatting>
  <conditionalFormatting sqref="K174">
    <cfRule type="expression" dxfId="558" priority="971">
      <formula>K175&gt;K174</formula>
    </cfRule>
  </conditionalFormatting>
  <conditionalFormatting sqref="M174">
    <cfRule type="expression" dxfId="557" priority="970">
      <formula>M175&gt;M174</formula>
    </cfRule>
  </conditionalFormatting>
  <conditionalFormatting sqref="O174">
    <cfRule type="expression" dxfId="556" priority="969">
      <formula>O175&gt;O174</formula>
    </cfRule>
  </conditionalFormatting>
  <conditionalFormatting sqref="Q174">
    <cfRule type="expression" dxfId="555" priority="968">
      <formula>Q175&gt;Q174</formula>
    </cfRule>
  </conditionalFormatting>
  <conditionalFormatting sqref="Q175">
    <cfRule type="expression" dxfId="554" priority="967">
      <formula>Q175&gt;Q174</formula>
    </cfRule>
  </conditionalFormatting>
  <conditionalFormatting sqref="AK174">
    <cfRule type="notContainsBlanks" dxfId="553" priority="966">
      <formula>LEN(TRIM(AK174))&gt;0</formula>
    </cfRule>
  </conditionalFormatting>
  <conditionalFormatting sqref="Q175">
    <cfRule type="expression" dxfId="552" priority="964">
      <formula>Q197&gt;Q175</formula>
    </cfRule>
  </conditionalFormatting>
  <conditionalFormatting sqref="Q175">
    <cfRule type="expression" dxfId="551" priority="965">
      <formula>Q175&gt;Q174</formula>
    </cfRule>
  </conditionalFormatting>
  <conditionalFormatting sqref="S174">
    <cfRule type="expression" dxfId="550" priority="963">
      <formula>S175&gt;S174</formula>
    </cfRule>
  </conditionalFormatting>
  <conditionalFormatting sqref="U174">
    <cfRule type="expression" dxfId="549" priority="962">
      <formula>U175&gt;U174</formula>
    </cfRule>
  </conditionalFormatting>
  <conditionalFormatting sqref="W174">
    <cfRule type="expression" dxfId="548" priority="961">
      <formula>W175&gt;W174</formula>
    </cfRule>
  </conditionalFormatting>
  <conditionalFormatting sqref="Y174">
    <cfRule type="expression" dxfId="547" priority="960">
      <formula>Y175&gt;Y174</formula>
    </cfRule>
  </conditionalFormatting>
  <conditionalFormatting sqref="O175">
    <cfRule type="expression" dxfId="546" priority="959">
      <formula>O175&gt;O174</formula>
    </cfRule>
  </conditionalFormatting>
  <conditionalFormatting sqref="O175">
    <cfRule type="expression" dxfId="545" priority="957">
      <formula>O197&gt;O175</formula>
    </cfRule>
  </conditionalFormatting>
  <conditionalFormatting sqref="O175">
    <cfRule type="expression" dxfId="544" priority="958">
      <formula>O175&gt;O174</formula>
    </cfRule>
  </conditionalFormatting>
  <conditionalFormatting sqref="M175">
    <cfRule type="expression" dxfId="543" priority="956">
      <formula>M175&gt;M174</formula>
    </cfRule>
  </conditionalFormatting>
  <conditionalFormatting sqref="M175">
    <cfRule type="expression" dxfId="542" priority="954">
      <formula>M197&gt;M175</formula>
    </cfRule>
  </conditionalFormatting>
  <conditionalFormatting sqref="M175">
    <cfRule type="expression" dxfId="541" priority="955">
      <formula>M175&gt;M174</formula>
    </cfRule>
  </conditionalFormatting>
  <conditionalFormatting sqref="K175">
    <cfRule type="expression" dxfId="540" priority="953">
      <formula>K175&gt;K174</formula>
    </cfRule>
  </conditionalFormatting>
  <conditionalFormatting sqref="K175">
    <cfRule type="expression" dxfId="539" priority="951">
      <formula>K197&gt;K175</formula>
    </cfRule>
  </conditionalFormatting>
  <conditionalFormatting sqref="K175">
    <cfRule type="expression" dxfId="538" priority="952">
      <formula>K175&gt;K174</formula>
    </cfRule>
  </conditionalFormatting>
  <conditionalFormatting sqref="S175">
    <cfRule type="expression" dxfId="537" priority="950">
      <formula>S175&gt;S174</formula>
    </cfRule>
  </conditionalFormatting>
  <conditionalFormatting sqref="S175">
    <cfRule type="expression" dxfId="536" priority="948">
      <formula>S197&gt;S175</formula>
    </cfRule>
  </conditionalFormatting>
  <conditionalFormatting sqref="S175">
    <cfRule type="expression" dxfId="535" priority="949">
      <formula>S175&gt;S174</formula>
    </cfRule>
  </conditionalFormatting>
  <conditionalFormatting sqref="U175">
    <cfRule type="expression" dxfId="534" priority="947">
      <formula>U175&gt;U174</formula>
    </cfRule>
  </conditionalFormatting>
  <conditionalFormatting sqref="U175">
    <cfRule type="expression" dxfId="533" priority="945">
      <formula>U197&gt;U175</formula>
    </cfRule>
  </conditionalFormatting>
  <conditionalFormatting sqref="U175">
    <cfRule type="expression" dxfId="532" priority="946">
      <formula>U175&gt;U174</formula>
    </cfRule>
  </conditionalFormatting>
  <conditionalFormatting sqref="W175">
    <cfRule type="expression" dxfId="531" priority="944">
      <formula>W175&gt;W174</formula>
    </cfRule>
  </conditionalFormatting>
  <conditionalFormatting sqref="W175">
    <cfRule type="expression" dxfId="530" priority="942">
      <formula>W197&gt;W175</formula>
    </cfRule>
  </conditionalFormatting>
  <conditionalFormatting sqref="W175">
    <cfRule type="expression" dxfId="529" priority="943">
      <formula>W175&gt;W174</formula>
    </cfRule>
  </conditionalFormatting>
  <conditionalFormatting sqref="Y175">
    <cfRule type="expression" dxfId="528" priority="941">
      <formula>Y175&gt;Y174</formula>
    </cfRule>
  </conditionalFormatting>
  <conditionalFormatting sqref="Y175">
    <cfRule type="expression" dxfId="527" priority="939">
      <formula>Y197&gt;Y175</formula>
    </cfRule>
  </conditionalFormatting>
  <conditionalFormatting sqref="Y175">
    <cfRule type="expression" dxfId="526" priority="940">
      <formula>Y175&gt;Y174</formula>
    </cfRule>
  </conditionalFormatting>
  <conditionalFormatting sqref="AK100:AK101">
    <cfRule type="notContainsBlanks" dxfId="525" priority="916">
      <formula>LEN(TRIM(AK100))&gt;0</formula>
    </cfRule>
  </conditionalFormatting>
  <conditionalFormatting sqref="AM100:AM101">
    <cfRule type="notContainsBlanks" dxfId="524" priority="915">
      <formula>LEN(TRIM(AM100))&gt;0</formula>
    </cfRule>
  </conditionalFormatting>
  <conditionalFormatting sqref="AM100">
    <cfRule type="notContainsBlanks" dxfId="523" priority="914">
      <formula>LEN(TRIM(AM100))&gt;0</formula>
    </cfRule>
  </conditionalFormatting>
  <conditionalFormatting sqref="AL100:AL101">
    <cfRule type="notContainsBlanks" dxfId="522" priority="917">
      <formula>LEN(TRIM(AL100))&gt;0</formula>
    </cfRule>
  </conditionalFormatting>
  <conditionalFormatting sqref="AJ100">
    <cfRule type="cellIs" dxfId="521" priority="913" operator="equal">
      <formula>0</formula>
    </cfRule>
  </conditionalFormatting>
  <conditionalFormatting sqref="AJ101">
    <cfRule type="cellIs" dxfId="520" priority="912" operator="equal">
      <formula>0</formula>
    </cfRule>
  </conditionalFormatting>
  <conditionalFormatting sqref="M100 O100 Q100 S100 U100 W100 Y100 AA100">
    <cfRule type="expression" dxfId="519" priority="911">
      <formula>M101&gt;M100</formula>
    </cfRule>
  </conditionalFormatting>
  <conditionalFormatting sqref="AK102:AK103">
    <cfRule type="notContainsBlanks" dxfId="518" priority="905">
      <formula>LEN(TRIM(AK102))&gt;0</formula>
    </cfRule>
  </conditionalFormatting>
  <conditionalFormatting sqref="AM102:AM103">
    <cfRule type="notContainsBlanks" dxfId="517" priority="904">
      <formula>LEN(TRIM(AM102))&gt;0</formula>
    </cfRule>
  </conditionalFormatting>
  <conditionalFormatting sqref="AM102">
    <cfRule type="notContainsBlanks" dxfId="516" priority="903">
      <formula>LEN(TRIM(AM102))&gt;0</formula>
    </cfRule>
  </conditionalFormatting>
  <conditionalFormatting sqref="AL102:AL103">
    <cfRule type="notContainsBlanks" dxfId="515" priority="906">
      <formula>LEN(TRIM(AL102))&gt;0</formula>
    </cfRule>
  </conditionalFormatting>
  <conditionalFormatting sqref="AJ102">
    <cfRule type="cellIs" dxfId="514" priority="902" operator="equal">
      <formula>0</formula>
    </cfRule>
  </conditionalFormatting>
  <conditionalFormatting sqref="AJ103">
    <cfRule type="cellIs" dxfId="513" priority="901" operator="equal">
      <formula>0</formula>
    </cfRule>
  </conditionalFormatting>
  <conditionalFormatting sqref="L102 N102 P102 R102 T102 V102 X102 Z102">
    <cfRule type="expression" dxfId="512" priority="900">
      <formula>L103&gt;L102</formula>
    </cfRule>
  </conditionalFormatting>
  <conditionalFormatting sqref="M138 O138 Q138 S138 U138 W138 Y138 AA138">
    <cfRule type="expression" dxfId="511" priority="886">
      <formula>(#REF!+#REF!+M138)&gt;M137</formula>
    </cfRule>
  </conditionalFormatting>
  <conditionalFormatting sqref="L139 N139 P139 R139 T139 V139 X139 Z139">
    <cfRule type="expression" dxfId="510" priority="885">
      <formula>(#REF!+#REF!+L139)&gt;#REF!</formula>
    </cfRule>
  </conditionalFormatting>
  <conditionalFormatting sqref="AK271:AK272">
    <cfRule type="notContainsBlanks" dxfId="509" priority="881">
      <formula>LEN(TRIM(AK271))&gt;0</formula>
    </cfRule>
  </conditionalFormatting>
  <conditionalFormatting sqref="AM271:AN272">
    <cfRule type="notContainsBlanks" dxfId="508" priority="879">
      <formula>LEN(TRIM(AM271))&gt;0</formula>
    </cfRule>
  </conditionalFormatting>
  <conditionalFormatting sqref="AJ271:AJ272">
    <cfRule type="cellIs" dxfId="507" priority="878" operator="equal">
      <formula>0</formula>
    </cfRule>
  </conditionalFormatting>
  <conditionalFormatting sqref="AK195">
    <cfRule type="notContainsBlanks" dxfId="506" priority="868">
      <formula>LEN(TRIM(AK195))&gt;0</formula>
    </cfRule>
  </conditionalFormatting>
  <conditionalFormatting sqref="AM195">
    <cfRule type="notContainsBlanks" dxfId="505" priority="867">
      <formula>LEN(TRIM(AM195))&gt;0</formula>
    </cfRule>
  </conditionalFormatting>
  <conditionalFormatting sqref="AL195">
    <cfRule type="notContainsBlanks" dxfId="504" priority="869">
      <formula>LEN(TRIM(AL195))&gt;0</formula>
    </cfRule>
  </conditionalFormatting>
  <conditionalFormatting sqref="AJ195">
    <cfRule type="cellIs" dxfId="503" priority="866" operator="equal">
      <formula>0</formula>
    </cfRule>
  </conditionalFormatting>
  <conditionalFormatting sqref="K195">
    <cfRule type="expression" dxfId="502" priority="865">
      <formula>K195&gt;K174</formula>
    </cfRule>
  </conditionalFormatting>
  <conditionalFormatting sqref="M195">
    <cfRule type="expression" dxfId="501" priority="864">
      <formula>M195&gt;M174</formula>
    </cfRule>
  </conditionalFormatting>
  <conditionalFormatting sqref="O195">
    <cfRule type="expression" dxfId="500" priority="863">
      <formula>O195&gt;O174</formula>
    </cfRule>
  </conditionalFormatting>
  <conditionalFormatting sqref="Q195">
    <cfRule type="expression" dxfId="499" priority="862">
      <formula>Q195&gt;Q174</formula>
    </cfRule>
  </conditionalFormatting>
  <conditionalFormatting sqref="S195">
    <cfRule type="expression" dxfId="498" priority="861">
      <formula>S195&gt;S174</formula>
    </cfRule>
  </conditionalFormatting>
  <conditionalFormatting sqref="U195">
    <cfRule type="expression" dxfId="497" priority="860">
      <formula>U195&gt;U174</formula>
    </cfRule>
  </conditionalFormatting>
  <conditionalFormatting sqref="W195">
    <cfRule type="expression" dxfId="496" priority="859">
      <formula>W195&gt;W174</formula>
    </cfRule>
  </conditionalFormatting>
  <conditionalFormatting sqref="Y195">
    <cfRule type="expression" dxfId="495" priority="858">
      <formula>Y195&gt;Y174</formula>
    </cfRule>
  </conditionalFormatting>
  <conditionalFormatting sqref="AA185:AA195">
    <cfRule type="cellIs" dxfId="494" priority="850" operator="equal">
      <formula>0</formula>
    </cfRule>
  </conditionalFormatting>
  <conditionalFormatting sqref="AB187">
    <cfRule type="cellIs" dxfId="493" priority="849" operator="equal">
      <formula>0</formula>
    </cfRule>
  </conditionalFormatting>
  <conditionalFormatting sqref="AD187">
    <cfRule type="cellIs" dxfId="492" priority="846" operator="equal">
      <formula>0</formula>
    </cfRule>
  </conditionalFormatting>
  <conditionalFormatting sqref="AF187">
    <cfRule type="cellIs" dxfId="491" priority="845" operator="equal">
      <formula>0</formula>
    </cfRule>
  </conditionalFormatting>
  <conditionalFormatting sqref="AH187">
    <cfRule type="cellIs" dxfId="490" priority="844" operator="equal">
      <formula>0</formula>
    </cfRule>
  </conditionalFormatting>
  <conditionalFormatting sqref="Z204:AA208 Z210:AA210 Z217:AA229 Z215:AA215 Z231:AA231 Z235:AA235 Z248:AA250 Z259:AA259 Z266:AA266">
    <cfRule type="cellIs" dxfId="489" priority="809" operator="equal">
      <formula>0</formula>
    </cfRule>
  </conditionalFormatting>
  <conditionalFormatting sqref="Z8:AA11">
    <cfRule type="cellIs" dxfId="488" priority="796" operator="equal">
      <formula>0</formula>
    </cfRule>
  </conditionalFormatting>
  <conditionalFormatting sqref="Z13:AA14">
    <cfRule type="cellIs" dxfId="487" priority="795" operator="equal">
      <formula>0</formula>
    </cfRule>
  </conditionalFormatting>
  <conditionalFormatting sqref="AA124">
    <cfRule type="cellIs" dxfId="486" priority="779" operator="equal">
      <formula>0</formula>
    </cfRule>
  </conditionalFormatting>
  <conditionalFormatting sqref="Y124">
    <cfRule type="cellIs" dxfId="485" priority="780" operator="equal">
      <formula>0</formula>
    </cfRule>
  </conditionalFormatting>
  <conditionalFormatting sqref="W124">
    <cfRule type="cellIs" dxfId="484" priority="781" operator="equal">
      <formula>0</formula>
    </cfRule>
  </conditionalFormatting>
  <conditionalFormatting sqref="K124">
    <cfRule type="cellIs" dxfId="483" priority="787" operator="equal">
      <formula>0</formula>
    </cfRule>
  </conditionalFormatting>
  <conditionalFormatting sqref="M124">
    <cfRule type="cellIs" dxfId="482" priority="786" operator="equal">
      <formula>0</formula>
    </cfRule>
  </conditionalFormatting>
  <conditionalFormatting sqref="O124">
    <cfRule type="cellIs" dxfId="481" priority="785" operator="equal">
      <formula>0</formula>
    </cfRule>
  </conditionalFormatting>
  <conditionalFormatting sqref="Q124">
    <cfRule type="cellIs" dxfId="480" priority="784" operator="equal">
      <formula>0</formula>
    </cfRule>
  </conditionalFormatting>
  <conditionalFormatting sqref="S124">
    <cfRule type="cellIs" dxfId="479" priority="783" operator="equal">
      <formula>0</formula>
    </cfRule>
  </conditionalFormatting>
  <conditionalFormatting sqref="U124">
    <cfRule type="cellIs" dxfId="478" priority="782" operator="equal">
      <formula>0</formula>
    </cfRule>
  </conditionalFormatting>
  <conditionalFormatting sqref="AM127:AM128">
    <cfRule type="notContainsBlanks" dxfId="477" priority="777">
      <formula>LEN(TRIM(AM127))&gt;0</formula>
    </cfRule>
  </conditionalFormatting>
  <conditionalFormatting sqref="AM129:AM131">
    <cfRule type="notContainsBlanks" dxfId="476" priority="774">
      <formula>LEN(TRIM(AM129))&gt;0</formula>
    </cfRule>
  </conditionalFormatting>
  <conditionalFormatting sqref="AM140:AM141">
    <cfRule type="notContainsBlanks" dxfId="475" priority="771">
      <formula>LEN(TRIM(AM140))&gt;0</formula>
    </cfRule>
  </conditionalFormatting>
  <conditionalFormatting sqref="AM142:AM144">
    <cfRule type="notContainsBlanks" dxfId="474" priority="768">
      <formula>LEN(TRIM(AM142))&gt;0</formula>
    </cfRule>
  </conditionalFormatting>
  <conditionalFormatting sqref="AM132">
    <cfRule type="notContainsBlanks" dxfId="473" priority="764">
      <formula>LEN(TRIM(AM132))&gt;0</formula>
    </cfRule>
  </conditionalFormatting>
  <conditionalFormatting sqref="AM145:AM221 AM224:AM266">
    <cfRule type="notContainsBlanks" dxfId="472" priority="760">
      <formula>LEN(TRIM(AM145))&gt;0</formula>
    </cfRule>
  </conditionalFormatting>
  <conditionalFormatting sqref="Z231:AA231">
    <cfRule type="cellIs" dxfId="471" priority="752" operator="equal">
      <formula>0</formula>
    </cfRule>
  </conditionalFormatting>
  <conditionalFormatting sqref="AJ231:AJ233">
    <cfRule type="cellIs" dxfId="470" priority="748" operator="equal">
      <formula>0</formula>
    </cfRule>
  </conditionalFormatting>
  <conditionalFormatting sqref="AJ234">
    <cfRule type="cellIs" dxfId="469" priority="741" operator="equal">
      <formula>0</formula>
    </cfRule>
  </conditionalFormatting>
  <conditionalFormatting sqref="D231:Y231 AB231:AI231">
    <cfRule type="cellIs" dxfId="468" priority="734" operator="equal">
      <formula>0</formula>
    </cfRule>
  </conditionalFormatting>
  <conditionalFormatting sqref="D231:Y231 AB231:AI231">
    <cfRule type="cellIs" dxfId="467" priority="733" operator="equal">
      <formula>0</formula>
    </cfRule>
  </conditionalFormatting>
  <conditionalFormatting sqref="I224">
    <cfRule type="expression" dxfId="466" priority="4138">
      <formula>#REF!&gt;I224</formula>
    </cfRule>
  </conditionalFormatting>
  <conditionalFormatting sqref="D250:AI250">
    <cfRule type="expression" dxfId="465" priority="4139">
      <formula>D266&gt;D250</formula>
    </cfRule>
  </conditionalFormatting>
  <conditionalFormatting sqref="D325:AA325">
    <cfRule type="expression" dxfId="464" priority="4142">
      <formula>D331&gt;D325</formula>
    </cfRule>
  </conditionalFormatting>
  <conditionalFormatting sqref="J116:AA116">
    <cfRule type="expression" dxfId="463" priority="725">
      <formula>(J128+J127)&lt;&gt;J116</formula>
    </cfRule>
  </conditionalFormatting>
  <conditionalFormatting sqref="J116:AA116">
    <cfRule type="expression" dxfId="462" priority="721">
      <formula>(J129+J130+J131)&lt;&gt;J116</formula>
    </cfRule>
  </conditionalFormatting>
  <conditionalFormatting sqref="L132:AA132">
    <cfRule type="expression" dxfId="461" priority="720">
      <formula>L132&gt;L116</formula>
    </cfRule>
  </conditionalFormatting>
  <conditionalFormatting sqref="J116:AA116">
    <cfRule type="expression" dxfId="460" priority="719">
      <formula>J132&gt;J116</formula>
    </cfRule>
  </conditionalFormatting>
  <conditionalFormatting sqref="L133:AA133">
    <cfRule type="expression" dxfId="459" priority="716">
      <formula>(L140+L141)&lt;&gt;L133</formula>
    </cfRule>
  </conditionalFormatting>
  <conditionalFormatting sqref="L133:AA133">
    <cfRule type="expression" dxfId="458" priority="712">
      <formula>(L142+L143+L144)&lt;&gt;L133</formula>
    </cfRule>
  </conditionalFormatting>
  <conditionalFormatting sqref="L145 N145 P145 R145 T145 V145 X145 Z145">
    <cfRule type="expression" dxfId="457" priority="711">
      <formula>L145&gt;L133</formula>
    </cfRule>
  </conditionalFormatting>
  <conditionalFormatting sqref="L133:AA133">
    <cfRule type="expression" dxfId="456" priority="710">
      <formula>L145&gt;L133</formula>
    </cfRule>
  </conditionalFormatting>
  <conditionalFormatting sqref="D231:Y231 AB231:AI231">
    <cfRule type="expression" dxfId="455" priority="709">
      <formula>D231&lt;&gt;D224</formula>
    </cfRule>
  </conditionalFormatting>
  <conditionalFormatting sqref="D250:AI250">
    <cfRule type="expression" dxfId="454" priority="705">
      <formula>(D261+D262+D263)&lt;&gt;D250</formula>
    </cfRule>
  </conditionalFormatting>
  <conditionalFormatting sqref="B2">
    <cfRule type="notContainsBlanks" dxfId="453" priority="691">
      <formula>LEN(TRIM(B2))&gt;0</formula>
    </cfRule>
  </conditionalFormatting>
  <conditionalFormatting sqref="D215:E215">
    <cfRule type="cellIs" dxfId="452" priority="690" operator="equal">
      <formula>0</formula>
    </cfRule>
  </conditionalFormatting>
  <conditionalFormatting sqref="D328:AA328">
    <cfRule type="expression" dxfId="451" priority="689">
      <formula>D328&gt;D326</formula>
    </cfRule>
  </conditionalFormatting>
  <conditionalFormatting sqref="AM330">
    <cfRule type="notContainsBlanks" dxfId="450" priority="686">
      <formula>LEN(TRIM(AM330))&gt;0</formula>
    </cfRule>
  </conditionalFormatting>
  <conditionalFormatting sqref="AJ330">
    <cfRule type="cellIs" dxfId="449" priority="685" operator="equal">
      <formula>0</formula>
    </cfRule>
  </conditionalFormatting>
  <conditionalFormatting sqref="E330 G330 I330 K330 M330 O330 Q330 S330 U330 W330 Y330 AA330">
    <cfRule type="cellIs" dxfId="448" priority="684" operator="equal">
      <formula>0</formula>
    </cfRule>
  </conditionalFormatting>
  <conditionalFormatting sqref="E330 G330 I330 K330 M330 O330 Q330 S330 U330 W330 Y330 AA330">
    <cfRule type="expression" dxfId="447" priority="683">
      <formula>E330&gt;E334</formula>
    </cfRule>
  </conditionalFormatting>
  <conditionalFormatting sqref="E330 G330 I330 K330 M330 O330 Q330 S330 U330 W330 Y330 AA330">
    <cfRule type="expression" dxfId="446" priority="682">
      <formula>E330&gt;E325</formula>
    </cfRule>
  </conditionalFormatting>
  <conditionalFormatting sqref="F19:AI19">
    <cfRule type="cellIs" dxfId="445" priority="680" operator="equal">
      <formula>0</formula>
    </cfRule>
  </conditionalFormatting>
  <conditionalFormatting sqref="L20:Y20">
    <cfRule type="expression" dxfId="444" priority="679">
      <formula>L20&gt;L19</formula>
    </cfRule>
  </conditionalFormatting>
  <conditionalFormatting sqref="AB20:AI20">
    <cfRule type="expression" dxfId="443" priority="675">
      <formula>AB20&gt;AB19</formula>
    </cfRule>
  </conditionalFormatting>
  <conditionalFormatting sqref="AK326:AK327">
    <cfRule type="notContainsBlanks" dxfId="442" priority="669">
      <formula>LEN(TRIM(AK326))&gt;0</formula>
    </cfRule>
  </conditionalFormatting>
  <conditionalFormatting sqref="AM326:AM327">
    <cfRule type="notContainsBlanks" dxfId="441" priority="668">
      <formula>LEN(TRIM(AM326))&gt;0</formula>
    </cfRule>
  </conditionalFormatting>
  <conditionalFormatting sqref="AJ326:AJ327">
    <cfRule type="cellIs" dxfId="440" priority="667" operator="equal">
      <formula>0</formula>
    </cfRule>
  </conditionalFormatting>
  <conditionalFormatting sqref="D326:AA326">
    <cfRule type="expression" dxfId="439" priority="666">
      <formula>D327&gt;D326</formula>
    </cfRule>
  </conditionalFormatting>
  <conditionalFormatting sqref="D327:AA327">
    <cfRule type="expression" dxfId="438" priority="665">
      <formula>D327&gt;D326</formula>
    </cfRule>
  </conditionalFormatting>
  <conditionalFormatting sqref="D333:AA333">
    <cfRule type="expression" dxfId="437" priority="4186">
      <formula>D333&gt;D325</formula>
    </cfRule>
  </conditionalFormatting>
  <conditionalFormatting sqref="AJ85 AJ93">
    <cfRule type="cellIs" dxfId="436" priority="664" operator="equal">
      <formula>0</formula>
    </cfRule>
  </conditionalFormatting>
  <conditionalFormatting sqref="F85:Y85 AB85:AI85">
    <cfRule type="cellIs" dxfId="435" priority="663" operator="equal">
      <formula>0</formula>
    </cfRule>
  </conditionalFormatting>
  <conditionalFormatting sqref="L85:Y85">
    <cfRule type="expression" dxfId="434" priority="662">
      <formula>L94&gt;L85</formula>
    </cfRule>
  </conditionalFormatting>
  <conditionalFormatting sqref="AB85:AI85">
    <cfRule type="expression" dxfId="433" priority="661">
      <formula>AB94&gt;AB85</formula>
    </cfRule>
  </conditionalFormatting>
  <conditionalFormatting sqref="F326:AA326">
    <cfRule type="expression" dxfId="432" priority="657">
      <formula>A328&gt;A326</formula>
    </cfRule>
  </conditionalFormatting>
  <conditionalFormatting sqref="D326:AA326">
    <cfRule type="expression" dxfId="431" priority="656">
      <formula>D328&gt;D326</formula>
    </cfRule>
  </conditionalFormatting>
  <conditionalFormatting sqref="AL323:AL334 AL336">
    <cfRule type="notContainsBlanks" dxfId="430" priority="620">
      <formula>LEN(TRIM(AL323))&gt;0</formula>
    </cfRule>
  </conditionalFormatting>
  <conditionalFormatting sqref="AL280:AL283 AL285:AL288">
    <cfRule type="notContainsBlanks" dxfId="429" priority="619">
      <formula>LEN(TRIM(AL280))&gt;0</formula>
    </cfRule>
  </conditionalFormatting>
  <conditionalFormatting sqref="AK335">
    <cfRule type="notContainsBlanks" dxfId="428" priority="617">
      <formula>LEN(TRIM(AK335))&gt;0</formula>
    </cfRule>
  </conditionalFormatting>
  <conditionalFormatting sqref="AM335">
    <cfRule type="notContainsBlanks" dxfId="427" priority="616">
      <formula>LEN(TRIM(AM335))&gt;0</formula>
    </cfRule>
  </conditionalFormatting>
  <conditionalFormatting sqref="AJ335">
    <cfRule type="cellIs" dxfId="426" priority="615" operator="equal">
      <formula>0</formula>
    </cfRule>
  </conditionalFormatting>
  <conditionalFormatting sqref="AL335">
    <cfRule type="notContainsBlanks" dxfId="425" priority="613">
      <formula>LEN(TRIM(AL335))&gt;0</formula>
    </cfRule>
  </conditionalFormatting>
  <conditionalFormatting sqref="D334:AA334">
    <cfRule type="expression" dxfId="424" priority="610">
      <formula>D335&gt;D334</formula>
    </cfRule>
  </conditionalFormatting>
  <conditionalFormatting sqref="AJ322:AJ323">
    <cfRule type="cellIs" dxfId="423" priority="609" operator="equal">
      <formula>0</formula>
    </cfRule>
  </conditionalFormatting>
  <conditionalFormatting sqref="F16:Y16 AB16:AI16">
    <cfRule type="expression" dxfId="422" priority="603">
      <formula>F14&lt;&gt;F15+F16+F17+F18</formula>
    </cfRule>
  </conditionalFormatting>
  <conditionalFormatting sqref="F17:Y17 AB17:AI17">
    <cfRule type="expression" dxfId="421" priority="602">
      <formula>F14&lt;&gt;F15+F16+F17+F18</formula>
    </cfRule>
  </conditionalFormatting>
  <conditionalFormatting sqref="F18:Y18 AB18:AI18">
    <cfRule type="expression" dxfId="420" priority="601">
      <formula>F14&lt;&gt;F15+F16+F17+F18</formula>
    </cfRule>
  </conditionalFormatting>
  <conditionalFormatting sqref="Z15:AA18">
    <cfRule type="cellIs" dxfId="419" priority="600" operator="equal">
      <formula>0</formula>
    </cfRule>
  </conditionalFormatting>
  <conditionalFormatting sqref="AK14">
    <cfRule type="notContainsBlanks" dxfId="418" priority="599">
      <formula>LEN(TRIM(AK14))&gt;0</formula>
    </cfRule>
  </conditionalFormatting>
  <conditionalFormatting sqref="F13:Y13 AB13:AI13">
    <cfRule type="expression" dxfId="417" priority="4208">
      <formula>(#REF!+#REF!+#REF!)&lt;&gt;F13</formula>
    </cfRule>
  </conditionalFormatting>
  <conditionalFormatting sqref="AK23:AK24">
    <cfRule type="notContainsBlanks" dxfId="416" priority="598">
      <formula>LEN(TRIM(AK23))&gt;0</formula>
    </cfRule>
  </conditionalFormatting>
  <conditionalFormatting sqref="AK25">
    <cfRule type="notContainsBlanks" dxfId="415" priority="597">
      <formula>LEN(TRIM(AK25))&gt;0</formula>
    </cfRule>
  </conditionalFormatting>
  <conditionalFormatting sqref="AK26">
    <cfRule type="notContainsBlanks" dxfId="414" priority="596">
      <formula>LEN(TRIM(AK26))&gt;0</formula>
    </cfRule>
  </conditionalFormatting>
  <conditionalFormatting sqref="F23:Y23 AB23:AI23">
    <cfRule type="expression" dxfId="413" priority="591">
      <formula>F22&lt;&gt;F23+F24+F25+F26</formula>
    </cfRule>
  </conditionalFormatting>
  <conditionalFormatting sqref="F24:Y24 AB24:AI24">
    <cfRule type="expression" dxfId="412" priority="590">
      <formula>F22&lt;&gt;F23+F24+F25+F26</formula>
    </cfRule>
  </conditionalFormatting>
  <conditionalFormatting sqref="F25:Y25 AB25:AI25">
    <cfRule type="expression" dxfId="411" priority="589">
      <formula>F22&lt;&gt;F23+F24+F25+F26</formula>
    </cfRule>
  </conditionalFormatting>
  <conditionalFormatting sqref="F26:Y26 AB26:AI26">
    <cfRule type="expression" dxfId="410" priority="588">
      <formula>F22&lt;&gt;F23+F24+F25+F26</formula>
    </cfRule>
  </conditionalFormatting>
  <conditionalFormatting sqref="Z26:AA26">
    <cfRule type="cellIs" dxfId="409" priority="587" operator="equal">
      <formula>0</formula>
    </cfRule>
  </conditionalFormatting>
  <conditionalFormatting sqref="AK22">
    <cfRule type="notContainsBlanks" dxfId="408" priority="586">
      <formula>LEN(TRIM(AK22))&gt;0</formula>
    </cfRule>
  </conditionalFormatting>
  <conditionalFormatting sqref="F29:Y29 AB29:AI29">
    <cfRule type="expression" dxfId="407" priority="581">
      <formula>F28&lt;&gt;F29+F30+F31+F32</formula>
    </cfRule>
  </conditionalFormatting>
  <conditionalFormatting sqref="F30:Y30 AB30:AI30">
    <cfRule type="expression" dxfId="406" priority="580">
      <formula>F28&lt;&gt;F29+F30+F31+F32</formula>
    </cfRule>
  </conditionalFormatting>
  <conditionalFormatting sqref="F31:Y31 AB31:AI31">
    <cfRule type="expression" dxfId="405" priority="579">
      <formula>F28&lt;&gt;F29+F30+F31+F32</formula>
    </cfRule>
  </conditionalFormatting>
  <conditionalFormatting sqref="F32:Y32 AB32:AI32">
    <cfRule type="expression" dxfId="404" priority="578">
      <formula>F28&lt;&gt;F29+F30+F31+F32</formula>
    </cfRule>
  </conditionalFormatting>
  <conditionalFormatting sqref="AK40">
    <cfRule type="notContainsBlanks" dxfId="403" priority="564">
      <formula>LEN(TRIM(AK40))&gt;0</formula>
    </cfRule>
  </conditionalFormatting>
  <conditionalFormatting sqref="F35:Y35 AB35:AI35">
    <cfRule type="expression" dxfId="402" priority="571">
      <formula>F34&lt;&gt;F35+F36+F37+F38</formula>
    </cfRule>
  </conditionalFormatting>
  <conditionalFormatting sqref="F36:Y36 AB36:AI36">
    <cfRule type="expression" dxfId="401" priority="570">
      <formula>F34&lt;&gt;F35+F36+F37+F38</formula>
    </cfRule>
  </conditionalFormatting>
  <conditionalFormatting sqref="F37:Y37 AB37:AI37">
    <cfRule type="expression" dxfId="400" priority="569">
      <formula>F34&lt;&gt;F35+F36+F37+F38</formula>
    </cfRule>
  </conditionalFormatting>
  <conditionalFormatting sqref="F38:Y38 AB38:AI38">
    <cfRule type="expression" dxfId="399" priority="568">
      <formula>F34&lt;&gt;F35+F36+F37+F38</formula>
    </cfRule>
  </conditionalFormatting>
  <conditionalFormatting sqref="AK28">
    <cfRule type="notContainsBlanks" dxfId="398" priority="566">
      <formula>LEN(TRIM(AK28))&gt;0</formula>
    </cfRule>
  </conditionalFormatting>
  <conditionalFormatting sqref="AK34">
    <cfRule type="notContainsBlanks" dxfId="397" priority="565">
      <formula>LEN(TRIM(AK34))&gt;0</formula>
    </cfRule>
  </conditionalFormatting>
  <conditionalFormatting sqref="F41:G41">
    <cfRule type="expression" dxfId="396" priority="559">
      <formula>F40&lt;&gt;F41+F42+F43+F44</formula>
    </cfRule>
  </conditionalFormatting>
  <conditionalFormatting sqref="F42:G42">
    <cfRule type="expression" dxfId="395" priority="558">
      <formula>F40&lt;&gt;F41+F42+F43+F44</formula>
    </cfRule>
  </conditionalFormatting>
  <conditionalFormatting sqref="F43:G43">
    <cfRule type="expression" dxfId="394" priority="557">
      <formula>F40&lt;&gt;F41+F42+F43+F44</formula>
    </cfRule>
  </conditionalFormatting>
  <conditionalFormatting sqref="F44:G44">
    <cfRule type="expression" dxfId="393" priority="556">
      <formula>F40&lt;&gt;F41+F42+F43+F44</formula>
    </cfRule>
  </conditionalFormatting>
  <conditionalFormatting sqref="AK46">
    <cfRule type="notContainsBlanks" dxfId="392" priority="554">
      <formula>LEN(TRIM(AK46))&gt;0</formula>
    </cfRule>
  </conditionalFormatting>
  <conditionalFormatting sqref="F47:Y47 AB47:AI47">
    <cfRule type="expression" dxfId="391" priority="549">
      <formula>F46&lt;&gt;F47+F48+F49+F50</formula>
    </cfRule>
  </conditionalFormatting>
  <conditionalFormatting sqref="F48:Y48 AB48:AI48">
    <cfRule type="expression" dxfId="390" priority="548">
      <formula>F46&lt;&gt;F47+F48+F49+F50</formula>
    </cfRule>
  </conditionalFormatting>
  <conditionalFormatting sqref="F49:Y49 AB49:AI49">
    <cfRule type="expression" dxfId="389" priority="547">
      <formula>F46&lt;&gt;F47+F48+F49+F50</formula>
    </cfRule>
  </conditionalFormatting>
  <conditionalFormatting sqref="F50:Y50 AB50:AI50">
    <cfRule type="expression" dxfId="388" priority="546">
      <formula>F46&lt;&gt;F47+F48+F49+F50</formula>
    </cfRule>
  </conditionalFormatting>
  <conditionalFormatting sqref="F53:Y53 AB53:AI53">
    <cfRule type="expression" dxfId="387" priority="540">
      <formula>F52&lt;&gt;F53+F54+F55+F56</formula>
    </cfRule>
  </conditionalFormatting>
  <conditionalFormatting sqref="F54:Y54 AB54:AI54">
    <cfRule type="expression" dxfId="386" priority="539">
      <formula>F52&lt;&gt;F53+F54+F55+F56</formula>
    </cfRule>
  </conditionalFormatting>
  <conditionalFormatting sqref="F55:Y55 AB55:AI55">
    <cfRule type="expression" dxfId="385" priority="538">
      <formula>F52&lt;&gt;F53+F54+F55+F56</formula>
    </cfRule>
  </conditionalFormatting>
  <conditionalFormatting sqref="F56:Y56 AB56:AI56">
    <cfRule type="expression" dxfId="384" priority="537">
      <formula>F52&lt;&gt;F53+F54+F55+F56</formula>
    </cfRule>
  </conditionalFormatting>
  <conditionalFormatting sqref="AK63:AK66 AK68:AK71">
    <cfRule type="notContainsBlanks" dxfId="383" priority="520">
      <formula>LEN(TRIM(AK63))&gt;0</formula>
    </cfRule>
  </conditionalFormatting>
  <conditionalFormatting sqref="AM63:AM71">
    <cfRule type="notContainsBlanks" dxfId="382" priority="519">
      <formula>LEN(TRIM(AM63))&gt;0</formula>
    </cfRule>
  </conditionalFormatting>
  <conditionalFormatting sqref="AB63:AI63 F63:Y64">
    <cfRule type="cellIs" dxfId="381" priority="515" operator="equal">
      <formula>0</formula>
    </cfRule>
    <cfRule type="expression" dxfId="380" priority="516">
      <formula>F64&gt;F63</formula>
    </cfRule>
  </conditionalFormatting>
  <conditionalFormatting sqref="AB59:AI59">
    <cfRule type="expression" dxfId="379" priority="502">
      <formula>AB58&lt;&gt;AB59+AB60+AB61+AB62</formula>
    </cfRule>
  </conditionalFormatting>
  <conditionalFormatting sqref="AB60:AI60">
    <cfRule type="expression" dxfId="378" priority="501">
      <formula>AB58&lt;&gt;AB59+AB60+AB61+AB62</formula>
    </cfRule>
  </conditionalFormatting>
  <conditionalFormatting sqref="AB61:AI61">
    <cfRule type="expression" dxfId="377" priority="500">
      <formula>AB58&lt;&gt;AB59+AB60+AB61+AB62</formula>
    </cfRule>
  </conditionalFormatting>
  <conditionalFormatting sqref="AB62:AI62">
    <cfRule type="expression" dxfId="376" priority="499">
      <formula>AB58&lt;&gt;AB59+AB60+AB61+AB62</formula>
    </cfRule>
  </conditionalFormatting>
  <conditionalFormatting sqref="F65:Y66">
    <cfRule type="cellIs" dxfId="375" priority="477" operator="equal">
      <formula>0</formula>
    </cfRule>
    <cfRule type="expression" dxfId="374" priority="478">
      <formula>F66&gt;F65</formula>
    </cfRule>
  </conditionalFormatting>
  <conditionalFormatting sqref="AB57:AI57">
    <cfRule type="cellIs" dxfId="373" priority="484" operator="equal">
      <formula>0</formula>
    </cfRule>
    <cfRule type="expression" dxfId="372" priority="485">
      <formula>AB58&gt;AB57</formula>
    </cfRule>
  </conditionalFormatting>
  <conditionalFormatting sqref="AB58:AI58">
    <cfRule type="cellIs" dxfId="371" priority="481" operator="equal">
      <formula>0</formula>
    </cfRule>
  </conditionalFormatting>
  <conditionalFormatting sqref="H15:Y15">
    <cfRule type="expression" dxfId="370" priority="445">
      <formula>H13&lt;&gt;H14+H15+H16+H17</formula>
    </cfRule>
  </conditionalFormatting>
  <conditionalFormatting sqref="Z21:AA21">
    <cfRule type="cellIs" dxfId="369" priority="461" operator="equal">
      <formula>0</formula>
    </cfRule>
  </conditionalFormatting>
  <conditionalFormatting sqref="Z22:AA22">
    <cfRule type="cellIs" dxfId="368" priority="460" operator="equal">
      <formula>0</formula>
    </cfRule>
  </conditionalFormatting>
  <conditionalFormatting sqref="Z23:AA23">
    <cfRule type="cellIs" dxfId="367" priority="459" operator="equal">
      <formula>0</formula>
    </cfRule>
  </conditionalFormatting>
  <conditionalFormatting sqref="Z24:AA25">
    <cfRule type="cellIs" dxfId="366" priority="458" operator="equal">
      <formula>0</formula>
    </cfRule>
  </conditionalFormatting>
  <conditionalFormatting sqref="Z28:AA30">
    <cfRule type="cellIs" dxfId="365" priority="457" operator="equal">
      <formula>0</formula>
    </cfRule>
  </conditionalFormatting>
  <conditionalFormatting sqref="Z27:AA27">
    <cfRule type="cellIs" dxfId="364" priority="456" operator="equal">
      <formula>0</formula>
    </cfRule>
  </conditionalFormatting>
  <conditionalFormatting sqref="Z37:AA38">
    <cfRule type="cellIs" dxfId="363" priority="455" operator="equal">
      <formula>0</formula>
    </cfRule>
  </conditionalFormatting>
  <conditionalFormatting sqref="Z45:AA50">
    <cfRule type="cellIs" dxfId="362" priority="454" operator="equal">
      <formula>0</formula>
    </cfRule>
  </conditionalFormatting>
  <conditionalFormatting sqref="Z51:AA56">
    <cfRule type="cellIs" dxfId="361" priority="453" operator="equal">
      <formula>0</formula>
    </cfRule>
  </conditionalFormatting>
  <conditionalFormatting sqref="Z57:AA62">
    <cfRule type="cellIs" dxfId="360" priority="452" operator="equal">
      <formula>0</formula>
    </cfRule>
  </conditionalFormatting>
  <conditionalFormatting sqref="Z63:AA70 Z87:AA88 Z72:AA73">
    <cfRule type="cellIs" dxfId="359" priority="451" operator="equal">
      <formula>0</formula>
    </cfRule>
  </conditionalFormatting>
  <conditionalFormatting sqref="Z39:AA44">
    <cfRule type="cellIs" dxfId="358" priority="449" operator="equal">
      <formula>0</formula>
    </cfRule>
  </conditionalFormatting>
  <conditionalFormatting sqref="Z31:AA36">
    <cfRule type="cellIs" dxfId="357" priority="448" operator="equal">
      <formula>0</formula>
    </cfRule>
  </conditionalFormatting>
  <conditionalFormatting sqref="F15">
    <cfRule type="expression" dxfId="356" priority="447">
      <formula>F13&lt;&gt;F14+F15+F16+F17</formula>
    </cfRule>
  </conditionalFormatting>
  <conditionalFormatting sqref="G15">
    <cfRule type="expression" dxfId="355" priority="446">
      <formula>G13&lt;&gt;G14+G15+G16+G17</formula>
    </cfRule>
  </conditionalFormatting>
  <conditionalFormatting sqref="AC15:AI15">
    <cfRule type="expression" dxfId="354" priority="444">
      <formula>AC13&lt;&gt;AC14+AC15+AC16+AC17</formula>
    </cfRule>
  </conditionalFormatting>
  <conditionalFormatting sqref="AB15">
    <cfRule type="expression" dxfId="353" priority="443">
      <formula>AB13&lt;&gt;AB14+AB15+AB16+AB17</formula>
    </cfRule>
  </conditionalFormatting>
  <conditionalFormatting sqref="AJ71">
    <cfRule type="cellIs" dxfId="352" priority="442" operator="equal">
      <formula>0</formula>
    </cfRule>
  </conditionalFormatting>
  <conditionalFormatting sqref="F71:Y71 AB71:AI71">
    <cfRule type="expression" dxfId="351" priority="441">
      <formula>F67&lt;&gt;F68+F69+F70+F71</formula>
    </cfRule>
  </conditionalFormatting>
  <conditionalFormatting sqref="Z71:AA71">
    <cfRule type="cellIs" dxfId="350" priority="439" operator="equal">
      <formula>0</formula>
    </cfRule>
  </conditionalFormatting>
  <conditionalFormatting sqref="F67:Y67">
    <cfRule type="cellIs" dxfId="349" priority="435" operator="equal">
      <formula>0</formula>
    </cfRule>
    <cfRule type="expression" dxfId="348" priority="436">
      <formula>F68&gt;F67</formula>
    </cfRule>
  </conditionalFormatting>
  <conditionalFormatting sqref="AB67">
    <cfRule type="cellIs" dxfId="347" priority="433" operator="equal">
      <formula>0</formula>
    </cfRule>
    <cfRule type="expression" dxfId="346" priority="434">
      <formula>AB68&gt;AB67</formula>
    </cfRule>
  </conditionalFormatting>
  <conditionalFormatting sqref="AC67:AI67">
    <cfRule type="cellIs" dxfId="345" priority="431" operator="equal">
      <formula>0</formula>
    </cfRule>
    <cfRule type="expression" dxfId="344" priority="432">
      <formula>AC68&gt;AC67</formula>
    </cfRule>
  </conditionalFormatting>
  <conditionalFormatting sqref="F68">
    <cfRule type="expression" dxfId="343" priority="430">
      <formula>F66&lt;&gt;F67+F68+F69+F71</formula>
    </cfRule>
  </conditionalFormatting>
  <conditionalFormatting sqref="G68">
    <cfRule type="expression" dxfId="342" priority="429">
      <formula>G66&lt;&gt;G67+G68+G69+G71</formula>
    </cfRule>
  </conditionalFormatting>
  <conditionalFormatting sqref="H68:Y68">
    <cfRule type="expression" dxfId="341" priority="428">
      <formula>H66&lt;&gt;H67+H68+H69+H71</formula>
    </cfRule>
  </conditionalFormatting>
  <conditionalFormatting sqref="AB68:AI68">
    <cfRule type="expression" dxfId="340" priority="427">
      <formula>AB66&lt;&gt;AB67+AB68+AB69+AB71</formula>
    </cfRule>
  </conditionalFormatting>
  <conditionalFormatting sqref="AJ87:AJ91">
    <cfRule type="cellIs" dxfId="339" priority="424" operator="equal">
      <formula>0</formula>
    </cfRule>
  </conditionalFormatting>
  <conditionalFormatting sqref="AJ92">
    <cfRule type="cellIs" dxfId="338" priority="423" operator="equal">
      <formula>0</formula>
    </cfRule>
  </conditionalFormatting>
  <conditionalFormatting sqref="I89:Y89">
    <cfRule type="expression" dxfId="337" priority="422">
      <formula>I88&lt;&gt;I89+I90+I91+I92</formula>
    </cfRule>
  </conditionalFormatting>
  <conditionalFormatting sqref="G90:Y90">
    <cfRule type="expression" dxfId="336" priority="421">
      <formula>G88&lt;&gt;G89+G90+G91+G92</formula>
    </cfRule>
  </conditionalFormatting>
  <conditionalFormatting sqref="F91:Y91">
    <cfRule type="expression" dxfId="335" priority="420">
      <formula>F88&lt;&gt;F89+F90+F91+F92</formula>
    </cfRule>
  </conditionalFormatting>
  <conditionalFormatting sqref="F92:Y92">
    <cfRule type="expression" dxfId="334" priority="419">
      <formula>F88&lt;&gt;F89+F90+F91+F92</formula>
    </cfRule>
  </conditionalFormatting>
  <conditionalFormatting sqref="Z89:AA92">
    <cfRule type="cellIs" dxfId="333" priority="418" operator="equal">
      <formula>0</formula>
    </cfRule>
  </conditionalFormatting>
  <conditionalFormatting sqref="AK58">
    <cfRule type="notContainsBlanks" dxfId="332" priority="415">
      <formula>LEN(TRIM(AK58))&gt;0</formula>
    </cfRule>
  </conditionalFormatting>
  <conditionalFormatting sqref="AK67">
    <cfRule type="notContainsBlanks" dxfId="331" priority="414">
      <formula>LEN(TRIM(AK67))&gt;0</formula>
    </cfRule>
  </conditionalFormatting>
  <conditionalFormatting sqref="AK88">
    <cfRule type="notContainsBlanks" dxfId="330" priority="413">
      <formula>LEN(TRIM(AK88))&gt;0</formula>
    </cfRule>
  </conditionalFormatting>
  <conditionalFormatting sqref="AJ74">
    <cfRule type="cellIs" dxfId="329" priority="412" operator="equal">
      <formula>0</formula>
    </cfRule>
  </conditionalFormatting>
  <conditionalFormatting sqref="AJ75">
    <cfRule type="cellIs" dxfId="328" priority="411" operator="equal">
      <formula>0</formula>
    </cfRule>
  </conditionalFormatting>
  <conditionalFormatting sqref="AJ76">
    <cfRule type="cellIs" dxfId="327" priority="410" operator="equal">
      <formula>0</formula>
    </cfRule>
  </conditionalFormatting>
  <conditionalFormatting sqref="AJ77">
    <cfRule type="cellIs" dxfId="326" priority="409" operator="equal">
      <formula>0</formula>
    </cfRule>
  </conditionalFormatting>
  <conditionalFormatting sqref="L74:Y74 AB74:AI74">
    <cfRule type="expression" dxfId="325" priority="406">
      <formula>L73&lt;&gt;L74+L75+L76+L77</formula>
    </cfRule>
  </conditionalFormatting>
  <conditionalFormatting sqref="L75:Y75 AB75:AI75">
    <cfRule type="expression" dxfId="324" priority="405">
      <formula>L73&lt;&gt;L74+L75+L76+L77</formula>
    </cfRule>
  </conditionalFormatting>
  <conditionalFormatting sqref="L76:Y76 AB76:AI76">
    <cfRule type="expression" dxfId="323" priority="404">
      <formula>L73&lt;&gt;L74+L75+L76+L77</formula>
    </cfRule>
  </conditionalFormatting>
  <conditionalFormatting sqref="L77:Y77 AB77:AI77">
    <cfRule type="expression" dxfId="322" priority="403">
      <formula>L73&lt;&gt;L74+L75+L76+L77</formula>
    </cfRule>
  </conditionalFormatting>
  <conditionalFormatting sqref="Z74:AA77">
    <cfRule type="cellIs" dxfId="321" priority="402" operator="equal">
      <formula>0</formula>
    </cfRule>
  </conditionalFormatting>
  <conditionalFormatting sqref="G89">
    <cfRule type="expression" dxfId="320" priority="395">
      <formula>G87&lt;&gt;G88+G89+G90+G91</formula>
    </cfRule>
  </conditionalFormatting>
  <conditionalFormatting sqref="H89">
    <cfRule type="expression" dxfId="319" priority="394">
      <formula>H87&lt;&gt;H88+H89+H90+H91</formula>
    </cfRule>
  </conditionalFormatting>
  <conditionalFormatting sqref="AC87">
    <cfRule type="expression" dxfId="318" priority="393">
      <formula>AC88&gt;AC87</formula>
    </cfRule>
  </conditionalFormatting>
  <conditionalFormatting sqref="AC89">
    <cfRule type="expression" dxfId="317" priority="392">
      <formula>AC88&lt;&gt;AC89+AC90+AC91+AC92</formula>
    </cfRule>
  </conditionalFormatting>
  <conditionalFormatting sqref="AC90">
    <cfRule type="expression" dxfId="316" priority="391">
      <formula>AC88&lt;&gt;AC89+AC90+AC91+AC92</formula>
    </cfRule>
  </conditionalFormatting>
  <conditionalFormatting sqref="AC91">
    <cfRule type="expression" dxfId="315" priority="390">
      <formula>AC88&lt;&gt;AC89+AC90+AC91+AC92</formula>
    </cfRule>
  </conditionalFormatting>
  <conditionalFormatting sqref="AC92">
    <cfRule type="expression" dxfId="314" priority="389">
      <formula>AC88&lt;&gt;AC89+AC90+AC91+AC92</formula>
    </cfRule>
  </conditionalFormatting>
  <conditionalFormatting sqref="AD87">
    <cfRule type="expression" dxfId="313" priority="388">
      <formula>AD88&gt;AD87</formula>
    </cfRule>
  </conditionalFormatting>
  <conditionalFormatting sqref="AD89">
    <cfRule type="expression" dxfId="312" priority="387">
      <formula>AD88&lt;&gt;AD89+AD90+AD91+AD92</formula>
    </cfRule>
  </conditionalFormatting>
  <conditionalFormatting sqref="AD90">
    <cfRule type="expression" dxfId="311" priority="386">
      <formula>AD88&lt;&gt;AD89+AD90+AD91+AD92</formula>
    </cfRule>
  </conditionalFormatting>
  <conditionalFormatting sqref="AD91">
    <cfRule type="expression" dxfId="310" priority="385">
      <formula>AD88&lt;&gt;AD89+AD90+AD91+AD92</formula>
    </cfRule>
  </conditionalFormatting>
  <conditionalFormatting sqref="AD92">
    <cfRule type="expression" dxfId="309" priority="384">
      <formula>AD88&lt;&gt;AD89+AD90+AD91+AD92</formula>
    </cfRule>
  </conditionalFormatting>
  <conditionalFormatting sqref="AE87:AI87">
    <cfRule type="expression" dxfId="308" priority="383">
      <formula>AE88&gt;AE87</formula>
    </cfRule>
  </conditionalFormatting>
  <conditionalFormatting sqref="AE89:AI89">
    <cfRule type="expression" dxfId="307" priority="382">
      <formula>AE88&lt;&gt;AE89+AE90+AE91+AE92</formula>
    </cfRule>
  </conditionalFormatting>
  <conditionalFormatting sqref="AE90:AI90">
    <cfRule type="expression" dxfId="306" priority="381">
      <formula>AE88&lt;&gt;AE89+AE90+AE91+AE92</formula>
    </cfRule>
  </conditionalFormatting>
  <conditionalFormatting sqref="AE91:AI91">
    <cfRule type="expression" dxfId="305" priority="380">
      <formula>AE88&lt;&gt;AE89+AE90+AE91+AE92</formula>
    </cfRule>
  </conditionalFormatting>
  <conditionalFormatting sqref="AE92:AI92">
    <cfRule type="expression" dxfId="304" priority="379">
      <formula>AE88&lt;&gt;AE89+AE90+AE91+AE92</formula>
    </cfRule>
  </conditionalFormatting>
  <conditionalFormatting sqref="AB87">
    <cfRule type="expression" dxfId="303" priority="378">
      <formula>AB88&gt;AB87</formula>
    </cfRule>
  </conditionalFormatting>
  <conditionalFormatting sqref="AB89">
    <cfRule type="expression" dxfId="302" priority="377">
      <formula>AB88&lt;&gt;AB89+AB90+AB91+AB92</formula>
    </cfRule>
  </conditionalFormatting>
  <conditionalFormatting sqref="AB90">
    <cfRule type="expression" dxfId="301" priority="376">
      <formula>AB88&lt;&gt;AB89+AB90+AB91+AB92</formula>
    </cfRule>
  </conditionalFormatting>
  <conditionalFormatting sqref="AB91">
    <cfRule type="expression" dxfId="300" priority="375">
      <formula>AB88&lt;&gt;AB89+AB90+AB91+AB92</formula>
    </cfRule>
  </conditionalFormatting>
  <conditionalFormatting sqref="AB92">
    <cfRule type="expression" dxfId="299" priority="374">
      <formula>AB88&lt;&gt;AB89+AB90+AB91+AB92</formula>
    </cfRule>
  </conditionalFormatting>
  <conditionalFormatting sqref="AJ9:AJ70">
    <cfRule type="cellIs" dxfId="298" priority="373" operator="equal">
      <formula>0</formula>
    </cfRule>
  </conditionalFormatting>
  <conditionalFormatting sqref="AJ82">
    <cfRule type="cellIs" dxfId="297" priority="370" operator="equal">
      <formula>0</formula>
    </cfRule>
  </conditionalFormatting>
  <conditionalFormatting sqref="AJ84 AJ86:AJ92 AJ94:AJ98">
    <cfRule type="cellIs" dxfId="296" priority="368" operator="equal">
      <formula>0</formula>
    </cfRule>
  </conditionalFormatting>
  <conditionalFormatting sqref="AJ81">
    <cfRule type="cellIs" dxfId="295" priority="371" operator="equal">
      <formula>0</formula>
    </cfRule>
  </conditionalFormatting>
  <conditionalFormatting sqref="AJ83">
    <cfRule type="cellIs" dxfId="294" priority="369" operator="equal">
      <formula>0</formula>
    </cfRule>
  </conditionalFormatting>
  <conditionalFormatting sqref="F81:Y81 AB81:AI81">
    <cfRule type="expression" dxfId="293" priority="367">
      <formula>F80&lt;&gt;F81+F82+F83+F84</formula>
    </cfRule>
  </conditionalFormatting>
  <conditionalFormatting sqref="F82:Y82 AB82:AI82">
    <cfRule type="expression" dxfId="292" priority="366">
      <formula>F80&lt;&gt;F81+F82+F83+F84</formula>
    </cfRule>
  </conditionalFormatting>
  <conditionalFormatting sqref="F83:Y83 AB83:AI83">
    <cfRule type="expression" dxfId="291" priority="365">
      <formula>F80&lt;&gt;F81+F82+F83+F84</formula>
    </cfRule>
  </conditionalFormatting>
  <conditionalFormatting sqref="F84:Y84 AB84:AI84">
    <cfRule type="expression" dxfId="290" priority="364">
      <formula>F80&lt;&gt;F81+F82+F83+F84</formula>
    </cfRule>
  </conditionalFormatting>
  <conditionalFormatting sqref="Z81:AA94">
    <cfRule type="cellIs" dxfId="289" priority="363" operator="equal">
      <formula>0</formula>
    </cfRule>
  </conditionalFormatting>
  <conditionalFormatting sqref="AB64:AI64">
    <cfRule type="cellIs" dxfId="288" priority="353" operator="equal">
      <formula>0</formula>
    </cfRule>
    <cfRule type="expression" dxfId="287" priority="354">
      <formula>AB65&gt;AB64</formula>
    </cfRule>
  </conditionalFormatting>
  <conditionalFormatting sqref="AB65:AI66">
    <cfRule type="cellIs" dxfId="286" priority="349" operator="equal">
      <formula>0</formula>
    </cfRule>
    <cfRule type="expression" dxfId="285" priority="350">
      <formula>AB66&gt;AB65</formula>
    </cfRule>
  </conditionalFormatting>
  <conditionalFormatting sqref="F69:Y69 AB69:AI69">
    <cfRule type="expression" dxfId="284" priority="4237">
      <formula>F67&lt;&gt;F68+F69+F70+F87</formula>
    </cfRule>
  </conditionalFormatting>
  <conditionalFormatting sqref="F70:Y70 AB70:AI70">
    <cfRule type="expression" dxfId="283" priority="4239">
      <formula>F67&lt;&gt;F68+F69+F70+F87</formula>
    </cfRule>
  </conditionalFormatting>
  <conditionalFormatting sqref="F89">
    <cfRule type="expression" dxfId="282" priority="4241">
      <formula>F71&lt;&gt;F87+F88+F89+F90</formula>
    </cfRule>
  </conditionalFormatting>
  <conditionalFormatting sqref="L127:AA127">
    <cfRule type="expression" dxfId="281" priority="4246">
      <formula>(L128+L127)&lt;&gt;L116</formula>
    </cfRule>
  </conditionalFormatting>
  <conditionalFormatting sqref="L128:AA128">
    <cfRule type="expression" dxfId="280" priority="4247">
      <formula>(L128+L127)&lt;&gt;L116</formula>
    </cfRule>
  </conditionalFormatting>
  <conditionalFormatting sqref="L129:AA129">
    <cfRule type="expression" dxfId="279" priority="4248">
      <formula>(L129+L130+L131)&lt;&gt;L116</formula>
    </cfRule>
  </conditionalFormatting>
  <conditionalFormatting sqref="L130:AA130">
    <cfRule type="expression" dxfId="278" priority="4249">
      <formula>(L129+L130+L131)&lt;&gt;L116</formula>
    </cfRule>
  </conditionalFormatting>
  <conditionalFormatting sqref="L131:AA131">
    <cfRule type="expression" dxfId="277" priority="4250">
      <formula>(L129+L130+L131)&lt;&gt;L116</formula>
    </cfRule>
  </conditionalFormatting>
  <conditionalFormatting sqref="M136 O136 Q136 S136 U136 W136 Y136 AA136">
    <cfRule type="expression" dxfId="276" priority="4255">
      <formula>(M135+#REF!+M136)&gt;#REF!</formula>
    </cfRule>
  </conditionalFormatting>
  <conditionalFormatting sqref="M137 O137 Q137 S137 U137 W137 Y137 AA137">
    <cfRule type="expression" dxfId="275" priority="4264">
      <formula>(M135+#REF!+M137)&gt;#REF!</formula>
    </cfRule>
  </conditionalFormatting>
  <conditionalFormatting sqref="AL274:AL277">
    <cfRule type="notContainsBlanks" dxfId="274" priority="348">
      <formula>LEN(TRIM(AL274))&gt;0</formula>
    </cfRule>
  </conditionalFormatting>
  <conditionalFormatting sqref="AK274:AK276">
    <cfRule type="notContainsBlanks" dxfId="273" priority="347">
      <formula>LEN(TRIM(AK274))&gt;0</formula>
    </cfRule>
  </conditionalFormatting>
  <conditionalFormatting sqref="AM274:AN277">
    <cfRule type="notContainsBlanks" dxfId="272" priority="346">
      <formula>LEN(TRIM(AM274))&gt;0</formula>
    </cfRule>
  </conditionalFormatting>
  <conditionalFormatting sqref="AJ274:AJ277">
    <cfRule type="cellIs" dxfId="271" priority="345" operator="equal">
      <formula>0</formula>
    </cfRule>
  </conditionalFormatting>
  <conditionalFormatting sqref="AJ285:AJ286">
    <cfRule type="cellIs" dxfId="270" priority="327" operator="equal">
      <formula>0</formula>
    </cfRule>
  </conditionalFormatting>
  <conditionalFormatting sqref="D285:AA285">
    <cfRule type="expression" dxfId="269" priority="326">
      <formula>D285&gt;D283</formula>
    </cfRule>
  </conditionalFormatting>
  <conditionalFormatting sqref="D286:AA286">
    <cfRule type="expression" dxfId="268" priority="325">
      <formula>D286&gt;D284</formula>
    </cfRule>
  </conditionalFormatting>
  <conditionalFormatting sqref="AJ279:AJ281">
    <cfRule type="cellIs" dxfId="267" priority="322" operator="equal">
      <formula>0</formula>
    </cfRule>
  </conditionalFormatting>
  <conditionalFormatting sqref="D280:AA280">
    <cfRule type="expression" dxfId="266" priority="321">
      <formula>D282&gt;D280</formula>
    </cfRule>
  </conditionalFormatting>
  <conditionalFormatting sqref="D281:AA281">
    <cfRule type="expression" dxfId="265" priority="320">
      <formula>D283&gt;D281</formula>
    </cfRule>
  </conditionalFormatting>
  <conditionalFormatting sqref="D287:AA288">
    <cfRule type="expression" dxfId="264" priority="4313">
      <formula>#REF!&gt;D287</formula>
    </cfRule>
  </conditionalFormatting>
  <conditionalFormatting sqref="AK286">
    <cfRule type="notContainsBlanks" dxfId="263" priority="318">
      <formula>LEN(TRIM(AK286))&gt;0</formula>
    </cfRule>
  </conditionalFormatting>
  <conditionalFormatting sqref="AK285">
    <cfRule type="notContainsBlanks" dxfId="262" priority="319">
      <formula>LEN(TRIM(AK285))&gt;0</formula>
    </cfRule>
  </conditionalFormatting>
  <conditionalFormatting sqref="D285:AA285">
    <cfRule type="expression" dxfId="261" priority="4374">
      <formula>#REF!&gt;D285</formula>
    </cfRule>
  </conditionalFormatting>
  <conditionalFormatting sqref="D286:AA286">
    <cfRule type="expression" dxfId="260" priority="4412">
      <formula>#REF!&gt;D286</formula>
    </cfRule>
  </conditionalFormatting>
  <conditionalFormatting sqref="AJ300">
    <cfRule type="cellIs" dxfId="259" priority="317" operator="equal">
      <formula>0</formula>
    </cfRule>
  </conditionalFormatting>
  <conditionalFormatting sqref="M300">
    <cfRule type="expression" dxfId="258" priority="315">
      <formula>M297&lt;(M298+M299+M300)</formula>
    </cfRule>
    <cfRule type="expression" dxfId="257" priority="316">
      <formula>(M300+M299+M298)&gt;M296</formula>
    </cfRule>
  </conditionalFormatting>
  <conditionalFormatting sqref="O300">
    <cfRule type="expression" dxfId="256" priority="313">
      <formula>O297&lt;(O298+O299+O300)</formula>
    </cfRule>
    <cfRule type="expression" dxfId="255" priority="314">
      <formula>(O300+O299+O298)&gt;O296</formula>
    </cfRule>
  </conditionalFormatting>
  <conditionalFormatting sqref="Q300">
    <cfRule type="expression" dxfId="254" priority="311">
      <formula>Q297&lt;(Q298+Q299+Q300)</formula>
    </cfRule>
    <cfRule type="expression" dxfId="253" priority="312">
      <formula>(Q300+Q299+Q298)&gt;Q296</formula>
    </cfRule>
  </conditionalFormatting>
  <conditionalFormatting sqref="S300">
    <cfRule type="expression" dxfId="252" priority="309">
      <formula>S297&lt;(S298+S299+S300)</formula>
    </cfRule>
    <cfRule type="expression" dxfId="251" priority="310">
      <formula>(S300+S299+S298)&gt;S296</formula>
    </cfRule>
  </conditionalFormatting>
  <conditionalFormatting sqref="U300">
    <cfRule type="expression" dxfId="250" priority="307">
      <formula>U297&lt;(U298+U299+U300)</formula>
    </cfRule>
    <cfRule type="expression" dxfId="249" priority="308">
      <formula>(U300+U299+U298)&gt;U296</formula>
    </cfRule>
  </conditionalFormatting>
  <conditionalFormatting sqref="W300">
    <cfRule type="expression" dxfId="248" priority="305">
      <formula>W297&lt;(W298+W299+W300)</formula>
    </cfRule>
    <cfRule type="expression" dxfId="247" priority="306">
      <formula>(W300+W299+W298)&gt;W296</formula>
    </cfRule>
  </conditionalFormatting>
  <conditionalFormatting sqref="Y300">
    <cfRule type="expression" dxfId="246" priority="303">
      <formula>Y297&lt;(Y298+Y299+Y300)</formula>
    </cfRule>
    <cfRule type="expression" dxfId="245" priority="304">
      <formula>(Y300+Y299+Y298)&gt;Y296</formula>
    </cfRule>
  </conditionalFormatting>
  <conditionalFormatting sqref="AC300 AE300 AG300 AI300">
    <cfRule type="expression" dxfId="244" priority="301">
      <formula>AC297&lt;(AC298+AC299+AC300)</formula>
    </cfRule>
    <cfRule type="expression" dxfId="243" priority="302">
      <formula>(AC300+AC299+AC298)&gt;AC296</formula>
    </cfRule>
  </conditionalFormatting>
  <conditionalFormatting sqref="AA300">
    <cfRule type="cellIs" dxfId="242" priority="300" operator="equal">
      <formula>0</formula>
    </cfRule>
  </conditionalFormatting>
  <conditionalFormatting sqref="AJ318">
    <cfRule type="cellIs" dxfId="241" priority="299" operator="equal">
      <formula>0</formula>
    </cfRule>
  </conditionalFormatting>
  <conditionalFormatting sqref="M318">
    <cfRule type="expression" dxfId="240" priority="297">
      <formula>M315&lt;(M316+M317+M318)</formula>
    </cfRule>
    <cfRule type="expression" dxfId="239" priority="298">
      <formula>(M318+M317+M316)&gt;M314</formula>
    </cfRule>
  </conditionalFormatting>
  <conditionalFormatting sqref="O318">
    <cfRule type="expression" dxfId="238" priority="295">
      <formula>O315&lt;(O316+O317+O318)</formula>
    </cfRule>
    <cfRule type="expression" dxfId="237" priority="296">
      <formula>(O318+O317+O316)&gt;O314</formula>
    </cfRule>
  </conditionalFormatting>
  <conditionalFormatting sqref="Q318">
    <cfRule type="expression" dxfId="236" priority="293">
      <formula>Q315&lt;(Q316+Q317+Q318)</formula>
    </cfRule>
    <cfRule type="expression" dxfId="235" priority="294">
      <formula>(Q318+Q317+Q316)&gt;Q314</formula>
    </cfRule>
  </conditionalFormatting>
  <conditionalFormatting sqref="S318">
    <cfRule type="expression" dxfId="234" priority="291">
      <formula>S315&lt;(S316+S317+S318)</formula>
    </cfRule>
    <cfRule type="expression" dxfId="233" priority="292">
      <formula>(S318+S317+S316)&gt;S314</formula>
    </cfRule>
  </conditionalFormatting>
  <conditionalFormatting sqref="U318">
    <cfRule type="expression" dxfId="232" priority="289">
      <formula>U315&lt;(U316+U317+U318)</formula>
    </cfRule>
    <cfRule type="expression" dxfId="231" priority="290">
      <formula>(U318+U317+U316)&gt;U314</formula>
    </cfRule>
  </conditionalFormatting>
  <conditionalFormatting sqref="W318">
    <cfRule type="expression" dxfId="230" priority="287">
      <formula>W315&lt;(W316+W317+W318)</formula>
    </cfRule>
    <cfRule type="expression" dxfId="229" priority="288">
      <formula>(W318+W317+W316)&gt;W314</formula>
    </cfRule>
  </conditionalFormatting>
  <conditionalFormatting sqref="Y318">
    <cfRule type="expression" dxfId="228" priority="285">
      <formula>Y315&lt;(Y316+Y317+Y318)</formula>
    </cfRule>
    <cfRule type="expression" dxfId="227" priority="286">
      <formula>(Y318+Y317+Y316)&gt;Y314</formula>
    </cfRule>
  </conditionalFormatting>
  <conditionalFormatting sqref="AC318 AE318 AG318 AI318">
    <cfRule type="expression" dxfId="226" priority="283">
      <formula>AC315&lt;(AC316+AC317+AC318)</formula>
    </cfRule>
    <cfRule type="expression" dxfId="225" priority="284">
      <formula>(AC318+AC317+AC316)&gt;AC314</formula>
    </cfRule>
  </conditionalFormatting>
  <conditionalFormatting sqref="AA318">
    <cfRule type="cellIs" dxfId="224" priority="282" operator="equal">
      <formula>0</formula>
    </cfRule>
  </conditionalFormatting>
  <conditionalFormatting sqref="D322:AI322">
    <cfRule type="expression" dxfId="223" priority="4447">
      <formula>#REF!&gt;D322</formula>
    </cfRule>
  </conditionalFormatting>
  <conditionalFormatting sqref="AJ324">
    <cfRule type="cellIs" dxfId="222" priority="272" operator="equal">
      <formula>0</formula>
    </cfRule>
  </conditionalFormatting>
  <conditionalFormatting sqref="D324:AA324">
    <cfRule type="expression" dxfId="221" priority="273">
      <formula>D330&gt;D324</formula>
    </cfRule>
  </conditionalFormatting>
  <conditionalFormatting sqref="D335:AA335">
    <cfRule type="expression" dxfId="220" priority="4521">
      <formula>D335&gt;D334</formula>
    </cfRule>
    <cfRule type="expression" dxfId="219" priority="4522">
      <formula>#REF!&gt;D335</formula>
    </cfRule>
  </conditionalFormatting>
  <conditionalFormatting sqref="K153 M153 O153 Q153 S153 U153 W153 Y153">
    <cfRule type="expression" dxfId="218" priority="4772">
      <formula>K186&gt;K153</formula>
    </cfRule>
  </conditionalFormatting>
  <conditionalFormatting sqref="AK154:AK155">
    <cfRule type="notContainsBlanks" dxfId="217" priority="263">
      <formula>LEN(TRIM(AK154))&gt;0</formula>
    </cfRule>
  </conditionalFormatting>
  <conditionalFormatting sqref="AK156">
    <cfRule type="notContainsBlanks" dxfId="216" priority="262">
      <formula>LEN(TRIM(AK156))&gt;0</formula>
    </cfRule>
  </conditionalFormatting>
  <conditionalFormatting sqref="AK157">
    <cfRule type="notContainsBlanks" dxfId="215" priority="261">
      <formula>LEN(TRIM(AK157))&gt;0</formula>
    </cfRule>
  </conditionalFormatting>
  <conditionalFormatting sqref="AJ154">
    <cfRule type="cellIs" dxfId="214" priority="260" operator="equal">
      <formula>0</formula>
    </cfRule>
  </conditionalFormatting>
  <conditionalFormatting sqref="AJ155">
    <cfRule type="cellIs" dxfId="213" priority="259" operator="equal">
      <formula>0</formula>
    </cfRule>
  </conditionalFormatting>
  <conditionalFormatting sqref="AJ156">
    <cfRule type="cellIs" dxfId="212" priority="258" operator="equal">
      <formula>0</formula>
    </cfRule>
  </conditionalFormatting>
  <conditionalFormatting sqref="AJ157">
    <cfRule type="cellIs" dxfId="211" priority="257" operator="equal">
      <formula>0</formula>
    </cfRule>
  </conditionalFormatting>
  <conditionalFormatting sqref="K154">
    <cfRule type="expression" dxfId="210" priority="256">
      <formula>K153&lt;&gt;K154+K155+K156+K157</formula>
    </cfRule>
  </conditionalFormatting>
  <conditionalFormatting sqref="K155">
    <cfRule type="expression" dxfId="209" priority="255">
      <formula>K153&lt;&gt;K154+K155+K156+K157</formula>
    </cfRule>
  </conditionalFormatting>
  <conditionalFormatting sqref="K156">
    <cfRule type="expression" dxfId="208" priority="254">
      <formula>K153&lt;&gt;K154+K155+K156+K157</formula>
    </cfRule>
  </conditionalFormatting>
  <conditionalFormatting sqref="K157">
    <cfRule type="expression" dxfId="207" priority="253">
      <formula>K153&lt;&gt;K154+K155+K156+K157</formula>
    </cfRule>
  </conditionalFormatting>
  <conditionalFormatting sqref="M154">
    <cfRule type="expression" dxfId="206" priority="252">
      <formula>M153&lt;&gt;M154+M155+M156+M157</formula>
    </cfRule>
  </conditionalFormatting>
  <conditionalFormatting sqref="M155">
    <cfRule type="expression" dxfId="205" priority="251">
      <formula>M153&lt;&gt;M154+M155+M156+M157</formula>
    </cfRule>
  </conditionalFormatting>
  <conditionalFormatting sqref="M156">
    <cfRule type="expression" dxfId="204" priority="250">
      <formula>M153&lt;&gt;M154+M155+M156+M157</formula>
    </cfRule>
  </conditionalFormatting>
  <conditionalFormatting sqref="M157">
    <cfRule type="expression" dxfId="203" priority="249">
      <formula>M153&lt;&gt;M154+M155+M156+M157</formula>
    </cfRule>
  </conditionalFormatting>
  <conditionalFormatting sqref="O154">
    <cfRule type="expression" dxfId="202" priority="248">
      <formula>O153&lt;&gt;O154+O155+O156+O157</formula>
    </cfRule>
  </conditionalFormatting>
  <conditionalFormatting sqref="O155">
    <cfRule type="expression" dxfId="201" priority="247">
      <formula>O153&lt;&gt;O154+O155+O156+O157</formula>
    </cfRule>
  </conditionalFormatting>
  <conditionalFormatting sqref="O156">
    <cfRule type="expression" dxfId="200" priority="246">
      <formula>O153&lt;&gt;O154+O155+O156+O157</formula>
    </cfRule>
  </conditionalFormatting>
  <conditionalFormatting sqref="O157">
    <cfRule type="expression" dxfId="199" priority="245">
      <formula>O153&lt;&gt;O154+O155+O156+O157</formula>
    </cfRule>
  </conditionalFormatting>
  <conditionalFormatting sqref="Q154">
    <cfRule type="expression" dxfId="198" priority="244">
      <formula>Q153&lt;&gt;Q154+Q155+Q156+Q157</formula>
    </cfRule>
  </conditionalFormatting>
  <conditionalFormatting sqref="Q155">
    <cfRule type="expression" dxfId="197" priority="243">
      <formula>Q153&lt;&gt;Q154+Q155+Q156+Q157</formula>
    </cfRule>
  </conditionalFormatting>
  <conditionalFormatting sqref="Q156">
    <cfRule type="expression" dxfId="196" priority="242">
      <formula>Q153&lt;&gt;Q154+Q155+Q156+Q157</formula>
    </cfRule>
  </conditionalFormatting>
  <conditionalFormatting sqref="Q157">
    <cfRule type="expression" dxfId="195" priority="241">
      <formula>Q153&lt;&gt;Q154+Q155+Q156+Q157</formula>
    </cfRule>
  </conditionalFormatting>
  <conditionalFormatting sqref="S154">
    <cfRule type="expression" dxfId="194" priority="240">
      <formula>S153&lt;&gt;S154+S155+S156+S157</formula>
    </cfRule>
  </conditionalFormatting>
  <conditionalFormatting sqref="S155">
    <cfRule type="expression" dxfId="193" priority="239">
      <formula>S153&lt;&gt;S154+S155+S156+S157</formula>
    </cfRule>
  </conditionalFormatting>
  <conditionalFormatting sqref="S156">
    <cfRule type="expression" dxfId="192" priority="238">
      <formula>S153&lt;&gt;S154+S155+S156+S157</formula>
    </cfRule>
  </conditionalFormatting>
  <conditionalFormatting sqref="S157">
    <cfRule type="expression" dxfId="191" priority="237">
      <formula>S153&lt;&gt;S154+S155+S156+S157</formula>
    </cfRule>
  </conditionalFormatting>
  <conditionalFormatting sqref="U154">
    <cfRule type="expression" dxfId="190" priority="236">
      <formula>U153&lt;&gt;U154+U155+U156+U157</formula>
    </cfRule>
  </conditionalFormatting>
  <conditionalFormatting sqref="U155">
    <cfRule type="expression" dxfId="189" priority="235">
      <formula>U153&lt;&gt;U154+U155+U156+U157</formula>
    </cfRule>
  </conditionalFormatting>
  <conditionalFormatting sqref="U156">
    <cfRule type="expression" dxfId="188" priority="234">
      <formula>U153&lt;&gt;U154+U155+U156+U157</formula>
    </cfRule>
  </conditionalFormatting>
  <conditionalFormatting sqref="U157">
    <cfRule type="expression" dxfId="187" priority="233">
      <formula>U153&lt;&gt;U154+U155+U156+U157</formula>
    </cfRule>
  </conditionalFormatting>
  <conditionalFormatting sqref="W154">
    <cfRule type="expression" dxfId="186" priority="232">
      <formula>W153&lt;&gt;W154+W155+W156+W157</formula>
    </cfRule>
  </conditionalFormatting>
  <conditionalFormatting sqref="W155">
    <cfRule type="expression" dxfId="185" priority="231">
      <formula>W153&lt;&gt;W154+W155+W156+W157</formula>
    </cfRule>
  </conditionalFormatting>
  <conditionalFormatting sqref="W156">
    <cfRule type="expression" dxfId="184" priority="230">
      <formula>W153&lt;&gt;W154+W155+W156+W157</formula>
    </cfRule>
  </conditionalFormatting>
  <conditionalFormatting sqref="W157">
    <cfRule type="expression" dxfId="183" priority="229">
      <formula>W153&lt;&gt;W154+W155+W156+W157</formula>
    </cfRule>
  </conditionalFormatting>
  <conditionalFormatting sqref="Y154">
    <cfRule type="expression" dxfId="182" priority="228">
      <formula>Y153&lt;&gt;Y154+Y155+Y156+Y157</formula>
    </cfRule>
  </conditionalFormatting>
  <conditionalFormatting sqref="Y155">
    <cfRule type="expression" dxfId="181" priority="227">
      <formula>Y153&lt;&gt;Y154+Y155+Y156+Y157</formula>
    </cfRule>
  </conditionalFormatting>
  <conditionalFormatting sqref="Y156">
    <cfRule type="expression" dxfId="180" priority="226">
      <formula>Y153&lt;&gt;Y154+Y155+Y156+Y157</formula>
    </cfRule>
  </conditionalFormatting>
  <conditionalFormatting sqref="Y157">
    <cfRule type="expression" dxfId="179" priority="225">
      <formula>Y153&lt;&gt;Y154+Y155+Y156+Y157</formula>
    </cfRule>
  </conditionalFormatting>
  <conditionalFormatting sqref="AK153">
    <cfRule type="notContainsBlanks" dxfId="178" priority="207">
      <formula>LEN(TRIM(AK153))&gt;0</formula>
    </cfRule>
  </conditionalFormatting>
  <conditionalFormatting sqref="F57:Y57">
    <cfRule type="cellIs" dxfId="177" priority="205" operator="equal">
      <formula>0</formula>
    </cfRule>
    <cfRule type="expression" dxfId="176" priority="206">
      <formula>F58&gt;F57</formula>
    </cfRule>
  </conditionalFormatting>
  <conditionalFormatting sqref="F58:Y58">
    <cfRule type="cellIs" dxfId="175" priority="204" operator="equal">
      <formula>0</formula>
    </cfRule>
  </conditionalFormatting>
  <conditionalFormatting sqref="F59:Y59">
    <cfRule type="cellIs" dxfId="174" priority="198" operator="equal">
      <formula>0</formula>
    </cfRule>
    <cfRule type="expression" dxfId="173" priority="199">
      <formula>F60&gt;F59</formula>
    </cfRule>
  </conditionalFormatting>
  <conditionalFormatting sqref="F60:Y60">
    <cfRule type="cellIs" dxfId="172" priority="196" operator="equal">
      <formula>0</formula>
    </cfRule>
    <cfRule type="expression" dxfId="171" priority="197">
      <formula>F61&gt;F60</formula>
    </cfRule>
  </conditionalFormatting>
  <conditionalFormatting sqref="F61:Y61">
    <cfRule type="cellIs" dxfId="170" priority="194" operator="equal">
      <formula>0</formula>
    </cfRule>
    <cfRule type="expression" dxfId="169" priority="195">
      <formula>F62&gt;F61</formula>
    </cfRule>
  </conditionalFormatting>
  <conditionalFormatting sqref="F62:Y62">
    <cfRule type="cellIs" dxfId="168" priority="192" operator="equal">
      <formula>0</formula>
    </cfRule>
    <cfRule type="expression" dxfId="167" priority="193">
      <formula>F63&gt;F62</formula>
    </cfRule>
  </conditionalFormatting>
  <conditionalFormatting sqref="K151 M151 O151 Q151 S151 U151 W151 Y151">
    <cfRule type="expression" dxfId="166" priority="4837">
      <formula>K151&gt;K150</formula>
    </cfRule>
    <cfRule type="expression" dxfId="165" priority="4838">
      <formula>K185&gt;K151</formula>
    </cfRule>
  </conditionalFormatting>
  <conditionalFormatting sqref="K161 M161 O161 Q161 S161 U161 W161 Y161">
    <cfRule type="expression" dxfId="164" priority="4869">
      <formula>K188&lt;&gt;K161</formula>
    </cfRule>
    <cfRule type="expression" dxfId="163" priority="4870">
      <formula>K161&gt;K160</formula>
    </cfRule>
  </conditionalFormatting>
  <conditionalFormatting sqref="K163 M163 O163 Q163 S163 U163 W163 Y163">
    <cfRule type="expression" dxfId="162" priority="4885">
      <formula>K189&lt;&gt;K163</formula>
    </cfRule>
    <cfRule type="expression" dxfId="161" priority="4886">
      <formula>K163&gt;K162</formula>
    </cfRule>
  </conditionalFormatting>
  <conditionalFormatting sqref="AK177:AK178">
    <cfRule type="notContainsBlanks" dxfId="160" priority="191">
      <formula>LEN(TRIM(AK177))&gt;0</formula>
    </cfRule>
  </conditionalFormatting>
  <conditionalFormatting sqref="AK179">
    <cfRule type="notContainsBlanks" dxfId="159" priority="190">
      <formula>LEN(TRIM(AK179))&gt;0</formula>
    </cfRule>
  </conditionalFormatting>
  <conditionalFormatting sqref="AK180">
    <cfRule type="notContainsBlanks" dxfId="158" priority="189">
      <formula>LEN(TRIM(AK180))&gt;0</formula>
    </cfRule>
  </conditionalFormatting>
  <conditionalFormatting sqref="AJ177">
    <cfRule type="cellIs" dxfId="157" priority="188" operator="equal">
      <formula>0</formula>
    </cfRule>
  </conditionalFormatting>
  <conditionalFormatting sqref="AJ178">
    <cfRule type="cellIs" dxfId="156" priority="187" operator="equal">
      <formula>0</formula>
    </cfRule>
  </conditionalFormatting>
  <conditionalFormatting sqref="AJ179">
    <cfRule type="cellIs" dxfId="155" priority="186" operator="equal">
      <formula>0</formula>
    </cfRule>
  </conditionalFormatting>
  <conditionalFormatting sqref="AJ180">
    <cfRule type="cellIs" dxfId="154" priority="185" operator="equal">
      <formula>0</formula>
    </cfRule>
  </conditionalFormatting>
  <conditionalFormatting sqref="O177">
    <cfRule type="expression" dxfId="153" priority="168">
      <formula>O176&lt;&gt;O177+O178+O179+O180</formula>
    </cfRule>
  </conditionalFormatting>
  <conditionalFormatting sqref="O178">
    <cfRule type="expression" dxfId="152" priority="167">
      <formula>O176&lt;&gt;O177+O178+O179+O180</formula>
    </cfRule>
  </conditionalFormatting>
  <conditionalFormatting sqref="O179">
    <cfRule type="expression" dxfId="151" priority="166">
      <formula>O176&lt;&gt;O177+O178+O179+O180</formula>
    </cfRule>
  </conditionalFormatting>
  <conditionalFormatting sqref="O180">
    <cfRule type="expression" dxfId="150" priority="165">
      <formula>O176&lt;&gt;O177+O178+O179+O180</formula>
    </cfRule>
  </conditionalFormatting>
  <conditionalFormatting sqref="Q177">
    <cfRule type="expression" dxfId="149" priority="164">
      <formula>Q176&lt;&gt;Q177+Q178+Q179+Q180</formula>
    </cfRule>
  </conditionalFormatting>
  <conditionalFormatting sqref="Q178">
    <cfRule type="expression" dxfId="148" priority="163">
      <formula>Q176&lt;&gt;Q177+Q178+Q179+Q180</formula>
    </cfRule>
  </conditionalFormatting>
  <conditionalFormatting sqref="Q179">
    <cfRule type="expression" dxfId="147" priority="162">
      <formula>Q176&lt;&gt;Q177+Q178+Q179+Q180</formula>
    </cfRule>
  </conditionalFormatting>
  <conditionalFormatting sqref="Q180">
    <cfRule type="expression" dxfId="146" priority="161">
      <formula>Q176&lt;&gt;Q177+Q178+Q179+Q180</formula>
    </cfRule>
  </conditionalFormatting>
  <conditionalFormatting sqref="S177">
    <cfRule type="expression" dxfId="145" priority="160">
      <formula>S176&lt;&gt;S177+S178+S179+S180</formula>
    </cfRule>
  </conditionalFormatting>
  <conditionalFormatting sqref="S178">
    <cfRule type="expression" dxfId="144" priority="159">
      <formula>S176&lt;&gt;S177+S178+S179+S180</formula>
    </cfRule>
  </conditionalFormatting>
  <conditionalFormatting sqref="S179">
    <cfRule type="expression" dxfId="143" priority="158">
      <formula>S176&lt;&gt;S177+S178+S179+S180</formula>
    </cfRule>
  </conditionalFormatting>
  <conditionalFormatting sqref="S180">
    <cfRule type="expression" dxfId="142" priority="157">
      <formula>S176&lt;&gt;S177+S178+S179+S180</formula>
    </cfRule>
  </conditionalFormatting>
  <conditionalFormatting sqref="U177">
    <cfRule type="expression" dxfId="141" priority="156">
      <formula>U176&lt;&gt;U177+U178+U179+U180</formula>
    </cfRule>
  </conditionalFormatting>
  <conditionalFormatting sqref="U178">
    <cfRule type="expression" dxfId="140" priority="155">
      <formula>U176&lt;&gt;U177+U178+U179+U180</formula>
    </cfRule>
  </conditionalFormatting>
  <conditionalFormatting sqref="U179">
    <cfRule type="expression" dxfId="139" priority="154">
      <formula>U176&lt;&gt;U177+U178+U179+U180</formula>
    </cfRule>
  </conditionalFormatting>
  <conditionalFormatting sqref="U180">
    <cfRule type="expression" dxfId="138" priority="153">
      <formula>U176&lt;&gt;U177+U178+U179+U180</formula>
    </cfRule>
  </conditionalFormatting>
  <conditionalFormatting sqref="W177">
    <cfRule type="expression" dxfId="137" priority="152">
      <formula>W176&lt;&gt;W177+W178+W179+W180</formula>
    </cfRule>
  </conditionalFormatting>
  <conditionalFormatting sqref="W178">
    <cfRule type="expression" dxfId="136" priority="151">
      <formula>W176&lt;&gt;W177+W178+W179+W180</formula>
    </cfRule>
  </conditionalFormatting>
  <conditionalFormatting sqref="W179">
    <cfRule type="expression" dxfId="135" priority="150">
      <formula>W176&lt;&gt;W177+W178+W179+W180</formula>
    </cfRule>
  </conditionalFormatting>
  <conditionalFormatting sqref="W180">
    <cfRule type="expression" dxfId="134" priority="149">
      <formula>W176&lt;&gt;W177+W178+W179+W180</formula>
    </cfRule>
  </conditionalFormatting>
  <conditionalFormatting sqref="Y177">
    <cfRule type="expression" dxfId="133" priority="148">
      <formula>Y176&lt;&gt;Y177+Y178+Y179+Y180</formula>
    </cfRule>
  </conditionalFormatting>
  <conditionalFormatting sqref="Y178">
    <cfRule type="expression" dxfId="132" priority="147">
      <formula>Y176&lt;&gt;Y177+Y178+Y179+Y180</formula>
    </cfRule>
  </conditionalFormatting>
  <conditionalFormatting sqref="Y179">
    <cfRule type="expression" dxfId="131" priority="146">
      <formula>Y176&lt;&gt;Y177+Y178+Y179+Y180</formula>
    </cfRule>
  </conditionalFormatting>
  <conditionalFormatting sqref="Y180">
    <cfRule type="expression" dxfId="130" priority="145">
      <formula>Y176&lt;&gt;Y177+Y178+Y179+Y180</formula>
    </cfRule>
  </conditionalFormatting>
  <conditionalFormatting sqref="AA177:AA180">
    <cfRule type="cellIs" dxfId="129" priority="140" operator="equal">
      <formula>0</formula>
    </cfRule>
  </conditionalFormatting>
  <conditionalFormatting sqref="K176">
    <cfRule type="cellIs" dxfId="128" priority="126" operator="equal">
      <formula>0</formula>
    </cfRule>
  </conditionalFormatting>
  <conditionalFormatting sqref="AA176">
    <cfRule type="cellIs" dxfId="127" priority="117" operator="equal">
      <formula>0</formula>
    </cfRule>
  </conditionalFormatting>
  <conditionalFormatting sqref="M176">
    <cfRule type="cellIs" dxfId="126" priority="124" operator="equal">
      <formula>0</formula>
    </cfRule>
  </conditionalFormatting>
  <conditionalFormatting sqref="O176">
    <cfRule type="cellIs" dxfId="125" priority="123" operator="equal">
      <formula>0</formula>
    </cfRule>
  </conditionalFormatting>
  <conditionalFormatting sqref="Q176">
    <cfRule type="cellIs" dxfId="124" priority="122" operator="equal">
      <formula>0</formula>
    </cfRule>
  </conditionalFormatting>
  <conditionalFormatting sqref="S176">
    <cfRule type="cellIs" dxfId="123" priority="121" operator="equal">
      <formula>0</formula>
    </cfRule>
  </conditionalFormatting>
  <conditionalFormatting sqref="U176">
    <cfRule type="cellIs" dxfId="122" priority="120" operator="equal">
      <formula>0</formula>
    </cfRule>
  </conditionalFormatting>
  <conditionalFormatting sqref="W176">
    <cfRule type="cellIs" dxfId="121" priority="119" operator="equal">
      <formula>0</formula>
    </cfRule>
  </conditionalFormatting>
  <conditionalFormatting sqref="Y176">
    <cfRule type="cellIs" dxfId="120" priority="118" operator="equal">
      <formula>0</formula>
    </cfRule>
  </conditionalFormatting>
  <conditionalFormatting sqref="M177">
    <cfRule type="expression" dxfId="119" priority="116">
      <formula>M176&lt;&gt;M177+M178+M179+M180</formula>
    </cfRule>
  </conditionalFormatting>
  <conditionalFormatting sqref="M178">
    <cfRule type="expression" dxfId="118" priority="115">
      <formula>M176&lt;&gt;M177+M178+M179+M180</formula>
    </cfRule>
  </conditionalFormatting>
  <conditionalFormatting sqref="M179">
    <cfRule type="expression" dxfId="117" priority="114">
      <formula>M176&lt;&gt;M177+M178+M179+M180</formula>
    </cfRule>
  </conditionalFormatting>
  <conditionalFormatting sqref="M180">
    <cfRule type="expression" dxfId="116" priority="113">
      <formula>M176&lt;&gt;M177+M178+M179+M180</formula>
    </cfRule>
  </conditionalFormatting>
  <conditionalFormatting sqref="K177">
    <cfRule type="expression" dxfId="115" priority="112">
      <formula>K176&lt;&gt;K177+K178+K179+K180</formula>
    </cfRule>
  </conditionalFormatting>
  <conditionalFormatting sqref="K178">
    <cfRule type="expression" dxfId="114" priority="111">
      <formula>K176&lt;&gt;K177+K178+K179+K180</formula>
    </cfRule>
  </conditionalFormatting>
  <conditionalFormatting sqref="K179">
    <cfRule type="expression" dxfId="113" priority="110">
      <formula>K176&lt;&gt;K177+K178+K179+K180</formula>
    </cfRule>
  </conditionalFormatting>
  <conditionalFormatting sqref="K180">
    <cfRule type="expression" dxfId="112" priority="109">
      <formula>K176&lt;&gt;K177+K178+K179+K180</formula>
    </cfRule>
  </conditionalFormatting>
  <conditionalFormatting sqref="K172">
    <cfRule type="expression" dxfId="111" priority="4916">
      <formula>#REF!&gt;K172</formula>
    </cfRule>
  </conditionalFormatting>
  <conditionalFormatting sqref="K169 M169 O169 Q169 S169 U169 W169 Y169">
    <cfRule type="expression" dxfId="110" priority="4962">
      <formula>K200&gt;K171+K169</formula>
    </cfRule>
    <cfRule type="expression" dxfId="109" priority="4963">
      <formula>K192&gt;K169</formula>
    </cfRule>
  </conditionalFormatting>
  <conditionalFormatting sqref="K171 M171 O171 Q171 S171 U171 W171 Y171">
    <cfRule type="expression" dxfId="108" priority="4978">
      <formula>K200&gt;K171+K169</formula>
    </cfRule>
  </conditionalFormatting>
  <conditionalFormatting sqref="D280:AA280">
    <cfRule type="expression" dxfId="107" priority="5177">
      <formula>SUM(D280:D281)&gt;#REF!</formula>
    </cfRule>
  </conditionalFormatting>
  <conditionalFormatting sqref="D281:E281">
    <cfRule type="expression" dxfId="106" priority="5178">
      <formula>SUM(D280:D281)&gt;#REF!</formula>
    </cfRule>
  </conditionalFormatting>
  <conditionalFormatting sqref="AJ248">
    <cfRule type="cellIs" dxfId="105" priority="103" operator="equal">
      <formula>0</formula>
    </cfRule>
  </conditionalFormatting>
  <conditionalFormatting sqref="AK277">
    <cfRule type="notContainsBlanks" dxfId="104" priority="101">
      <formula>LEN(TRIM(AK277))&gt;0</formula>
    </cfRule>
  </conditionalFormatting>
  <conditionalFormatting sqref="D235:Y235 AB235:AI235">
    <cfRule type="expression" dxfId="103" priority="5275">
      <formula>#REF!&gt;D235</formula>
    </cfRule>
  </conditionalFormatting>
  <conditionalFormatting sqref="AB235:AI235 D235:Y235">
    <cfRule type="expression" dxfId="102" priority="5282">
      <formula>D250&gt;D235</formula>
    </cfRule>
  </conditionalFormatting>
  <conditionalFormatting sqref="D250:AI250">
    <cfRule type="expression" dxfId="101" priority="5283">
      <formula>D259&gt;D250</formula>
    </cfRule>
  </conditionalFormatting>
  <conditionalFormatting sqref="D266:AI266">
    <cfRule type="expression" dxfId="100" priority="5284">
      <formula>D266&gt;D250</formula>
    </cfRule>
  </conditionalFormatting>
  <conditionalFormatting sqref="D259:Y259 AB259:AI259">
    <cfRule type="expression" dxfId="99" priority="5286">
      <formula>D259&gt;D250</formula>
    </cfRule>
  </conditionalFormatting>
  <conditionalFormatting sqref="K248 M248 O248 Q248 S248 U248 W248 Y248">
    <cfRule type="expression" dxfId="98" priority="5388">
      <formula>K248&gt;#REF!</formula>
    </cfRule>
  </conditionalFormatting>
  <conditionalFormatting sqref="AB217:AI217 F217:Y217">
    <cfRule type="expression" dxfId="97" priority="5393">
      <formula>F210&gt;F217</formula>
    </cfRule>
  </conditionalFormatting>
  <conditionalFormatting sqref="F210:Y210 AB210:AI210">
    <cfRule type="expression" dxfId="96" priority="5470">
      <formula>F217&gt;F210</formula>
    </cfRule>
  </conditionalFormatting>
  <conditionalFormatting sqref="F210:Y210 AB210:AI210">
    <cfRule type="expression" dxfId="95" priority="5474">
      <formula>F210&gt;F217</formula>
    </cfRule>
  </conditionalFormatting>
  <conditionalFormatting sqref="AK211:AK212">
    <cfRule type="notContainsBlanks" dxfId="94" priority="96">
      <formula>LEN(TRIM(AK211))&gt;0</formula>
    </cfRule>
  </conditionalFormatting>
  <conditionalFormatting sqref="AK213">
    <cfRule type="notContainsBlanks" dxfId="93" priority="95">
      <formula>LEN(TRIM(AK213))&gt;0</formula>
    </cfRule>
  </conditionalFormatting>
  <conditionalFormatting sqref="AK214">
    <cfRule type="notContainsBlanks" dxfId="92" priority="94">
      <formula>LEN(TRIM(AK214))&gt;0</formula>
    </cfRule>
  </conditionalFormatting>
  <conditionalFormatting sqref="AJ211">
    <cfRule type="cellIs" dxfId="91" priority="93" operator="equal">
      <formula>0</formula>
    </cfRule>
  </conditionalFormatting>
  <conditionalFormatting sqref="AJ212">
    <cfRule type="cellIs" dxfId="90" priority="92" operator="equal">
      <formula>0</formula>
    </cfRule>
  </conditionalFormatting>
  <conditionalFormatting sqref="AJ213">
    <cfRule type="cellIs" dxfId="89" priority="91" operator="equal">
      <formula>0</formula>
    </cfRule>
  </conditionalFormatting>
  <conditionalFormatting sqref="AJ214">
    <cfRule type="cellIs" dxfId="88" priority="90" operator="equal">
      <formula>0</formula>
    </cfRule>
  </conditionalFormatting>
  <conditionalFormatting sqref="F211:Y211 AB211:AI211">
    <cfRule type="expression" dxfId="87" priority="89">
      <formula>F210&lt;&gt;F211+F212+F213+F214</formula>
    </cfRule>
  </conditionalFormatting>
  <conditionalFormatting sqref="F212:Y212 AB212:AI212">
    <cfRule type="expression" dxfId="86" priority="88">
      <formula>F210&lt;&gt;F211+F212+F213+F214</formula>
    </cfRule>
  </conditionalFormatting>
  <conditionalFormatting sqref="F213:Y213 AB213:AI213">
    <cfRule type="expression" dxfId="85" priority="87">
      <formula>F210&lt;&gt;F211+F212+F213+F214</formula>
    </cfRule>
  </conditionalFormatting>
  <conditionalFormatting sqref="F214:Y214 AB214:AI214">
    <cfRule type="expression" dxfId="84" priority="86">
      <formula>F210&lt;&gt;F211+F212+F213+F214</formula>
    </cfRule>
  </conditionalFormatting>
  <conditionalFormatting sqref="Z211:AA214">
    <cfRule type="cellIs" dxfId="83" priority="85" operator="equal">
      <formula>0</formula>
    </cfRule>
  </conditionalFormatting>
  <conditionalFormatting sqref="AK210">
    <cfRule type="notContainsBlanks" dxfId="82" priority="84">
      <formula>LEN(TRIM(AK210))&gt;0</formula>
    </cfRule>
  </conditionalFormatting>
  <conditionalFormatting sqref="K224 M224 O224 Q224 S224 U224 W224 Y224 AA224:AI224">
    <cfRule type="expression" dxfId="81" priority="5475">
      <formula>K186&gt;K224</formula>
    </cfRule>
  </conditionalFormatting>
  <conditionalFormatting sqref="K186 M186 O186 Q186 S186 U186 W186 Y186">
    <cfRule type="expression" dxfId="80" priority="5531">
      <formula>K186&gt;K224</formula>
    </cfRule>
    <cfRule type="expression" dxfId="79" priority="5532">
      <formula>K186&gt;K224 &amp; EXACT($I$3,"1") &amp; EXACT($E$3,"1")</formula>
    </cfRule>
  </conditionalFormatting>
  <conditionalFormatting sqref="D282:AA282">
    <cfRule type="expression" dxfId="78" priority="5617">
      <formula>SUM(D282:D283)&gt;D235</formula>
    </cfRule>
  </conditionalFormatting>
  <conditionalFormatting sqref="D283:E283">
    <cfRule type="expression" dxfId="77" priority="5618">
      <formula>SUM(D282:D283)&gt;D235</formula>
    </cfRule>
  </conditionalFormatting>
  <conditionalFormatting sqref="L226:Y226 L227 N227 P227 R227 T227 V227 X227">
    <cfRule type="expression" dxfId="76" priority="83">
      <formula>L226&gt;L241</formula>
    </cfRule>
  </conditionalFormatting>
  <conditionalFormatting sqref="D225:Y225">
    <cfRule type="expression" dxfId="75" priority="82">
      <formula>D225&gt;D240</formula>
    </cfRule>
  </conditionalFormatting>
  <conditionalFormatting sqref="L229:Y229 M228 O228 Q228 S228 U228 W228 Y228">
    <cfRule type="expression" dxfId="74" priority="81">
      <formula>L228&gt;L243</formula>
    </cfRule>
  </conditionalFormatting>
  <conditionalFormatting sqref="AB225:AI229">
    <cfRule type="expression" dxfId="73" priority="80">
      <formula>AB225&gt;AB240</formula>
    </cfRule>
  </conditionalFormatting>
  <conditionalFormatting sqref="AB234:AI234">
    <cfRule type="expression" dxfId="72" priority="79">
      <formula>AB234&gt;AB249</formula>
    </cfRule>
  </conditionalFormatting>
  <conditionalFormatting sqref="AB232:AI232">
    <cfRule type="expression" dxfId="71" priority="78">
      <formula>AB232&gt;AB247</formula>
    </cfRule>
  </conditionalFormatting>
  <conditionalFormatting sqref="Z232:AA232">
    <cfRule type="cellIs" dxfId="70" priority="77" operator="equal">
      <formula>0</formula>
    </cfRule>
  </conditionalFormatting>
  <conditionalFormatting sqref="AB233:AI233">
    <cfRule type="expression" dxfId="69" priority="76">
      <formula>AB233&gt;AB248</formula>
    </cfRule>
  </conditionalFormatting>
  <conditionalFormatting sqref="Z233:AA233">
    <cfRule type="cellIs" dxfId="68" priority="75" operator="equal">
      <formula>0</formula>
    </cfRule>
  </conditionalFormatting>
  <conditionalFormatting sqref="Z234:AA234">
    <cfRule type="cellIs" dxfId="67" priority="74" operator="equal">
      <formula>0</formula>
    </cfRule>
  </conditionalFormatting>
  <conditionalFormatting sqref="D236:Y236">
    <cfRule type="expression" dxfId="66" priority="72">
      <formula>D221&gt;D236</formula>
    </cfRule>
  </conditionalFormatting>
  <conditionalFormatting sqref="Z236:AA238">
    <cfRule type="cellIs" dxfId="65" priority="71" operator="equal">
      <formula>0</formula>
    </cfRule>
  </conditionalFormatting>
  <conditionalFormatting sqref="D247:Y247 AB247:AG247">
    <cfRule type="cellIs" dxfId="64" priority="69" operator="equal">
      <formula>0</formula>
    </cfRule>
  </conditionalFormatting>
  <conditionalFormatting sqref="D247:Y247 AB247:AG247">
    <cfRule type="cellIs" dxfId="63" priority="68" operator="equal">
      <formula>0</formula>
    </cfRule>
  </conditionalFormatting>
  <conditionalFormatting sqref="D247:Y247 AB247:AG247">
    <cfRule type="cellIs" dxfId="62" priority="67" operator="equal">
      <formula>0</formula>
    </cfRule>
  </conditionalFormatting>
  <conditionalFormatting sqref="D247:Y247 AB247:AG247">
    <cfRule type="expression" dxfId="61" priority="66">
      <formula>D247&lt;&gt;D234</formula>
    </cfRule>
  </conditionalFormatting>
  <conditionalFormatting sqref="L240:Y240 M239 O239 Q239 S239 U239 W239 Y239 AB239:AG240">
    <cfRule type="expression" dxfId="60" priority="65">
      <formula>L224&gt;L239</formula>
    </cfRule>
  </conditionalFormatting>
  <conditionalFormatting sqref="J247:Y247 AB247:AG247">
    <cfRule type="expression" dxfId="59" priority="64">
      <formula>J247&lt;&gt;J234</formula>
    </cfRule>
  </conditionalFormatting>
  <conditionalFormatting sqref="Z239:AA247">
    <cfRule type="cellIs" dxfId="58" priority="63" operator="equal">
      <formula>0</formula>
    </cfRule>
  </conditionalFormatting>
  <conditionalFormatting sqref="AH247:AI247">
    <cfRule type="cellIs" dxfId="57" priority="62" operator="equal">
      <formula>0</formula>
    </cfRule>
  </conditionalFormatting>
  <conditionalFormatting sqref="AH247:AI247">
    <cfRule type="cellIs" dxfId="56" priority="61" operator="equal">
      <formula>0</formula>
    </cfRule>
  </conditionalFormatting>
  <conditionalFormatting sqref="AH247:AI247">
    <cfRule type="cellIs" dxfId="55" priority="60" operator="equal">
      <formula>0</formula>
    </cfRule>
  </conditionalFormatting>
  <conditionalFormatting sqref="AH247:AI247">
    <cfRule type="expression" dxfId="54" priority="59">
      <formula>AH247&lt;&gt;AH234</formula>
    </cfRule>
  </conditionalFormatting>
  <conditionalFormatting sqref="AH239:AI240">
    <cfRule type="expression" dxfId="53" priority="58">
      <formula>AH224&gt;AH239</formula>
    </cfRule>
  </conditionalFormatting>
  <conditionalFormatting sqref="AH247:AI247">
    <cfRule type="expression" dxfId="52" priority="57">
      <formula>AH247&lt;&gt;AH234</formula>
    </cfRule>
  </conditionalFormatting>
  <conditionalFormatting sqref="AJ253:AJ255">
    <cfRule type="cellIs" dxfId="51" priority="56" operator="equal">
      <formula>0</formula>
    </cfRule>
  </conditionalFormatting>
  <conditionalFormatting sqref="D255:Y255 AB255:AI255">
    <cfRule type="cellIs" dxfId="50" priority="55" operator="equal">
      <formula>0</formula>
    </cfRule>
  </conditionalFormatting>
  <conditionalFormatting sqref="D255:Y255 AB255:AI255">
    <cfRule type="cellIs" dxfId="49" priority="54" operator="equal">
      <formula>0</formula>
    </cfRule>
  </conditionalFormatting>
  <conditionalFormatting sqref="D255:Y255 AB255:AI255">
    <cfRule type="cellIs" dxfId="48" priority="53" operator="equal">
      <formula>0</formula>
    </cfRule>
  </conditionalFormatting>
  <conditionalFormatting sqref="D255:Y255 AB255:AI255">
    <cfRule type="expression" dxfId="47" priority="51">
      <formula>D262&gt;D255</formula>
    </cfRule>
  </conditionalFormatting>
  <conditionalFormatting sqref="D253:Y253 AB253:AI254">
    <cfRule type="expression" dxfId="46" priority="50">
      <formula>D253&gt;D267</formula>
    </cfRule>
  </conditionalFormatting>
  <conditionalFormatting sqref="D254:Y254">
    <cfRule type="expression" dxfId="45" priority="49">
      <formula>D254&gt;D268</formula>
    </cfRule>
  </conditionalFormatting>
  <conditionalFormatting sqref="Z253:AA255">
    <cfRule type="cellIs" dxfId="44" priority="48" operator="equal">
      <formula>0</formula>
    </cfRule>
  </conditionalFormatting>
  <conditionalFormatting sqref="AJ251:AJ252">
    <cfRule type="cellIs" dxfId="43" priority="47" operator="equal">
      <formula>0</formula>
    </cfRule>
  </conditionalFormatting>
  <conditionalFormatting sqref="Z251:AA252">
    <cfRule type="cellIs" dxfId="42" priority="46" operator="equal">
      <formula>0</formula>
    </cfRule>
  </conditionalFormatting>
  <conditionalFormatting sqref="AJ256:AJ258">
    <cfRule type="cellIs" dxfId="41" priority="45" operator="equal">
      <formula>0</formula>
    </cfRule>
  </conditionalFormatting>
  <conditionalFormatting sqref="Z256:AA258">
    <cfRule type="cellIs" dxfId="40" priority="44" operator="equal">
      <formula>0</formula>
    </cfRule>
  </conditionalFormatting>
  <conditionalFormatting sqref="AJ260:AJ263">
    <cfRule type="cellIs" dxfId="39" priority="41" operator="equal">
      <formula>0</formula>
    </cfRule>
  </conditionalFormatting>
  <conditionalFormatting sqref="AJ265">
    <cfRule type="cellIs" dxfId="38" priority="40" operator="equal">
      <formula>0</formula>
    </cfRule>
  </conditionalFormatting>
  <conditionalFormatting sqref="AJ264">
    <cfRule type="cellIs" dxfId="37" priority="39" operator="equal">
      <formula>0</formula>
    </cfRule>
  </conditionalFormatting>
  <conditionalFormatting sqref="D263:Y263">
    <cfRule type="expression" dxfId="36" priority="37">
      <formula>D267&gt;D263</formula>
    </cfRule>
  </conditionalFormatting>
  <conditionalFormatting sqref="D265:Y265 AB265:AI265">
    <cfRule type="expression" dxfId="35" priority="36">
      <formula>D265&gt;D251</formula>
    </cfRule>
  </conditionalFormatting>
  <conditionalFormatting sqref="D264:Y264 AB264:AI265">
    <cfRule type="expression" dxfId="34" priority="35">
      <formula>D250&gt;D264</formula>
    </cfRule>
  </conditionalFormatting>
  <conditionalFormatting sqref="D265:Y265">
    <cfRule type="expression" dxfId="33" priority="34">
      <formula>D251&gt;D265</formula>
    </cfRule>
  </conditionalFormatting>
  <conditionalFormatting sqref="Z265:AA265">
    <cfRule type="cellIs" dxfId="32" priority="33" operator="equal">
      <formula>0</formula>
    </cfRule>
  </conditionalFormatting>
  <conditionalFormatting sqref="Z260:AA264">
    <cfRule type="cellIs" dxfId="31" priority="32" operator="equal">
      <formula>0</formula>
    </cfRule>
  </conditionalFormatting>
  <conditionalFormatting sqref="D263:Y263">
    <cfRule type="expression" dxfId="30" priority="42">
      <formula>D263&gt;SUM(D257:D259)</formula>
    </cfRule>
  </conditionalFormatting>
  <conditionalFormatting sqref="D261:Y261">
    <cfRule type="expression" dxfId="29" priority="31">
      <formula>(D261+D262+D263)&lt;&gt;D255</formula>
    </cfRule>
  </conditionalFormatting>
  <conditionalFormatting sqref="D262:Y262">
    <cfRule type="expression" dxfId="28" priority="30">
      <formula>(D261+D262+D263)&lt;&gt;D255</formula>
    </cfRule>
  </conditionalFormatting>
  <conditionalFormatting sqref="D263:Y263">
    <cfRule type="expression" dxfId="27" priority="29">
      <formula>(D261+D262+D263)&lt;&gt;D255</formula>
    </cfRule>
  </conditionalFormatting>
  <conditionalFormatting sqref="AB261:AI262">
    <cfRule type="expression" dxfId="26" priority="26">
      <formula>AB261&gt;SUM(AB257:AB259)</formula>
    </cfRule>
  </conditionalFormatting>
  <conditionalFormatting sqref="AB263:AI263">
    <cfRule type="expression" dxfId="25" priority="25">
      <formula>AB267&gt;AB263</formula>
    </cfRule>
  </conditionalFormatting>
  <conditionalFormatting sqref="AB263:AI263">
    <cfRule type="expression" dxfId="24" priority="27">
      <formula>AB263&gt;SUM(AB257:AB259)</formula>
    </cfRule>
  </conditionalFormatting>
  <conditionalFormatting sqref="AB261:AI262">
    <cfRule type="expression" dxfId="23" priority="28">
      <formula>AB267&gt;AB261</formula>
    </cfRule>
  </conditionalFormatting>
  <conditionalFormatting sqref="AB261:AI261">
    <cfRule type="expression" dxfId="22" priority="24">
      <formula>(AB261+AB262+AB263)&lt;&gt;AB255</formula>
    </cfRule>
  </conditionalFormatting>
  <conditionalFormatting sqref="AB262:AI262">
    <cfRule type="expression" dxfId="21" priority="23">
      <formula>(AB261+AB262+AB263)&lt;&gt;AB255</formula>
    </cfRule>
  </conditionalFormatting>
  <conditionalFormatting sqref="AB263:AI263">
    <cfRule type="expression" dxfId="20" priority="22">
      <formula>(AB261+AB262+AB263)&lt;&gt;AB255</formula>
    </cfRule>
  </conditionalFormatting>
  <conditionalFormatting sqref="AM222:AM223">
    <cfRule type="notContainsBlanks" dxfId="19" priority="21">
      <formula>LEN(TRIM(AM222))&gt;0</formula>
    </cfRule>
  </conditionalFormatting>
  <conditionalFormatting sqref="D326:E326">
    <cfRule type="expression" dxfId="18" priority="5657">
      <formula>XFA328&gt;XFA326</formula>
    </cfRule>
  </conditionalFormatting>
  <conditionalFormatting sqref="D279:AI279">
    <cfRule type="cellIs" dxfId="17" priority="17" operator="equal">
      <formula>0</formula>
    </cfRule>
  </conditionalFormatting>
  <conditionalFormatting sqref="D279:AI279">
    <cfRule type="cellIs" dxfId="16" priority="16" operator="equal">
      <formula>0</formula>
    </cfRule>
  </conditionalFormatting>
  <conditionalFormatting sqref="D284:AJ284">
    <cfRule type="cellIs" dxfId="15" priority="11" operator="equal">
      <formula>0</formula>
    </cfRule>
  </conditionalFormatting>
  <conditionalFormatting sqref="D284:AJ284">
    <cfRule type="cellIs" dxfId="14" priority="10" operator="equal">
      <formula>0</formula>
    </cfRule>
  </conditionalFormatting>
  <conditionalFormatting sqref="K230">
    <cfRule type="expression" dxfId="13" priority="9">
      <formula>K230&lt;&gt;K66</formula>
    </cfRule>
  </conditionalFormatting>
  <conditionalFormatting sqref="M230">
    <cfRule type="expression" dxfId="12" priority="8">
      <formula>M230&lt;&gt;M66</formula>
    </cfRule>
  </conditionalFormatting>
  <conditionalFormatting sqref="O230">
    <cfRule type="expression" dxfId="11" priority="7">
      <formula>O230&lt;&gt;O66</formula>
    </cfRule>
  </conditionalFormatting>
  <conditionalFormatting sqref="Q230">
    <cfRule type="expression" dxfId="10" priority="6">
      <formula>Q230&lt;&gt;Q66</formula>
    </cfRule>
  </conditionalFormatting>
  <conditionalFormatting sqref="S230">
    <cfRule type="expression" dxfId="9" priority="5">
      <formula>S230&lt;&gt;S66</formula>
    </cfRule>
  </conditionalFormatting>
  <conditionalFormatting sqref="U230">
    <cfRule type="expression" dxfId="8" priority="4">
      <formula>U230&lt;&gt;U66</formula>
    </cfRule>
  </conditionalFormatting>
  <conditionalFormatting sqref="W230">
    <cfRule type="expression" dxfId="7" priority="3">
      <formula>W230&lt;&gt;W66</formula>
    </cfRule>
  </conditionalFormatting>
  <conditionalFormatting sqref="Y230">
    <cfRule type="expression" dxfId="6" priority="2">
      <formula>Y230&lt;&gt;Y66</formula>
    </cfRule>
  </conditionalFormatting>
  <conditionalFormatting sqref="K66:Y66">
    <cfRule type="expression" dxfId="5" priority="1">
      <formula>K66&lt;&gt;K230</formula>
    </cfRule>
  </conditionalFormatting>
  <conditionalFormatting sqref="L140:AA140">
    <cfRule type="expression" dxfId="4" priority="5683">
      <formula>(L140+L141)&lt;&gt;L133</formula>
    </cfRule>
  </conditionalFormatting>
  <conditionalFormatting sqref="L141:AA141">
    <cfRule type="expression" dxfId="3" priority="5684">
      <formula>(L140+L141)&lt;&gt;L133</formula>
    </cfRule>
  </conditionalFormatting>
  <conditionalFormatting sqref="L142:AA142">
    <cfRule type="expression" dxfId="2" priority="5685">
      <formula>(L142+L143+L144)&lt;&gt;L133</formula>
    </cfRule>
  </conditionalFormatting>
  <conditionalFormatting sqref="L143:AA143">
    <cfRule type="expression" dxfId="1" priority="5686">
      <formula>(L142+L143+L144)&lt;&gt;L133</formula>
    </cfRule>
  </conditionalFormatting>
  <conditionalFormatting sqref="L144:AA144">
    <cfRule type="expression" dxfId="0" priority="5687">
      <formula>(L142+L143+L144)&lt;&gt;L133</formula>
    </cfRule>
  </conditionalFormatting>
  <dataValidations count="2">
    <dataValidation type="whole" allowBlank="1" showInputMessage="1" showErrorMessage="1" errorTitle="Non-Numeric or abnormal value" error="Enter Numbers only between 0 and 99999" sqref="AJ116 D107:AI112 D100:AI103 D274:AI277 Z12:AA12 AB235:AJ235 D285:AI288 AB8:AI18 D322:AJ323 D292:AI318 M19:AI19 D8:Y18 D19:L22 M20:Y22 Z39:AA44 Z33:AA34 AB20:AI56 AB58:AI92 D271:AI272 D280:AI283 D324:AI336 Z57:AI57 D23:Y92 D116:AI266" xr:uid="{00000000-0002-0000-0100-000000000000}">
      <formula1>0</formula1>
      <formula2>99999</formula2>
    </dataValidation>
    <dataValidation allowBlank="1" showInputMessage="1" showErrorMessage="1" errorTitle="Non-Numeric or abnormal value" error="Enter Numbers only between 0 and 99999" sqref="D215:E215 Z8:AA11 Z35:AA38 Z204:AA208 Z45:AA56 Z13:AA18 Z20:AA32 Z58:AA94 AA176:AA180 K176 M176 O176 Q176 S176 U176 W176 Y176 Z217:AA266 Z210:AA215" xr:uid="{00000000-0002-0000-0100-000002000000}"/>
  </dataValidations>
  <pageMargins left="0.511811023622047" right="7.8740157480315001E-2" top="0.196850393700787" bottom="0.196850393700787" header="0.2" footer="0.118110236220472"/>
  <pageSetup scale="31" fitToHeight="0" orientation="portrait" r:id="rId1"/>
  <headerFooter>
    <oddFooter>&amp;R&amp;P</oddFooter>
  </headerFooter>
  <rowBreaks count="1" manualBreakCount="1">
    <brk id="288" max="16383" man="1"/>
  </rowBreaks>
  <ignoredErrors>
    <ignoredError sqref="J6 J105 J114 J268 J320" twoDigitTextYear="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9366B03F6EC145B189534E5AC3D6E6" ma:contentTypeVersion="14" ma:contentTypeDescription="Create a new document." ma:contentTypeScope="" ma:versionID="ffc27aaa6afa60559960f746ac0a40ab">
  <xsd:schema xmlns:xsd="http://www.w3.org/2001/XMLSchema" xmlns:xs="http://www.w3.org/2001/XMLSchema" xmlns:p="http://schemas.microsoft.com/office/2006/metadata/properties" xmlns:ns1="http://schemas.microsoft.com/sharepoint/v3" xmlns:ns3="dac3fa0a-9923-49c3-b4ba-df6390fa58ea" xmlns:ns4="1ed6e237-7a44-4d6d-bfbc-e270d277b5ad" targetNamespace="http://schemas.microsoft.com/office/2006/metadata/properties" ma:root="true" ma:fieldsID="a6816e770e34b85fcdcbb3032b3d95e9" ns1:_="" ns3:_="" ns4:_="">
    <xsd:import namespace="http://schemas.microsoft.com/sharepoint/v3"/>
    <xsd:import namespace="dac3fa0a-9923-49c3-b4ba-df6390fa58ea"/>
    <xsd:import namespace="1ed6e237-7a44-4d6d-bfbc-e270d277b5ad"/>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4:SharedWithUsers" minOccurs="0"/>
                <xsd:element ref="ns4:SharedWithDetails" minOccurs="0"/>
                <xsd:element ref="ns4:SharingHintHash" minOccurs="0"/>
                <xsd:element ref="ns3:MediaServiceOCR" minOccurs="0"/>
                <xsd:element ref="ns3:MediaServiceEventHashCode" minOccurs="0"/>
                <xsd:element ref="ns3:MediaServiceGenerationTime" minOccurs="0"/>
                <xsd:element ref="ns3:MediaServiceAutoKeyPoints" minOccurs="0"/>
                <xsd:element ref="ns3:MediaServiceKeyPoint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ac3fa0a-9923-49c3-b4ba-df6390fa58ea"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ed6e237-7a44-4d6d-bfbc-e270d277b5a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4331761-FFFE-4F11-AA2E-B35F1517E2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ac3fa0a-9923-49c3-b4ba-df6390fa58ea"/>
    <ds:schemaRef ds:uri="1ed6e237-7a44-4d6d-bfbc-e270d277b5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9757ECA-E322-4B4F-A80B-F429838D8BF7}">
  <ds:schemaRefs>
    <ds:schemaRef ds:uri="http://www.w3.org/XML/1998/namespace"/>
    <ds:schemaRef ds:uri="http://schemas.openxmlformats.org/package/2006/metadata/core-properties"/>
    <ds:schemaRef ds:uri="http://purl.org/dc/terms/"/>
    <ds:schemaRef ds:uri="http://schemas.microsoft.com/sharepoint/v3"/>
    <ds:schemaRef ds:uri="1ed6e237-7a44-4d6d-bfbc-e270d277b5ad"/>
    <ds:schemaRef ds:uri="http://schemas.microsoft.com/office/infopath/2007/PartnerControls"/>
    <ds:schemaRef ds:uri="http://schemas.microsoft.com/office/2006/documentManagement/types"/>
    <ds:schemaRef ds:uri="http://purl.org/dc/dcmitype/"/>
    <ds:schemaRef ds:uri="dac3fa0a-9923-49c3-b4ba-df6390fa58ea"/>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8F27D016-ED29-4335-8911-6427F4BFA8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11</vt:i4>
      </vt:variant>
    </vt:vector>
  </HeadingPairs>
  <TitlesOfParts>
    <vt:vector size="13" baseType="lpstr">
      <vt:lpstr>InstructionsForm1A</vt:lpstr>
      <vt:lpstr>Jul</vt:lpstr>
      <vt:lpstr>ART</vt:lpstr>
      <vt:lpstr>CXCA</vt:lpstr>
      <vt:lpstr>GEND_GBV</vt:lpstr>
      <vt:lpstr>HAART</vt:lpstr>
      <vt:lpstr>HIV_TEST</vt:lpstr>
      <vt:lpstr>HTS_SELF</vt:lpstr>
      <vt:lpstr>IPT</vt:lpstr>
      <vt:lpstr>PMTCT_TST</vt:lpstr>
      <vt:lpstr>Jul!Print_Area</vt:lpstr>
      <vt:lpstr>Jul!Print_Titles</vt:lpstr>
      <vt:lpstr>TB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Njoka</dc:creator>
  <cp:lastModifiedBy>Emmanuel Maingi</cp:lastModifiedBy>
  <cp:lastPrinted>2020-06-04T19:13:43Z</cp:lastPrinted>
  <dcterms:created xsi:type="dcterms:W3CDTF">2018-10-31T09:45:26Z</dcterms:created>
  <dcterms:modified xsi:type="dcterms:W3CDTF">2025-09-11T14:55:21Z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97562b29-1870-4619-bda6-f602bd214bc5</vt:lpwstr>
  </property>
  <property fmtid="{D5CDD505-2E9C-101B-9397-08002B2CF9AE}" pid="3" name="ConnectionInfosStorage">
    <vt:lpwstr>WorkbookXmlParts</vt:lpwstr>
  </property>
  <property fmtid="{D5CDD505-2E9C-101B-9397-08002B2CF9AE}" pid="4" name="ContentTypeId">
    <vt:lpwstr>0x010100EA9366B03F6EC145B189534E5AC3D6E6</vt:lpwstr>
  </property>
  <property fmtid="{D5CDD505-2E9C-101B-9397-08002B2CF9AE}" pid="5" name="MSIP_Label_ea60d57e-af5b-4752-ac57-3e4f28ca11dc_Enabled">
    <vt:lpwstr>true</vt:lpwstr>
  </property>
  <property fmtid="{D5CDD505-2E9C-101B-9397-08002B2CF9AE}" pid="6" name="MSIP_Label_ea60d57e-af5b-4752-ac57-3e4f28ca11dc_SetDate">
    <vt:lpwstr>2021-08-26T06:21:48Z</vt:lpwstr>
  </property>
  <property fmtid="{D5CDD505-2E9C-101B-9397-08002B2CF9AE}" pid="7" name="MSIP_Label_ea60d57e-af5b-4752-ac57-3e4f28ca11dc_Method">
    <vt:lpwstr>Standard</vt:lpwstr>
  </property>
  <property fmtid="{D5CDD505-2E9C-101B-9397-08002B2CF9AE}" pid="8" name="MSIP_Label_ea60d57e-af5b-4752-ac57-3e4f28ca11dc_Name">
    <vt:lpwstr>ea60d57e-af5b-4752-ac57-3e4f28ca11dc</vt:lpwstr>
  </property>
  <property fmtid="{D5CDD505-2E9C-101B-9397-08002B2CF9AE}" pid="9" name="MSIP_Label_ea60d57e-af5b-4752-ac57-3e4f28ca11dc_SiteId">
    <vt:lpwstr>36da45f1-dd2c-4d1f-af13-5abe46b99921</vt:lpwstr>
  </property>
  <property fmtid="{D5CDD505-2E9C-101B-9397-08002B2CF9AE}" pid="10" name="MSIP_Label_ea60d57e-af5b-4752-ac57-3e4f28ca11dc_ActionId">
    <vt:lpwstr>53bd1c79-e735-4871-8540-e453fe37e373</vt:lpwstr>
  </property>
  <property fmtid="{D5CDD505-2E9C-101B-9397-08002B2CF9AE}" pid="11" name="MSIP_Label_ea60d57e-af5b-4752-ac57-3e4f28ca11dc_ContentBits">
    <vt:lpwstr>0</vt:lpwstr>
  </property>
</Properties>
</file>